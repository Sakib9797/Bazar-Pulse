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BB9E3B30-922D-4808-8D56-AC6F50728D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8" i="4"/>
  <c r="G86" i="4"/>
  <c r="G83" i="4"/>
  <c r="G84" i="4"/>
  <c r="G89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<sst xmlns="http://schemas.openxmlformats.org/spreadsheetml/2006/main" count="232" uniqueCount="130">
  <si>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</si>
  <si>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</si>
  <si>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</si>
  <si>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</si>
  <si>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</si>
  <si>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</si>
  <si>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</si>
  <si>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</si>
  <si>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</si>
  <si>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</si>
  <si>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</si>
  <si>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</si>
  <si>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</si>
  <si>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</si>
  <si>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</si>
  <si>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</si>
  <si>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</si>
  <si>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</si>
  <si>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</si>
  <si>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</si>
  <si>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</si>
  <si>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</si>
  <si>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</si>
  <si>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</si>
  <si>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</si>
  <si>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</si>
  <si>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</si>
  <si>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</si>
  <si>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</si>
  <si>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</si>
  <si>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</si>
  <si>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</si>
  <si>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</si>
  <si>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</si>
  <si>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</si>
  <si>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</si>
  <si>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</si>
  <si>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</si>
  <si>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</si>
  <si>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</si>
  <si>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</si>
  <si>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</si>
  <si>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</si>
  <si>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</si>
  <si>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</si>
  <si>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</si>
  <si>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</si>
  <si>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</si>
  <si>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</si>
  <si>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</si>
  <si>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</si>
  <si>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</si>
  <si>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</si>
  <si>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</si>
  <si>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</si>
  <si>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</si>
  <si>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</si>
  <si>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</si>
  <si>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</si>
  <si>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</si>
  <si>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</si>
  <si>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</si>
  <si>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</si>
  <si>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</si>
  <si>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</si>
  <si>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</si>
  <si>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</si>
  <si>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</si>
  <si>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</si>
  <si>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</si>
  <si>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</si>
  <si>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</si>
  <si>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</si>
  <si>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</si>
  <si>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</si>
  <si>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</si>
  <si>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</si>
  <si>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</si>
  <si>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</si>
  <si>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</si>
  <si>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</si>
  <si>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</si>
  <si>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</si>
  <si>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</si>
  <si>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</si>
  <si>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</si>
  <si>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</si>
  <si>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</si>
  <si>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</si>
  <si>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</si>
  <si>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</si>
  <si>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</si>
  <si>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</si>
  <si>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</si>
  <si>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</si>
  <si>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</si>
  <si>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</si>
  <si>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</si>
  <si>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</si>
  <si>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</si>
  <si>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</si>
  <si>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</si>
  <si>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</si>
  <si>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</si>
  <si>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</si>
  <si>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</si>
  <si>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</si>
  <si>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</si>
  <si>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</si>
  <si>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</si>
  <si>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</si>
  <si>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</si>
  <si>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</si>
  <si>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</si>
  <si>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</si>
  <si>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</si>
  <si>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</si>
  <si>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</si>
  <si>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</si>
  <si>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</si>
  <si>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১৬-১০-২০২৫ তারিখে মূল্য হ্রাস পেয়েছে।</t>
  </si>
  <si>
    <t>১৭-১০-২০২৫ তারিখে মূল্য হ্রাস পেয়েছে।</t>
  </si>
  <si>
    <t>২১-১০-২০২৫ তারিখে মূল্য বৃদ্ধি পেয়েছে।</t>
  </si>
  <si>
    <t>২১-১০-২০২৫ তারিখে মূল্য হ্রাস পেয়েছে।</t>
  </si>
  <si>
    <t>স্মারক নং-২৬.০৫.০০০০.০১৭.৩১.০১.২৫-৭৫৩</t>
  </si>
  <si>
    <t xml:space="preserve">বুধবার ২২ অক্টোবর ২০২৫ খ্রিঃ, ০৬ কার্তিক ১৪৩২ বাংলা, ২৭ রবিউল সানি ১৪৪৭ হিজরি </t>
  </si>
  <si>
    <t xml:space="preserve">   সিরিয়াল নংঃ     ২৬২</t>
  </si>
  <si>
    <t>২২-১০-২০২৫ তারিখে মূল্য হ্রাস পেয়েছে।</t>
  </si>
  <si>
    <t>(২ )    সয়াবিন তেল (২লি:, ৫লি বোতল), সুপার পাম অয়েল লুজ, আদা (আম), মুরগী ব্রয়লার, চিনি    এর মূল্য হ্রাস পেয়েছে।</t>
  </si>
  <si>
    <t>(১)    পাম অয়েল (লুজ) 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</si>
</sst>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6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45952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45952</v>
      </c>
      <c r="D8" s="84"/>
      <c r="E8" s="85">
        <v>45945</v>
      </c>
      <c r="F8" s="84"/>
      <c r="G8" s="85">
        <v>45922</v>
      </c>
      <c r="H8" s="84"/>
      <c r="I8" s="26" t="s">
        <v>12</v>
      </c>
      <c r="J8" s="85">
        <v>45587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153</v>
      </c>
      <c r="K19" s="29">
        <v>156</v>
      </c>
      <c r="L19" s="31">
        <f t="shared" ref="L19:L25" si="1">((C19+D19)/2-(J19+K19)/2)/((J19+K19)/2)*100</f>
        <v>13.915857605177994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900</v>
      </c>
      <c r="F20" s="29">
        <v>935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388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149</v>
      </c>
      <c r="L23" s="31">
        <f t="shared" si="1"/>
        <v>6.7340067340067336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0</v>
      </c>
      <c r="J24" s="29">
        <v>150</v>
      </c>
      <c r="K24" s="29">
        <v>151</v>
      </c>
      <c r="L24" s="31">
        <f t="shared" si="1"/>
        <v>6.3122923588039868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115</v>
      </c>
      <c r="K35" s="29">
        <v>130</v>
      </c>
      <c r="L35" s="31">
        <f t="shared" ref="L35:L50" si="5">((C35+D35)/2-(J35+K35)/2)/((J35+K35)/2)*100</f>
        <v>-38.775510204081634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220</v>
      </c>
      <c r="I44" s="30">
        <f t="shared" si="4"/>
        <v>8.5714285714285712</v>
      </c>
      <c r="J44" s="29">
        <v>160</v>
      </c>
      <c r="K44" s="29">
        <v>300</v>
      </c>
      <c r="L44" s="31">
        <f t="shared" si="5"/>
        <v>-17.391304347826086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1500</v>
      </c>
      <c r="L47" s="31">
        <f t="shared" si="5"/>
        <v>5.3571428571428568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750</v>
      </c>
      <c r="L54" s="31">
        <f t="shared" si="7"/>
        <v>6.8965517241379306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190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45952</v>
      </c>
      <c r="D67" s="84"/>
      <c r="E67" s="85">
        <v>45945</v>
      </c>
      <c r="F67" s="84"/>
      <c r="G67" s="85">
        <v>45922</v>
      </c>
      <c r="H67" s="84"/>
      <c r="I67" s="26" t="s">
        <v>12</v>
      </c>
      <c r="J67" s="85">
        <v>45587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128</v>
      </c>
      <c r="K69" s="29">
        <v>135</v>
      </c>
      <c r="L69" s="31">
        <f t="shared" ref="L69:L75" si="8">((C69+D69)/2-(J69+K69)/2)/((J69+K69)/2)*100</f>
        <v>-20.15209125475285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88000</v>
      </c>
      <c r="K74" s="29">
        <v>93000</v>
      </c>
      <c r="L74" s="31">
        <f t="shared" si="8"/>
        <v>-6.3535911602209953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83000</v>
      </c>
      <c r="K75" s="37">
        <v>85000</v>
      </c>
      <c r="L75" s="31">
        <f t="shared" si="8"/>
        <v>-7.7380952380952381</v>
      </c>
    </row>
    <row r="76" spans="1:12" ht="36" customHeight="1">
      <c r="A76" s="86" t="s">
        <v>119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29</v>
      </c>
      <c r="B83" s="6" t="s">
        <v>30</v>
      </c>
      <c r="C83" s="29">
        <v>900</v>
      </c>
      <c r="D83" s="29">
        <v>930</v>
      </c>
      <c r="E83" s="29">
        <v>900</v>
      </c>
      <c r="F83" s="29">
        <v>935</v>
      </c>
      <c r="G83" s="7">
        <f t="shared" ref="G83:G84" si="10">((C83+D83)/2-(E83+F83)/2)/((E83+F83)/2)*100</f>
        <v>-0.27247956403269752</v>
      </c>
      <c r="H83" s="5" t="s">
        <v>127</v>
      </c>
      <c r="I83" s="6"/>
      <c r="J83" s="6"/>
      <c r="K83" s="50"/>
      <c r="L83" s="17"/>
    </row>
    <row r="84" spans="1:12" ht="21.75">
      <c r="A84" s="69" t="s">
        <v>29</v>
      </c>
      <c r="B84" s="6" t="s">
        <v>31</v>
      </c>
      <c r="C84" s="29">
        <v>375</v>
      </c>
      <c r="D84" s="29">
        <v>385</v>
      </c>
      <c r="E84" s="29">
        <v>375</v>
      </c>
      <c r="F84" s="29">
        <v>388</v>
      </c>
      <c r="G84" s="7">
        <f t="shared" si="10"/>
        <v>-0.39318479685452157</v>
      </c>
      <c r="H84" s="5" t="s">
        <v>123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153</v>
      </c>
      <c r="F85" s="29">
        <v>162</v>
      </c>
      <c r="G85" s="7">
        <f>((C85+D85)/2-(E85+F85)/2)/((E85+F85)/2)*100</f>
        <v>0.63492063492063489</v>
      </c>
      <c r="H85" s="5" t="s">
        <v>122</v>
      </c>
      <c r="I85" s="6"/>
      <c r="J85" s="6"/>
      <c r="K85" s="11"/>
      <c r="L85" s="11"/>
    </row>
    <row r="86" spans="1:12" ht="21.75">
      <c r="A86" s="69" t="s">
        <v>106</v>
      </c>
      <c r="B86" s="6" t="s">
        <v>28</v>
      </c>
      <c r="C86" s="29">
        <v>155</v>
      </c>
      <c r="D86" s="29">
        <v>165</v>
      </c>
      <c r="E86" s="29">
        <v>155</v>
      </c>
      <c r="F86" s="29">
        <v>166</v>
      </c>
      <c r="G86" s="7">
        <f t="shared" ref="G86:G89" si="11">((C86+D86)/2-(E86+F86)/2)/((E86+F86)/2)*100</f>
        <v>-0.3115264797507788</v>
      </c>
      <c r="H86" s="5" t="s">
        <v>127</v>
      </c>
      <c r="I86" s="6"/>
      <c r="J86" s="6"/>
      <c r="K86" s="11"/>
      <c r="L86" s="11"/>
    </row>
    <row r="87" spans="1:12" ht="21.75">
      <c r="A87" s="69" t="s">
        <v>52</v>
      </c>
      <c r="B87" s="6" t="s">
        <v>18</v>
      </c>
      <c r="C87" s="29">
        <v>130</v>
      </c>
      <c r="D87" s="29">
        <v>250</v>
      </c>
      <c r="E87" s="29">
        <v>140</v>
      </c>
      <c r="F87" s="29">
        <v>250</v>
      </c>
      <c r="G87" s="7">
        <f>((C87+D87)/2-(E87+F87)/2)/((E87+F87)/2)*100</f>
        <v>-2.5641025641025639</v>
      </c>
      <c r="H87" s="5" t="s">
        <v>120</v>
      </c>
      <c r="I87" s="6"/>
      <c r="J87" s="6"/>
      <c r="K87" s="11"/>
      <c r="L87" s="11"/>
    </row>
    <row r="88" spans="1:12" ht="21.75">
      <c r="A88" s="69" t="s">
        <v>62</v>
      </c>
      <c r="B88" s="6" t="s">
        <v>18</v>
      </c>
      <c r="C88" s="29">
        <v>170</v>
      </c>
      <c r="D88" s="29">
        <v>185</v>
      </c>
      <c r="E88" s="29">
        <v>170</v>
      </c>
      <c r="F88" s="29">
        <v>190</v>
      </c>
      <c r="G88" s="7">
        <f t="shared" si="11"/>
        <v>-1.3888888888888888</v>
      </c>
      <c r="H88" s="5" t="s">
        <v>123</v>
      </c>
      <c r="I88" s="6"/>
      <c r="J88" s="6"/>
      <c r="K88" s="11"/>
      <c r="L88" s="11"/>
    </row>
    <row r="89" spans="1:12" ht="24.75">
      <c r="A89" s="69" t="s">
        <v>71</v>
      </c>
      <c r="B89" s="6" t="s">
        <v>18</v>
      </c>
      <c r="C89" s="37">
        <v>100</v>
      </c>
      <c r="D89" s="37">
        <v>110</v>
      </c>
      <c r="E89" s="37">
        <v>105</v>
      </c>
      <c r="F89" s="37">
        <v>110</v>
      </c>
      <c r="G89" s="7">
        <f t="shared" si="11"/>
        <v>-2.3255813953488373</v>
      </c>
      <c r="H89" s="5" t="s">
        <v>121</v>
      </c>
      <c r="I89" s="6"/>
      <c r="J89" s="6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9"/>
      <c r="H90" s="1"/>
      <c r="I90" s="3"/>
      <c r="J90" s="3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4.75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4.75">
      <c r="A93" s="1"/>
      <c r="B93" s="41"/>
      <c r="C93" s="42" t="s">
        <v>115</v>
      </c>
      <c r="D93" s="10"/>
      <c r="E93" s="41"/>
      <c r="F93" s="13"/>
      <c r="G93" s="10"/>
      <c r="H93" s="39"/>
      <c r="I93" s="12"/>
      <c r="J93" s="13" t="s">
        <v>117</v>
      </c>
      <c r="K93" s="10"/>
      <c r="L93" s="10"/>
    </row>
    <row r="94" spans="1:12" ht="24.75">
      <c r="A94" s="1"/>
      <c r="B94" s="43"/>
      <c r="C94" s="42" t="s">
        <v>116</v>
      </c>
      <c r="D94" s="13"/>
      <c r="E94" s="41"/>
      <c r="F94" s="44"/>
      <c r="G94" s="46"/>
      <c r="H94" s="46"/>
      <c r="I94" s="76"/>
      <c r="J94" s="13" t="s">
        <v>118</v>
      </c>
      <c r="K94" s="13"/>
      <c r="L94" s="13"/>
    </row>
    <row r="95" spans="1:12" ht="24.75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9.5">
      <c r="A96" s="55" t="s">
        <v>93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9.5">
      <c r="A97" s="54" t="s">
        <v>99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9.5">
      <c r="A98" s="54" t="s">
        <v>98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9.5">
      <c r="A99" s="54" t="s">
        <v>85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107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103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5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89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114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113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112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2025-10-22T09:37:46Z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