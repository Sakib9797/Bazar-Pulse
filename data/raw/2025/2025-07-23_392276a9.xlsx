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EDB50891-056A-4CE2-9531-CFD686DE01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G90" i="4"/>
  <c r="G92" i="4"/>
  <c r="G86" i="4"/>
  <c r="G88" i="4"/>
  <c r="G91" i="4"/>
  <c r="G89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<sst xmlns="http://schemas.openxmlformats.org/spreadsheetml/2006/main" count="240" uniqueCount="129">
  <si>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</si>
  <si>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</si>
  <si>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</si>
  <si>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</si>
  <si>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</si>
  <si>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</si>
  <si>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</si>
  <si>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</si>
  <si>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</si>
  <si>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</si>
  <si>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</si>
  <si>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</si>
  <si>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</si>
  <si>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</si>
  <si>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</si>
  <si>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</si>
  <si>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</si>
  <si>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</si>
  <si>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</si>
  <si>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</si>
  <si>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</si>
  <si>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</si>
  <si>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</si>
  <si>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</si>
  <si>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</si>
  <si>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</si>
  <si>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</si>
  <si>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</si>
  <si>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</si>
  <si>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</si>
  <si>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</si>
  <si>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</si>
  <si>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</si>
  <si>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</si>
  <si>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</si>
  <si>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</si>
  <si>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</si>
  <si>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</si>
  <si>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</si>
  <si>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</si>
  <si>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</si>
  <si>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</si>
  <si>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</si>
  <si>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</si>
  <si>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</si>
  <si>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</si>
  <si>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</si>
  <si>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</si>
  <si>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</si>
  <si>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</si>
  <si>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</si>
  <si>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</si>
  <si>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</si>
  <si>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</si>
  <si>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</si>
  <si>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</si>
  <si>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</si>
  <si>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</si>
  <si>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</si>
  <si>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</si>
  <si>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</si>
  <si>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</si>
  <si>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</si>
  <si>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</si>
  <si>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</si>
  <si>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</si>
  <si>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</si>
  <si>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</si>
  <si>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</si>
  <si>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</si>
  <si>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</si>
  <si>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</si>
  <si>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</si>
  <si>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</si>
  <si>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</si>
  <si>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</si>
  <si>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</si>
  <si>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</si>
  <si>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</si>
  <si>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</si>
  <si>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</si>
  <si>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</si>
  <si>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</si>
  <si>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</si>
  <si>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</si>
  <si>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</si>
  <si>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</si>
  <si>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</si>
  <si>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</si>
  <si>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</si>
  <si>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</si>
  <si>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</si>
  <si>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</si>
  <si>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</si>
  <si>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</si>
  <si>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</si>
  <si>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</si>
  <si>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</si>
  <si>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</si>
  <si>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</si>
  <si>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</si>
  <si>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</si>
  <si>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</si>
  <si>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</si>
  <si>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</si>
  <si>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</si>
  <si>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</si>
  <si>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</si>
  <si>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</si>
  <si>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</si>
  <si>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</si>
  <si>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</si>
  <si>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</si>
  <si>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</si>
  <si>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</si>
  <si>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</si>
  <si>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</si>
  <si>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১৭-০৭-২০২৫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</si>
  <si>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</si>
  <si>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</si>
  <si>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</si>
  <si>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</si>
  <si>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স্মারক নং-২৬.০৫.০০০০.০১৭.৩১.০১.২৫-৫১৮</t>
  </si>
  <si>
    <t xml:space="preserve">বুধবার ২৩ জুলাই ২০২৫ খ্রিঃ, ০৮ শ্রাবণ ১৪৩২ বাংলা, ২৭ মুহররম ১৪৪৭ হিজরি </t>
  </si>
  <si>
    <t xml:space="preserve">   সিরিয়াল নংঃ     ১৮০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</si>
  <si>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</si>
  <si>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</si>
  <si>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(১)   সয়াবিন তেল (লুজ, ৫লি: বোতল), পাম অয়েল লুজ, মসুর ডাল (ছোট), দারুচিনি   এর মূল্য বৃদ্ধি পেয়েছে।</t>
  </si>
  <si>
    <t>(২ )  মসুর ডাল (বড়), মুগ ডাল, মুরগী ব্রয়লার, চিনি,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</si>
</sst>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77" zoomScale="98" zoomScaleNormal="98" workbookViewId="0">
      <selection activeCell="H92" sqref="H92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124</v>
      </c>
      <c r="L4" s="94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45861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45861</v>
      </c>
      <c r="D8" s="94"/>
      <c r="E8" s="95">
        <v>45854</v>
      </c>
      <c r="F8" s="94"/>
      <c r="G8" s="95">
        <v>45831</v>
      </c>
      <c r="H8" s="94"/>
      <c r="I8" s="27" t="s">
        <v>12</v>
      </c>
      <c r="J8" s="91">
        <v>45491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82</v>
      </c>
      <c r="I10" s="31">
        <f>((C10+D10)/2-(G10+H10)/2)/((G10+H10)/2)*100</f>
        <v>5.2631578947368416</v>
      </c>
      <c r="J10" s="62">
        <v>62</v>
      </c>
      <c r="K10" s="62">
        <v>78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58</v>
      </c>
      <c r="I12" s="31">
        <f>((C12+D12)/2-(G12+H12)/2)/((G12+H12)/2)*100</f>
        <v>4.5454545454545459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158</v>
      </c>
      <c r="H19" s="30">
        <v>168</v>
      </c>
      <c r="I19" s="31">
        <f t="shared" ref="I19:I25" si="0">((C19+D19)/2-(G19+H19)/2)/((G19+H19)/2)*100</f>
        <v>1.8404907975460123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148</v>
      </c>
      <c r="D23" s="30">
        <v>155</v>
      </c>
      <c r="E23" s="30">
        <v>147</v>
      </c>
      <c r="F23" s="30">
        <v>155</v>
      </c>
      <c r="G23" s="30">
        <v>145</v>
      </c>
      <c r="H23" s="30">
        <v>154</v>
      </c>
      <c r="I23" s="31">
        <f t="shared" si="0"/>
        <v>1.3377926421404682</v>
      </c>
      <c r="J23" s="62">
        <v>125</v>
      </c>
      <c r="K23" s="62">
        <v>135</v>
      </c>
      <c r="L23" s="32">
        <f t="shared" si="1"/>
        <v>16.538461538461537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148</v>
      </c>
      <c r="H24" s="30">
        <v>162</v>
      </c>
      <c r="I24" s="31">
        <f t="shared" si="0"/>
        <v>0.64516129032258063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100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.75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.75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60</v>
      </c>
      <c r="H31" s="30">
        <v>80</v>
      </c>
      <c r="I31" s="31">
        <f t="shared" si="2"/>
        <v>-3.5714285714285712</v>
      </c>
      <c r="J31" s="62">
        <v>80</v>
      </c>
      <c r="K31" s="62">
        <v>90</v>
      </c>
      <c r="L31" s="32">
        <f t="shared" si="3"/>
        <v>-20.588235294117645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55</v>
      </c>
      <c r="D35" s="30">
        <v>65</v>
      </c>
      <c r="E35" s="30">
        <v>55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105</v>
      </c>
      <c r="K36" s="62">
        <v>120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200</v>
      </c>
      <c r="K44" s="62">
        <v>300</v>
      </c>
      <c r="L44" s="32">
        <f t="shared" si="5"/>
        <v>-36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610</v>
      </c>
      <c r="L46" s="32">
        <f t="shared" si="5"/>
        <v>-4.3478260869565215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3800</v>
      </c>
      <c r="L48" s="32">
        <f t="shared" si="5"/>
        <v>37.142857142857146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150</v>
      </c>
      <c r="D56" s="30">
        <v>170</v>
      </c>
      <c r="E56" s="30">
        <v>160</v>
      </c>
      <c r="F56" s="30">
        <v>170</v>
      </c>
      <c r="G56" s="30">
        <v>150</v>
      </c>
      <c r="H56" s="30">
        <v>180</v>
      </c>
      <c r="I56" s="31">
        <f t="shared" si="6"/>
        <v>-3.0303030303030303</v>
      </c>
      <c r="J56" s="62">
        <v>170</v>
      </c>
      <c r="K56" s="62">
        <v>180</v>
      </c>
      <c r="L56" s="32">
        <f t="shared" si="7"/>
        <v>-8.5714285714285712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600</v>
      </c>
      <c r="H57" s="30">
        <v>700</v>
      </c>
      <c r="I57" s="31">
        <f t="shared" si="6"/>
        <v>-1.5384615384615385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45861</v>
      </c>
      <c r="D67" s="94"/>
      <c r="E67" s="95">
        <v>45854</v>
      </c>
      <c r="F67" s="94"/>
      <c r="G67" s="95">
        <v>45831</v>
      </c>
      <c r="H67" s="94"/>
      <c r="I67" s="27" t="s">
        <v>12</v>
      </c>
      <c r="J67" s="91">
        <v>45491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106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37</v>
      </c>
      <c r="H72" s="38">
        <v>46</v>
      </c>
      <c r="I72" s="31">
        <f t="shared" si="9"/>
        <v>1.2048192771084338</v>
      </c>
      <c r="J72" s="63">
        <v>46</v>
      </c>
      <c r="K72" s="63">
        <v>50</v>
      </c>
      <c r="L72" s="32">
        <f t="shared" si="8"/>
        <v>-12.5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95500</v>
      </c>
      <c r="K74" s="62">
        <v>98500</v>
      </c>
      <c r="L74" s="32">
        <f t="shared" si="8"/>
        <v>-10.309278350515463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2" si="10">((C83+D83)/2-(E83+F83)/2)/((E83+F83)/2)*100</f>
        <v>0.60606060606060608</v>
      </c>
      <c r="H83" s="5" t="s">
        <v>125</v>
      </c>
      <c r="I83" s="6"/>
      <c r="J83" s="6"/>
      <c r="K83" s="51"/>
      <c r="L83" s="18"/>
    </row>
    <row r="84" spans="1:12" ht="21.75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125</v>
      </c>
      <c r="I84" s="6"/>
      <c r="J84" s="6"/>
      <c r="K84" s="51"/>
      <c r="L84" s="18"/>
    </row>
    <row r="85" spans="1:12" ht="21.75">
      <c r="A85" s="5" t="s">
        <v>33</v>
      </c>
      <c r="B85" s="6" t="s">
        <v>28</v>
      </c>
      <c r="C85" s="30">
        <v>148</v>
      </c>
      <c r="D85" s="30">
        <v>155</v>
      </c>
      <c r="E85" s="30">
        <v>147</v>
      </c>
      <c r="F85" s="30">
        <v>155</v>
      </c>
      <c r="G85" s="7">
        <f t="shared" si="10"/>
        <v>0.33112582781456956</v>
      </c>
      <c r="H85" s="5" t="s">
        <v>121</v>
      </c>
      <c r="I85" s="6"/>
      <c r="J85" s="6"/>
      <c r="K85" s="51"/>
      <c r="L85" s="18"/>
    </row>
    <row r="86" spans="1:12" ht="21.75">
      <c r="A86" s="5" t="s">
        <v>37</v>
      </c>
      <c r="B86" s="6" t="s">
        <v>18</v>
      </c>
      <c r="C86" s="30">
        <v>95</v>
      </c>
      <c r="D86" s="30">
        <v>110</v>
      </c>
      <c r="E86" s="30">
        <v>100</v>
      </c>
      <c r="F86" s="30">
        <v>110</v>
      </c>
      <c r="G86" s="7">
        <f t="shared" si="10"/>
        <v>-2.3809523809523809</v>
      </c>
      <c r="H86" s="5" t="s">
        <v>117</v>
      </c>
      <c r="I86" s="6"/>
      <c r="J86" s="6"/>
      <c r="K86" s="51"/>
      <c r="L86" s="18"/>
    </row>
    <row r="87" spans="1:12" ht="21.75">
      <c r="A87" s="76" t="s">
        <v>38</v>
      </c>
      <c r="B87" s="6" t="s">
        <v>18</v>
      </c>
      <c r="C87" s="30">
        <v>130</v>
      </c>
      <c r="D87" s="30">
        <v>140</v>
      </c>
      <c r="E87" s="30">
        <v>125</v>
      </c>
      <c r="F87" s="30">
        <v>140</v>
      </c>
      <c r="G87" s="7">
        <f t="shared" si="10"/>
        <v>1.8867924528301887</v>
      </c>
      <c r="H87" s="5" t="s">
        <v>121</v>
      </c>
      <c r="I87" s="6"/>
      <c r="J87" s="6"/>
      <c r="K87" s="51"/>
      <c r="L87" s="18"/>
    </row>
    <row r="88" spans="1:12" ht="21.75">
      <c r="A88" s="76" t="s">
        <v>39</v>
      </c>
      <c r="B88" s="6" t="s">
        <v>18</v>
      </c>
      <c r="C88" s="30">
        <v>110</v>
      </c>
      <c r="D88" s="30">
        <v>180</v>
      </c>
      <c r="E88" s="30">
        <v>125</v>
      </c>
      <c r="F88" s="30">
        <v>180</v>
      </c>
      <c r="G88" s="7">
        <f t="shared" si="10"/>
        <v>-4.918032786885246</v>
      </c>
      <c r="H88" s="5" t="s">
        <v>120</v>
      </c>
      <c r="I88" s="6"/>
      <c r="J88" s="6"/>
      <c r="K88" s="51"/>
      <c r="L88" s="18"/>
    </row>
    <row r="89" spans="1:12" ht="21.75">
      <c r="A89" s="76" t="s">
        <v>54</v>
      </c>
      <c r="B89" s="6" t="s">
        <v>18</v>
      </c>
      <c r="C89" s="30">
        <v>500</v>
      </c>
      <c r="D89" s="30">
        <v>600</v>
      </c>
      <c r="E89" s="30">
        <v>480</v>
      </c>
      <c r="F89" s="30">
        <v>600</v>
      </c>
      <c r="G89" s="7">
        <f t="shared" si="10"/>
        <v>1.8518518518518516</v>
      </c>
      <c r="H89" s="5" t="s">
        <v>125</v>
      </c>
      <c r="I89" s="6"/>
      <c r="J89" s="6"/>
      <c r="K89" s="51"/>
      <c r="L89" s="18"/>
    </row>
    <row r="90" spans="1:12" ht="21.75">
      <c r="A90" s="76" t="s">
        <v>62</v>
      </c>
      <c r="B90" s="6" t="s">
        <v>18</v>
      </c>
      <c r="C90" s="30">
        <v>150</v>
      </c>
      <c r="D90" s="30">
        <v>170</v>
      </c>
      <c r="E90" s="30">
        <v>160</v>
      </c>
      <c r="F90" s="30">
        <v>170</v>
      </c>
      <c r="G90" s="7">
        <f t="shared" si="10"/>
        <v>-3.0303030303030303</v>
      </c>
      <c r="H90" s="5" t="s">
        <v>126</v>
      </c>
      <c r="I90" s="6"/>
      <c r="J90" s="6"/>
      <c r="K90" s="51"/>
      <c r="L90" s="18"/>
    </row>
    <row r="91" spans="1:12" ht="21.75">
      <c r="A91" s="76" t="s">
        <v>71</v>
      </c>
      <c r="B91" s="6" t="s">
        <v>18</v>
      </c>
      <c r="C91" s="30">
        <v>105</v>
      </c>
      <c r="D91" s="30">
        <v>115</v>
      </c>
      <c r="E91" s="30">
        <v>106</v>
      </c>
      <c r="F91" s="30">
        <v>115</v>
      </c>
      <c r="G91" s="7">
        <f t="shared" si="10"/>
        <v>-0.45248868778280549</v>
      </c>
      <c r="H91" s="5" t="s">
        <v>120</v>
      </c>
      <c r="I91" s="6"/>
      <c r="J91" s="6"/>
      <c r="K91" s="51"/>
      <c r="L91" s="18"/>
    </row>
    <row r="92" spans="1:12" ht="21.75">
      <c r="A92" s="76" t="s">
        <v>77</v>
      </c>
      <c r="B92" s="6" t="s">
        <v>78</v>
      </c>
      <c r="C92" s="30">
        <v>85000</v>
      </c>
      <c r="D92" s="30">
        <v>89000</v>
      </c>
      <c r="E92" s="30">
        <v>85000</v>
      </c>
      <c r="F92" s="30">
        <v>91500</v>
      </c>
      <c r="G92" s="7">
        <f t="shared" si="10"/>
        <v>-1.41643059490085</v>
      </c>
      <c r="H92" s="5" t="s">
        <v>126</v>
      </c>
      <c r="I92" s="6"/>
      <c r="J92" s="6"/>
      <c r="K92" s="51"/>
      <c r="L92" s="18"/>
    </row>
    <row r="93" spans="1:12" ht="21.75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113</v>
      </c>
      <c r="D98" s="11"/>
      <c r="E98" s="42"/>
      <c r="F98" s="14"/>
      <c r="G98" s="11"/>
      <c r="H98" s="40"/>
      <c r="I98" s="13"/>
      <c r="J98" s="14" t="s">
        <v>118</v>
      </c>
      <c r="K98" s="11"/>
      <c r="L98" s="11"/>
    </row>
    <row r="99" spans="1:12" ht="24.75">
      <c r="A99" s="1"/>
      <c r="B99" s="44"/>
      <c r="C99" s="43" t="s">
        <v>114</v>
      </c>
      <c r="D99" s="14"/>
      <c r="E99" s="42"/>
      <c r="F99" s="45"/>
      <c r="G99" s="47"/>
      <c r="H99" s="47"/>
      <c r="I99" s="86"/>
      <c r="J99" s="14" t="s">
        <v>119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95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101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100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99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98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109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97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102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104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105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90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91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8">
      <c r="A121" s="60"/>
      <c r="B121" s="58"/>
      <c r="C121" s="58"/>
      <c r="D121" s="58"/>
      <c r="E121" s="58"/>
      <c r="F121" s="58"/>
      <c r="G121" s="58"/>
      <c r="H121" s="61"/>
      <c r="I121" s="59"/>
      <c r="J121" s="12"/>
      <c r="K121" s="12"/>
      <c r="L121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2025-07-23T08:21:02Z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