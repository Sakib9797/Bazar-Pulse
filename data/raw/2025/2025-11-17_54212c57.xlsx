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67D90F65-9620-4E23-A397-E0EC31CEAAB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6" i="4"/>
  <c r="G88" i="4"/>
  <c r="G83" i="4"/>
  <c r="G85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<sst xmlns="http://schemas.openxmlformats.org/spreadsheetml/2006/main" count="229" uniqueCount="129">
  <si>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</si>
  <si>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</si>
  <si>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</si>
  <si>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</si>
  <si>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</si>
  <si>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</si>
  <si>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</si>
  <si>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</si>
  <si>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</si>
  <si>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</si>
  <si>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</si>
  <si>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</si>
  <si>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</si>
  <si>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</si>
  <si>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</si>
  <si>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</si>
  <si>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</si>
  <si>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</si>
  <si>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</si>
  <si>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</si>
  <si>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</si>
  <si>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</si>
  <si>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</si>
  <si>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</si>
  <si>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</si>
  <si>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</si>
  <si>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</si>
  <si>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</si>
  <si>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</si>
  <si>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</si>
  <si>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</si>
  <si>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</si>
  <si>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</si>
  <si>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</si>
  <si>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</si>
  <si>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</si>
  <si>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</si>
  <si>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</si>
  <si>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</si>
  <si>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</si>
  <si>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</si>
  <si>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</si>
  <si>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</si>
  <si>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</si>
  <si>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</si>
  <si>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</si>
  <si>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</si>
  <si>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</si>
  <si>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</si>
  <si>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</si>
  <si>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</si>
  <si>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</si>
  <si>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</si>
  <si>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</si>
  <si>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</si>
  <si>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</si>
  <si>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</si>
  <si>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</si>
  <si>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</si>
  <si>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</si>
  <si>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</si>
  <si>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</si>
  <si>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</si>
  <si>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</si>
  <si>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</si>
  <si>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</si>
  <si>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</si>
  <si>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</si>
  <si>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</si>
  <si>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</si>
  <si>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</si>
  <si>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</si>
  <si>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</si>
  <si>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</si>
  <si>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</si>
  <si>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</si>
  <si>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</si>
  <si>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</si>
  <si>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</si>
  <si>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</si>
  <si>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</si>
  <si>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</si>
  <si>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</si>
  <si>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</si>
  <si>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</si>
  <si>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</si>
  <si>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</si>
  <si>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</si>
  <si>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</si>
  <si>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</si>
  <si>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</si>
  <si>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</si>
  <si>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</si>
  <si>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</si>
  <si>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</si>
  <si>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</si>
  <si>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</si>
  <si>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</si>
  <si>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</si>
  <si>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</si>
  <si>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</si>
  <si>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</si>
  <si>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</si>
  <si>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</si>
  <si>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</si>
  <si>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</si>
  <si>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</si>
  <si>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</si>
  <si>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</si>
  <si>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</si>
  <si>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</si>
  <si>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</si>
  <si>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</si>
  <si>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</si>
  <si>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</si>
  <si>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</si>
  <si>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</si>
  <si>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</si>
  <si>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</si>
  <si>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</si>
  <si>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১১-১১-২০২৫ তারিখে মূল্য হ্রাস পেয়েছে।</t>
  </si>
  <si>
    <t>১১-১১-২০২৫ তারিখে মূল্য বৃদ্ধি পেয়েছে।</t>
  </si>
  <si>
    <t>১৩-১১-২০২৫ তারিখে মূল্য হ্রাস পেয়েছে।</t>
  </si>
  <si>
    <t xml:space="preserve">   সিরিয়াল নংঃ     ২৮৭</t>
  </si>
  <si>
    <t>(১)     রশুন (আম)    এর মূল্য বৃদ্ধি পেয়েছে।</t>
  </si>
  <si>
    <t>স্মারক নং-২৬.০৫.০০০০.০১৭.৩১.০১.২৫-৮৩২</t>
  </si>
  <si>
    <t xml:space="preserve">সোমবার ১৭ নভেম্বর ২০২৫ খ্রিঃ, ০২ অগ্রহায়ন ১৪৩২ বাংলা, ২৫ জমা-আউ ১৪৪৭ হিজরি </t>
  </si>
  <si>
    <t>১৭-১১-২০২৫ তারিখে মূল্য হ্রাস পেয়েছে।</t>
  </si>
  <si>
    <t>(২ )   সয়াবিন তেল (৫লিঃ বোতল), পেঁয়াজ (দেশী), মুরগী ব্রয়লার, ডিম, চিনি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</si>
</sst>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topLeftCell="A71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123</v>
      </c>
      <c r="L4" s="84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45978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45978</v>
      </c>
      <c r="D8" s="84"/>
      <c r="E8" s="83">
        <v>45971</v>
      </c>
      <c r="F8" s="84"/>
      <c r="G8" s="83">
        <v>45947</v>
      </c>
      <c r="H8" s="84"/>
      <c r="I8" s="26" t="s">
        <v>12</v>
      </c>
      <c r="J8" s="83">
        <v>45613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170</v>
      </c>
      <c r="K19" s="29">
        <v>172</v>
      </c>
      <c r="L19" s="31">
        <f t="shared" ref="L19:L25" si="1">((C19+D19)/2-(J19+K19)/2)/((J19+K19)/2)*100</f>
        <v>2.3391812865497075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910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810</v>
      </c>
      <c r="K20" s="29">
        <v>818</v>
      </c>
      <c r="L20" s="31">
        <f t="shared" si="1"/>
        <v>12.100737100737101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188</v>
      </c>
      <c r="H22" s="29">
        <v>195</v>
      </c>
      <c r="I22" s="30">
        <f t="shared" si="0"/>
        <v>-0.52219321148825071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153</v>
      </c>
      <c r="H23" s="29">
        <v>162</v>
      </c>
      <c r="I23" s="30">
        <f t="shared" si="0"/>
        <v>-0.95238095238095244</v>
      </c>
      <c r="J23" s="29">
        <v>163</v>
      </c>
      <c r="K23" s="29">
        <v>164</v>
      </c>
      <c r="L23" s="31">
        <f t="shared" si="1"/>
        <v>-4.5871559633027523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168</v>
      </c>
      <c r="I24" s="30">
        <f t="shared" si="0"/>
        <v>-0.92879256965944268</v>
      </c>
      <c r="J24" s="29">
        <v>165</v>
      </c>
      <c r="K24" s="29">
        <v>166</v>
      </c>
      <c r="L24" s="31">
        <f t="shared" si="1"/>
        <v>-3.3232628398791544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110</v>
      </c>
      <c r="F35" s="29">
        <v>120</v>
      </c>
      <c r="G35" s="29">
        <v>75</v>
      </c>
      <c r="H35" s="29">
        <v>85</v>
      </c>
      <c r="I35" s="30">
        <f t="shared" ref="I35:I50" si="4">((C35+D35)/2-(G35+H35)/2)/((G35+H35)/2)*100</f>
        <v>37.5</v>
      </c>
      <c r="J35" s="29">
        <v>130</v>
      </c>
      <c r="K35" s="29">
        <v>150</v>
      </c>
      <c r="L35" s="31">
        <f t="shared" ref="L35:L50" si="5">((C35+D35)/2-(J35+K35)/2)/((J35+K35)/2)*100</f>
        <v>-21.428571428571427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90</v>
      </c>
      <c r="D37" s="29">
        <v>150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240</v>
      </c>
      <c r="K37" s="29">
        <v>270</v>
      </c>
      <c r="L37" s="31">
        <f t="shared" si="5"/>
        <v>-52.941176470588239</v>
      </c>
    </row>
    <row r="38" spans="1:12" ht="21.75">
      <c r="A38" s="69" t="s">
        <v>46</v>
      </c>
      <c r="B38" s="6" t="s">
        <v>18</v>
      </c>
      <c r="C38" s="29">
        <v>160</v>
      </c>
      <c r="D38" s="29">
        <v>220</v>
      </c>
      <c r="E38" s="29">
        <v>160</v>
      </c>
      <c r="F38" s="29">
        <v>200</v>
      </c>
      <c r="G38" s="29">
        <v>130</v>
      </c>
      <c r="H38" s="29">
        <v>200</v>
      </c>
      <c r="I38" s="30">
        <f t="shared" si="4"/>
        <v>15.151515151515152</v>
      </c>
      <c r="J38" s="29">
        <v>230</v>
      </c>
      <c r="K38" s="29">
        <v>250</v>
      </c>
      <c r="L38" s="31">
        <f t="shared" si="5"/>
        <v>-20.833333333333336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180</v>
      </c>
      <c r="E43" s="29">
        <v>0</v>
      </c>
      <c r="F43" s="29">
        <v>0</v>
      </c>
      <c r="G43" s="29">
        <v>180</v>
      </c>
      <c r="H43" s="29">
        <v>200</v>
      </c>
      <c r="I43" s="30">
        <f t="shared" si="4"/>
        <v>-15.789473684210526</v>
      </c>
      <c r="J43" s="29">
        <v>450</v>
      </c>
      <c r="K43" s="29">
        <v>500</v>
      </c>
      <c r="L43" s="31">
        <f t="shared" si="5"/>
        <v>-66.315789473684205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250</v>
      </c>
      <c r="I44" s="30">
        <f t="shared" si="4"/>
        <v>-2.6315789473684208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4250</v>
      </c>
      <c r="L48" s="31">
        <f t="shared" si="5"/>
        <v>34.640522875816991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280</v>
      </c>
      <c r="L49" s="31">
        <f t="shared" si="5"/>
        <v>-7.8431372549019605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780</v>
      </c>
      <c r="I54" s="30">
        <f t="shared" si="6"/>
        <v>1.3071895424836601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190</v>
      </c>
      <c r="E56" s="29">
        <v>170</v>
      </c>
      <c r="F56" s="29">
        <v>190</v>
      </c>
      <c r="G56" s="29">
        <v>170</v>
      </c>
      <c r="H56" s="29">
        <v>185</v>
      </c>
      <c r="I56" s="30">
        <f t="shared" si="6"/>
        <v>-1.4084507042253522</v>
      </c>
      <c r="J56" s="29">
        <v>175</v>
      </c>
      <c r="K56" s="29">
        <v>200</v>
      </c>
      <c r="L56" s="31">
        <f t="shared" si="7"/>
        <v>-6.666666666666667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45978</v>
      </c>
      <c r="D67" s="84"/>
      <c r="E67" s="83">
        <v>45971</v>
      </c>
      <c r="F67" s="84"/>
      <c r="G67" s="83">
        <v>45947</v>
      </c>
      <c r="H67" s="84"/>
      <c r="I67" s="26" t="s">
        <v>12</v>
      </c>
      <c r="J67" s="83">
        <v>45613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100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48</v>
      </c>
      <c r="K72" s="37">
        <v>50</v>
      </c>
      <c r="L72" s="31">
        <f t="shared" si="8"/>
        <v>-8.1632653061224492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124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29</v>
      </c>
      <c r="B83" s="6" t="s">
        <v>30</v>
      </c>
      <c r="C83" s="29">
        <v>900</v>
      </c>
      <c r="D83" s="29">
        <v>925</v>
      </c>
      <c r="E83" s="29">
        <v>910</v>
      </c>
      <c r="F83" s="29">
        <v>925</v>
      </c>
      <c r="G83" s="7">
        <f t="shared" ref="G83" si="10">((C83+D83)/2-(E83+F83)/2)/((E83+F83)/2)*100</f>
        <v>-0.54495912806539504</v>
      </c>
      <c r="H83" s="5" t="s">
        <v>120</v>
      </c>
      <c r="I83" s="6"/>
      <c r="J83" s="6"/>
      <c r="K83" s="50"/>
      <c r="L83" s="17"/>
    </row>
    <row r="84" spans="1:12" ht="21.75">
      <c r="A84" s="69" t="s">
        <v>90</v>
      </c>
      <c r="B84" s="6" t="s">
        <v>18</v>
      </c>
      <c r="C84" s="29">
        <v>100</v>
      </c>
      <c r="D84" s="29">
        <v>120</v>
      </c>
      <c r="E84" s="29">
        <v>110</v>
      </c>
      <c r="F84" s="29">
        <v>120</v>
      </c>
      <c r="G84" s="7">
        <f t="shared" ref="G84:G88" si="11">((C84+D84)/2-(E84+F84)/2)/((E84+F84)/2)*100</f>
        <v>-4.3478260869565215</v>
      </c>
      <c r="H84" s="5" t="s">
        <v>122</v>
      </c>
      <c r="I84" s="6"/>
      <c r="J84" s="6"/>
      <c r="K84" s="11"/>
      <c r="L84" s="11"/>
    </row>
    <row r="85" spans="1:12" ht="21.75">
      <c r="A85" s="69" t="s">
        <v>46</v>
      </c>
      <c r="B85" s="6" t="s">
        <v>18</v>
      </c>
      <c r="C85" s="29">
        <v>160</v>
      </c>
      <c r="D85" s="29">
        <v>220</v>
      </c>
      <c r="E85" s="29">
        <v>160</v>
      </c>
      <c r="F85" s="29">
        <v>200</v>
      </c>
      <c r="G85" s="7">
        <f t="shared" si="11"/>
        <v>5.5555555555555554</v>
      </c>
      <c r="H85" s="5" t="s">
        <v>121</v>
      </c>
      <c r="I85" s="6"/>
      <c r="J85" s="6"/>
      <c r="K85" s="11"/>
      <c r="L85" s="11"/>
    </row>
    <row r="86" spans="1:12" ht="21.75">
      <c r="A86" s="69" t="s">
        <v>62</v>
      </c>
      <c r="B86" s="6" t="s">
        <v>18</v>
      </c>
      <c r="C86" s="29">
        <v>160</v>
      </c>
      <c r="D86" s="29">
        <v>190</v>
      </c>
      <c r="E86" s="29">
        <v>170</v>
      </c>
      <c r="F86" s="29">
        <v>190</v>
      </c>
      <c r="G86" s="7">
        <f t="shared" si="11"/>
        <v>-2.7777777777777777</v>
      </c>
      <c r="H86" s="5" t="s">
        <v>127</v>
      </c>
      <c r="I86" s="6"/>
      <c r="J86" s="6"/>
      <c r="K86" s="11"/>
      <c r="L86" s="11"/>
    </row>
    <row r="87" spans="1:12" ht="21.75">
      <c r="A87" s="69" t="s">
        <v>71</v>
      </c>
      <c r="B87" s="6" t="s">
        <v>18</v>
      </c>
      <c r="C87" s="29">
        <v>95</v>
      </c>
      <c r="D87" s="29">
        <v>110</v>
      </c>
      <c r="E87" s="29">
        <v>100</v>
      </c>
      <c r="F87" s="29">
        <v>110</v>
      </c>
      <c r="G87" s="7">
        <f t="shared" si="11"/>
        <v>-2.3809523809523809</v>
      </c>
      <c r="H87" s="5" t="s">
        <v>120</v>
      </c>
      <c r="I87" s="6"/>
      <c r="J87" s="6"/>
      <c r="K87" s="11"/>
      <c r="L87" s="11"/>
    </row>
    <row r="88" spans="1:12" ht="24.75">
      <c r="A88" s="69" t="s">
        <v>73</v>
      </c>
      <c r="B88" s="6" t="s">
        <v>74</v>
      </c>
      <c r="C88" s="29">
        <v>40</v>
      </c>
      <c r="D88" s="29">
        <v>50</v>
      </c>
      <c r="E88" s="29">
        <v>43</v>
      </c>
      <c r="F88" s="29">
        <v>50</v>
      </c>
      <c r="G88" s="7">
        <f>((C88+D88)/2-(E88+F88)/2)/((E88+F88)/2)*100</f>
        <v>-3.225806451612903</v>
      </c>
      <c r="H88" s="5" t="s">
        <v>127</v>
      </c>
      <c r="I88" s="6"/>
      <c r="J88" s="6"/>
      <c r="K88" s="40"/>
      <c r="L88" s="11"/>
    </row>
    <row r="89" spans="1:12" ht="24.75">
      <c r="A89" s="1"/>
      <c r="B89" s="3"/>
      <c r="C89" s="82"/>
      <c r="D89" s="82"/>
      <c r="E89" s="8"/>
      <c r="F89" s="82"/>
      <c r="G89" s="9"/>
      <c r="H89" s="1"/>
      <c r="I89" s="3"/>
      <c r="J89" s="3"/>
      <c r="K89" s="40"/>
      <c r="L89" s="11"/>
    </row>
    <row r="90" spans="1:12" ht="24.75">
      <c r="A90" s="1"/>
      <c r="B90" s="3"/>
      <c r="C90" s="82"/>
      <c r="D90" s="82"/>
      <c r="E90" s="8"/>
      <c r="F90" s="82"/>
      <c r="G90" s="38"/>
      <c r="H90" s="39"/>
      <c r="I90" s="40"/>
      <c r="J90" s="40"/>
      <c r="K90" s="40"/>
      <c r="L90" s="11"/>
    </row>
    <row r="91" spans="1:12" ht="24.75">
      <c r="A91" s="1"/>
      <c r="B91" s="13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4.75">
      <c r="A92" s="1"/>
      <c r="B92" s="41"/>
      <c r="C92" s="42" t="s">
        <v>119</v>
      </c>
      <c r="D92" s="10"/>
      <c r="E92" s="41"/>
      <c r="F92" s="13"/>
      <c r="G92" s="10"/>
      <c r="H92" s="39"/>
      <c r="I92" s="12"/>
      <c r="J92" s="13" t="s">
        <v>117</v>
      </c>
      <c r="K92" s="10"/>
      <c r="L92" s="10"/>
    </row>
    <row r="93" spans="1:12" ht="24.75">
      <c r="A93" s="1"/>
      <c r="B93" s="43"/>
      <c r="C93" s="42" t="s">
        <v>116</v>
      </c>
      <c r="D93" s="13"/>
      <c r="E93" s="41"/>
      <c r="F93" s="44"/>
      <c r="G93" s="46"/>
      <c r="H93" s="46"/>
      <c r="I93" s="76"/>
      <c r="J93" s="13" t="s">
        <v>118</v>
      </c>
      <c r="K93" s="13"/>
      <c r="L93" s="13"/>
    </row>
    <row r="94" spans="1:12" ht="24.75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9.5">
      <c r="A95" s="55" t="s">
        <v>93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9.5">
      <c r="A96" s="54" t="s">
        <v>99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9.5">
      <c r="A97" s="54" t="s">
        <v>98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9.5">
      <c r="A98" s="54" t="s">
        <v>85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107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101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5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89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114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113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112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2025-11-17T07:03:23Z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