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EDC3C91E-3777-854E-B22D-958B8A2C6A5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4" i="4"/>
  <c r="G83" i="4"/>
  <c r="G85" i="4"/>
  <c r="G89" i="4"/>
  <c r="G87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<sst xmlns="http://schemas.openxmlformats.org/spreadsheetml/2006/main" count="232" uniqueCount="133">
  <si>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</si>
  <si>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</si>
  <si>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</si>
  <si>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</si>
  <si>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</si>
  <si>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</si>
  <si>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</si>
  <si>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</si>
  <si>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</si>
  <si>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</si>
  <si>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</si>
  <si>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</si>
  <si>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</si>
  <si>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</si>
  <si>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</si>
  <si>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</si>
  <si>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</si>
  <si>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</si>
  <si>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</si>
  <si>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</si>
  <si>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</si>
  <si>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</si>
  <si>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</si>
  <si>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</si>
  <si>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</si>
  <si>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</si>
  <si>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</si>
  <si>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</si>
  <si>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</si>
  <si>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</si>
  <si>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</si>
  <si>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</si>
  <si>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</si>
  <si>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</si>
  <si>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</si>
  <si>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</si>
  <si>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</si>
  <si>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</si>
  <si>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</si>
  <si>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</si>
  <si>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</si>
  <si>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</si>
  <si>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</si>
  <si>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</si>
  <si>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</si>
  <si>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</si>
  <si>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</si>
  <si>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</si>
  <si>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</si>
  <si>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</si>
  <si>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</si>
  <si>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</si>
  <si>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</si>
  <si>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</si>
  <si>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</si>
  <si>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</si>
  <si>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</si>
  <si>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</si>
  <si>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</si>
  <si>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</si>
  <si>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</si>
  <si>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</si>
  <si>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</si>
  <si>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</si>
  <si>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</si>
  <si>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</si>
  <si>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</si>
  <si>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</si>
  <si>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</si>
  <si>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</si>
  <si>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</si>
  <si>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</si>
  <si>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</si>
  <si>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</si>
  <si>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</si>
  <si>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</si>
  <si>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</si>
  <si>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</si>
  <si>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</si>
  <si>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</si>
  <si>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</si>
  <si>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</si>
  <si>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</si>
  <si>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</si>
  <si>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</si>
  <si>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</si>
  <si>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</si>
  <si>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</si>
  <si>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</si>
  <si>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</si>
  <si>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</si>
  <si>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</si>
  <si>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</si>
  <si>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</si>
  <si>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</si>
  <si>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</si>
  <si>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</si>
  <si>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</si>
  <si>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</si>
  <si>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</si>
  <si>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</si>
  <si>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</si>
  <si>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</si>
  <si>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</si>
  <si>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</si>
  <si>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</si>
  <si>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</si>
  <si>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</si>
  <si>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</si>
  <si>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</si>
  <si>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</si>
  <si>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</si>
  <si>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</si>
  <si>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</si>
  <si>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</si>
  <si>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</si>
  <si>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</si>
  <si>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</si>
  <si>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>০৬-১০-২০২৫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</si>
  <si>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</si>
  <si>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</si>
  <si>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০৭-১০-২০২৫ তারিখে মূল্য হ্রাস পেয়েছে।</t>
  </si>
  <si>
    <t>০৮-১০-২০২৫ তারিখে মূল্য বৃদ্ধি পেয়েছে।</t>
  </si>
  <si>
    <t>০৮-১০-২০২৫ তারিখে মূল্য হ্রাস পেয়েছে।</t>
  </si>
  <si>
    <t>(২ )    চাল (সরু), শুকনা মরিচ (দেশী, আম)    এর মূল্য হ্রাস পেয়েছে।</t>
  </si>
  <si>
    <t>০৯-১০-২০২৫ তারিখে মূল্য বৃদ্ধি পেয়েছে।</t>
  </si>
  <si>
    <t>স্মারক নং-২৬.০৫.০০০০.০১৭.৩১.০১.২৫-৭১৯</t>
  </si>
  <si>
    <t xml:space="preserve">শুক্রবার ১০ অক্টোবর ২০২৫ খ্রিঃ, ২৫ আশ্বিন ১৪৩২ বাংলা, ১৫ রবিউল সানি ১৪৪৭ হিজরি </t>
  </si>
  <si>
    <t xml:space="preserve">   সিরিয়াল নংঃ     ২৫৫</t>
  </si>
  <si>
    <t>১০-১০-২০২৫ তারিখে মূল্য বৃদ্ধি পেয়েছে।</t>
  </si>
  <si>
    <t>(১)      সয়াবিন তেল (লুজ), আলু, পেঁয়াজ (দেশী), ডিম, এম এস রড (৪০ গ্রেড)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</si>
</sst>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H1" zoomScale="98" zoomScaleNormal="98" workbookViewId="0">
      <selection activeCell="L6" sqref="L6"/>
    </sheetView>
  </sheetViews>
  <sheetFormatPr defaultRowHeight="16.5" x14ac:dyDescent="0.25"/>
  <cols>
    <col min="1" max="1" width="16.0429687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2539062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128</v>
      </c>
      <c r="L4" s="83"/>
    </row>
    <row r="5" spans="1:12" ht="19.5" customHeight="1" x14ac:dyDescent="0.25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" x14ac:dyDescent="0.2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45940</v>
      </c>
    </row>
    <row r="7" spans="1:12" ht="21" x14ac:dyDescent="0.25">
      <c r="A7" s="25" t="s">
        <v>4</v>
      </c>
      <c r="B7" s="26" t="s">
        <v>5</v>
      </c>
      <c r="C7" s="84" t="s">
        <v>6</v>
      </c>
      <c r="D7" s="83"/>
      <c r="E7" s="84" t="s">
        <v>7</v>
      </c>
      <c r="F7" s="83"/>
      <c r="G7" s="84" t="s">
        <v>8</v>
      </c>
      <c r="H7" s="83"/>
      <c r="I7" s="26" t="s">
        <v>9</v>
      </c>
      <c r="J7" s="84" t="s">
        <v>10</v>
      </c>
      <c r="K7" s="83"/>
      <c r="L7" s="27" t="s">
        <v>11</v>
      </c>
    </row>
    <row r="8" spans="1:12" ht="21" x14ac:dyDescent="0.25">
      <c r="A8" s="25"/>
      <c r="B8" s="26"/>
      <c r="C8" s="82">
        <v>45940</v>
      </c>
      <c r="D8" s="83"/>
      <c r="E8" s="82">
        <v>45933</v>
      </c>
      <c r="F8" s="83"/>
      <c r="G8" s="82">
        <v>45910</v>
      </c>
      <c r="H8" s="83"/>
      <c r="I8" s="26" t="s">
        <v>12</v>
      </c>
      <c r="J8" s="82">
        <v>45574</v>
      </c>
      <c r="K8" s="83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" x14ac:dyDescent="0.3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" x14ac:dyDescent="0.3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172</v>
      </c>
      <c r="D19" s="29">
        <v>178</v>
      </c>
      <c r="E19" s="29">
        <v>172</v>
      </c>
      <c r="F19" s="29">
        <v>178</v>
      </c>
      <c r="G19" s="29">
        <v>168</v>
      </c>
      <c r="H19" s="29">
        <v>172</v>
      </c>
      <c r="I19" s="30">
        <f t="shared" ref="I19:I25" si="0">((C19+D19)/2-(G19+H19)/2)/((G19+H19)/2)*100</f>
        <v>2.9411764705882351</v>
      </c>
      <c r="J19" s="29">
        <v>151</v>
      </c>
      <c r="K19" s="29">
        <v>155</v>
      </c>
      <c r="L19" s="31">
        <f t="shared" ref="L19:L25" si="1">((C19+D19)/2-(J19+K19)/2)/((J19+K19)/2)*100</f>
        <v>14.37908496732026</v>
      </c>
    </row>
    <row r="20" spans="1:12" ht="21" x14ac:dyDescent="0.3">
      <c r="A20" s="69" t="s">
        <v>29</v>
      </c>
      <c r="B20" s="6" t="s">
        <v>30</v>
      </c>
      <c r="C20" s="29">
        <v>890</v>
      </c>
      <c r="D20" s="29">
        <v>920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0</v>
      </c>
      <c r="J20" s="29">
        <v>800</v>
      </c>
      <c r="K20" s="29">
        <v>810</v>
      </c>
      <c r="L20" s="31">
        <f t="shared" si="1"/>
        <v>12.422360248447205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380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0.26560424966799467</v>
      </c>
      <c r="J21" s="29">
        <v>330</v>
      </c>
      <c r="K21" s="29">
        <v>335</v>
      </c>
      <c r="L21" s="31">
        <f t="shared" si="1"/>
        <v>13.533834586466165</v>
      </c>
    </row>
    <row r="22" spans="1:12" ht="21" x14ac:dyDescent="0.3">
      <c r="A22" s="69" t="s">
        <v>29</v>
      </c>
      <c r="B22" s="6" t="s">
        <v>32</v>
      </c>
      <c r="C22" s="29">
        <v>188</v>
      </c>
      <c r="D22" s="29">
        <v>190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0</v>
      </c>
      <c r="J22" s="29">
        <v>165</v>
      </c>
      <c r="K22" s="29">
        <v>170</v>
      </c>
      <c r="L22" s="31">
        <f t="shared" si="1"/>
        <v>12.835820895522387</v>
      </c>
    </row>
    <row r="23" spans="1:12" ht="21" x14ac:dyDescent="0.3">
      <c r="A23" s="69" t="s">
        <v>33</v>
      </c>
      <c r="B23" s="6" t="s">
        <v>28</v>
      </c>
      <c r="C23" s="29">
        <v>153</v>
      </c>
      <c r="D23" s="29">
        <v>160</v>
      </c>
      <c r="E23" s="29">
        <v>153</v>
      </c>
      <c r="F23" s="29">
        <v>160</v>
      </c>
      <c r="G23" s="29">
        <v>153</v>
      </c>
      <c r="H23" s="29">
        <v>157</v>
      </c>
      <c r="I23" s="30">
        <f t="shared" si="0"/>
        <v>0.967741935483871</v>
      </c>
      <c r="J23" s="29">
        <v>145</v>
      </c>
      <c r="K23" s="29">
        <v>146</v>
      </c>
      <c r="L23" s="31">
        <f t="shared" si="1"/>
        <v>7.5601374570446733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166</v>
      </c>
      <c r="E24" s="29">
        <v>155</v>
      </c>
      <c r="F24" s="29">
        <v>166</v>
      </c>
      <c r="G24" s="29">
        <v>155</v>
      </c>
      <c r="H24" s="29">
        <v>164</v>
      </c>
      <c r="I24" s="30">
        <f t="shared" si="0"/>
        <v>0.62695924764890276</v>
      </c>
      <c r="J24" s="29">
        <v>147</v>
      </c>
      <c r="K24" s="29">
        <v>150</v>
      </c>
      <c r="L24" s="31">
        <f t="shared" si="1"/>
        <v>8.0808080808080813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900</v>
      </c>
      <c r="L25" s="31">
        <f t="shared" si="1"/>
        <v>18.539325842696631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" x14ac:dyDescent="0.3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115</v>
      </c>
      <c r="K28" s="29">
        <v>120</v>
      </c>
      <c r="L28" s="31">
        <f t="shared" si="3"/>
        <v>10.638297872340425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115</v>
      </c>
      <c r="E32" s="29">
        <v>100</v>
      </c>
      <c r="F32" s="29">
        <v>115</v>
      </c>
      <c r="G32" s="29">
        <v>95</v>
      </c>
      <c r="H32" s="29">
        <v>110</v>
      </c>
      <c r="I32" s="30">
        <f t="shared" si="2"/>
        <v>4.8780487804878048</v>
      </c>
      <c r="J32" s="29">
        <v>125</v>
      </c>
      <c r="K32" s="29">
        <v>135</v>
      </c>
      <c r="L32" s="31">
        <f t="shared" si="3"/>
        <v>-17.307692307692307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25</v>
      </c>
      <c r="G33" s="29">
        <v>20</v>
      </c>
      <c r="H33" s="29">
        <v>30</v>
      </c>
      <c r="I33" s="30">
        <f t="shared" si="2"/>
        <v>-10</v>
      </c>
      <c r="J33" s="29">
        <v>50</v>
      </c>
      <c r="K33" s="29">
        <v>60</v>
      </c>
      <c r="L33" s="31">
        <f t="shared" si="3"/>
        <v>-59.090909090909093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75</v>
      </c>
      <c r="D35" s="29">
        <v>80</v>
      </c>
      <c r="E35" s="29">
        <v>65</v>
      </c>
      <c r="F35" s="29">
        <v>80</v>
      </c>
      <c r="G35" s="29">
        <v>70</v>
      </c>
      <c r="H35" s="29">
        <v>82</v>
      </c>
      <c r="I35" s="30">
        <f t="shared" ref="I35:I50" si="4">((C35+D35)/2-(G35+H35)/2)/((G35+H35)/2)*100</f>
        <v>1.9736842105263157</v>
      </c>
      <c r="J35" s="29">
        <v>110</v>
      </c>
      <c r="K35" s="29">
        <v>120</v>
      </c>
      <c r="L35" s="31">
        <f t="shared" ref="L35:L50" si="5">((C35+D35)/2-(J35+K35)/2)/((J35+K35)/2)*100</f>
        <v>-32.608695652173914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100</v>
      </c>
      <c r="K36" s="29">
        <v>110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210</v>
      </c>
      <c r="K37" s="29">
        <v>220</v>
      </c>
      <c r="L37" s="31">
        <f t="shared" si="5"/>
        <v>-44.186046511627907</v>
      </c>
    </row>
    <row r="38" spans="1:12" ht="21" x14ac:dyDescent="0.3">
      <c r="A38" s="69" t="s">
        <v>46</v>
      </c>
      <c r="B38" s="6" t="s">
        <v>18</v>
      </c>
      <c r="C38" s="29">
        <v>130</v>
      </c>
      <c r="D38" s="29">
        <v>200</v>
      </c>
      <c r="E38" s="29">
        <v>150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350</v>
      </c>
      <c r="E39" s="29">
        <v>220</v>
      </c>
      <c r="F39" s="29">
        <v>350</v>
      </c>
      <c r="G39" s="29">
        <v>250</v>
      </c>
      <c r="H39" s="29">
        <v>350</v>
      </c>
      <c r="I39" s="30">
        <f t="shared" si="4"/>
        <v>-8.3333333333333321</v>
      </c>
      <c r="J39" s="29">
        <v>280</v>
      </c>
      <c r="K39" s="29">
        <v>350</v>
      </c>
      <c r="L39" s="31">
        <f t="shared" si="5"/>
        <v>-12.698412698412698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400</v>
      </c>
      <c r="E40" s="29">
        <v>320</v>
      </c>
      <c r="F40" s="29">
        <v>420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440</v>
      </c>
      <c r="L41" s="31">
        <f t="shared" si="5"/>
        <v>-11.39240506329114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380</v>
      </c>
      <c r="L42" s="31">
        <f t="shared" si="5"/>
        <v>5.8823529411764701</v>
      </c>
    </row>
    <row r="43" spans="1:12" ht="21" x14ac:dyDescent="0.3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52</v>
      </c>
      <c r="B44" s="6" t="s">
        <v>18</v>
      </c>
      <c r="C44" s="29">
        <v>140</v>
      </c>
      <c r="D44" s="29">
        <v>250</v>
      </c>
      <c r="E44" s="29">
        <v>150</v>
      </c>
      <c r="F44" s="29">
        <v>240</v>
      </c>
      <c r="G44" s="29">
        <v>140</v>
      </c>
      <c r="H44" s="29">
        <v>260</v>
      </c>
      <c r="I44" s="30">
        <f t="shared" si="4"/>
        <v>-2.5</v>
      </c>
      <c r="J44" s="29">
        <v>200</v>
      </c>
      <c r="K44" s="29">
        <v>280</v>
      </c>
      <c r="L44" s="31">
        <f t="shared" si="5"/>
        <v>-18.75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280</v>
      </c>
      <c r="L49" s="31">
        <f t="shared" si="5"/>
        <v>0</v>
      </c>
    </row>
    <row r="50" spans="1:12" ht="21" x14ac:dyDescent="0.3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200</v>
      </c>
      <c r="L50" s="31">
        <f t="shared" si="5"/>
        <v>32.8125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400</v>
      </c>
      <c r="L52" s="31">
        <f t="shared" ref="L52:L57" si="7">((C52+D52)/2-(J52+K52)/2)/((J52+K52)/2)*100</f>
        <v>10.294117647058822</v>
      </c>
    </row>
    <row r="53" spans="1:12" ht="21" x14ac:dyDescent="0.3">
      <c r="A53" s="69" t="s">
        <v>61</v>
      </c>
      <c r="B53" s="6" t="s">
        <v>18</v>
      </c>
      <c r="C53" s="29">
        <v>0</v>
      </c>
      <c r="D53" s="29">
        <v>0</v>
      </c>
      <c r="E53" s="29">
        <v>900</v>
      </c>
      <c r="F53" s="29">
        <v>2200</v>
      </c>
      <c r="G53" s="29">
        <v>900</v>
      </c>
      <c r="H53" s="29">
        <v>2200</v>
      </c>
      <c r="I53" s="30">
        <f t="shared" si="6"/>
        <v>-100</v>
      </c>
      <c r="J53" s="29">
        <v>800</v>
      </c>
      <c r="K53" s="29">
        <v>1800</v>
      </c>
      <c r="L53" s="31">
        <f t="shared" si="7"/>
        <v>-100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650</v>
      </c>
      <c r="K54" s="29">
        <v>800</v>
      </c>
      <c r="L54" s="31">
        <f t="shared" si="7"/>
        <v>6.8965517241379306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1000</v>
      </c>
      <c r="K55" s="29">
        <v>1100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190</v>
      </c>
      <c r="K56" s="29">
        <v>210</v>
      </c>
      <c r="L56" s="31">
        <f t="shared" si="7"/>
        <v>-11.25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500</v>
      </c>
      <c r="K57" s="29">
        <v>580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4" t="s">
        <v>6</v>
      </c>
      <c r="D66" s="83"/>
      <c r="E66" s="84" t="s">
        <v>7</v>
      </c>
      <c r="F66" s="83"/>
      <c r="G66" s="84" t="s">
        <v>8</v>
      </c>
      <c r="H66" s="83"/>
      <c r="I66" s="26" t="s">
        <v>9</v>
      </c>
      <c r="J66" s="84" t="s">
        <v>10</v>
      </c>
      <c r="K66" s="83"/>
      <c r="L66" s="26" t="s">
        <v>11</v>
      </c>
    </row>
    <row r="67" spans="1:12" ht="18" customHeight="1" x14ac:dyDescent="0.25">
      <c r="A67" s="73"/>
      <c r="B67" s="64"/>
      <c r="C67" s="82">
        <v>45940</v>
      </c>
      <c r="D67" s="83"/>
      <c r="E67" s="82">
        <v>45933</v>
      </c>
      <c r="F67" s="83"/>
      <c r="G67" s="82">
        <v>45910</v>
      </c>
      <c r="H67" s="83"/>
      <c r="I67" s="26" t="s">
        <v>12</v>
      </c>
      <c r="J67" s="82">
        <v>45574</v>
      </c>
      <c r="K67" s="83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105</v>
      </c>
      <c r="D69" s="29">
        <v>115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0</v>
      </c>
      <c r="J69" s="29">
        <v>125</v>
      </c>
      <c r="K69" s="29">
        <v>135</v>
      </c>
      <c r="L69" s="31">
        <f t="shared" ref="L69:L75" si="8">((C69+D69)/2-(J69+K69)/2)/((J69+K69)/2)*100</f>
        <v>-15.384615384615385</v>
      </c>
    </row>
    <row r="70" spans="1:12" ht="21" x14ac:dyDescent="0.3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48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3.1578947368421053</v>
      </c>
      <c r="J72" s="37">
        <v>50</v>
      </c>
      <c r="K72" s="37">
        <v>55</v>
      </c>
      <c r="L72" s="31">
        <f t="shared" si="8"/>
        <v>-6.666666666666667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35</v>
      </c>
      <c r="L73" s="31">
        <f t="shared" si="8"/>
        <v>7.6923076923076925</v>
      </c>
    </row>
    <row r="74" spans="1:12" ht="21" x14ac:dyDescent="0.3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" x14ac:dyDescent="0.3">
      <c r="A75" s="69" t="s">
        <v>79</v>
      </c>
      <c r="B75" s="6" t="s">
        <v>78</v>
      </c>
      <c r="C75" s="29">
        <v>76000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21.75" customHeight="1" x14ac:dyDescent="0.25">
      <c r="A76" s="85" t="s">
        <v>112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7" t="s">
        <v>12</v>
      </c>
      <c r="H82" s="87" t="s">
        <v>84</v>
      </c>
      <c r="I82" s="91"/>
      <c r="J82" s="88"/>
      <c r="K82" s="50"/>
      <c r="L82" s="17"/>
    </row>
    <row r="83" spans="1:12" ht="21" x14ac:dyDescent="0.3">
      <c r="A83" s="5" t="s">
        <v>17</v>
      </c>
      <c r="B83" s="6" t="s">
        <v>18</v>
      </c>
      <c r="C83" s="29">
        <v>72</v>
      </c>
      <c r="D83" s="29">
        <v>85</v>
      </c>
      <c r="E83" s="29">
        <v>75</v>
      </c>
      <c r="F83" s="29">
        <v>85</v>
      </c>
      <c r="G83" s="7">
        <f t="shared" ref="G83:G89" si="10">((C83+D83)/2-(E83+F83)/2)/((E83+F83)/2)*100</f>
        <v>-1.875</v>
      </c>
      <c r="H83" s="5" t="s">
        <v>123</v>
      </c>
      <c r="I83" s="6"/>
      <c r="J83" s="6"/>
      <c r="K83" s="50"/>
      <c r="L83" s="17"/>
    </row>
    <row r="84" spans="1:12" ht="21" x14ac:dyDescent="0.3">
      <c r="A84" s="5" t="s">
        <v>42</v>
      </c>
      <c r="B84" s="6" t="s">
        <v>18</v>
      </c>
      <c r="C84" s="29">
        <v>20</v>
      </c>
      <c r="D84" s="29">
        <v>25</v>
      </c>
      <c r="E84" s="29">
        <v>18</v>
      </c>
      <c r="F84" s="29">
        <v>25</v>
      </c>
      <c r="G84" s="7">
        <f t="shared" si="10"/>
        <v>4.6511627906976747</v>
      </c>
      <c r="H84" s="5" t="s">
        <v>125</v>
      </c>
      <c r="I84" s="6"/>
      <c r="J84" s="6"/>
      <c r="K84" s="50"/>
      <c r="L84" s="17"/>
    </row>
    <row r="85" spans="1:12" ht="21" x14ac:dyDescent="0.3">
      <c r="A85" s="5" t="s">
        <v>90</v>
      </c>
      <c r="B85" s="6" t="s">
        <v>18</v>
      </c>
      <c r="C85" s="29">
        <v>75</v>
      </c>
      <c r="D85" s="29">
        <v>80</v>
      </c>
      <c r="E85" s="29">
        <v>65</v>
      </c>
      <c r="F85" s="29">
        <v>80</v>
      </c>
      <c r="G85" s="7">
        <f t="shared" si="10"/>
        <v>6.8965517241379306</v>
      </c>
      <c r="H85" s="5" t="s">
        <v>129</v>
      </c>
      <c r="I85" s="6"/>
      <c r="J85" s="6"/>
      <c r="K85" s="50"/>
      <c r="L85" s="17"/>
    </row>
    <row r="86" spans="1:12" ht="21" x14ac:dyDescent="0.3">
      <c r="A86" s="69" t="s">
        <v>47</v>
      </c>
      <c r="B86" s="6" t="s">
        <v>18</v>
      </c>
      <c r="C86" s="29">
        <v>200</v>
      </c>
      <c r="D86" s="29">
        <v>350</v>
      </c>
      <c r="E86" s="29">
        <v>220</v>
      </c>
      <c r="F86" s="29">
        <v>350</v>
      </c>
      <c r="G86" s="7">
        <f t="shared" si="10"/>
        <v>-3.5087719298245612</v>
      </c>
      <c r="H86" s="5" t="s">
        <v>118</v>
      </c>
      <c r="I86" s="6"/>
      <c r="J86" s="6"/>
      <c r="K86" s="50"/>
      <c r="L86" s="17"/>
    </row>
    <row r="87" spans="1:12" ht="21" x14ac:dyDescent="0.3">
      <c r="A87" s="69" t="s">
        <v>48</v>
      </c>
      <c r="B87" s="6" t="s">
        <v>18</v>
      </c>
      <c r="C87" s="29">
        <v>300</v>
      </c>
      <c r="D87" s="29">
        <v>400</v>
      </c>
      <c r="E87" s="29">
        <v>320</v>
      </c>
      <c r="F87" s="29">
        <v>420</v>
      </c>
      <c r="G87" s="7">
        <f t="shared" si="10"/>
        <v>-5.4054054054054053</v>
      </c>
      <c r="H87" s="5" t="s">
        <v>121</v>
      </c>
      <c r="I87" s="6"/>
      <c r="J87" s="6"/>
      <c r="K87" s="11"/>
      <c r="L87" s="11"/>
    </row>
    <row r="88" spans="1:12" ht="21" x14ac:dyDescent="0.3">
      <c r="A88" s="69" t="s">
        <v>73</v>
      </c>
      <c r="B88" s="6" t="s">
        <v>74</v>
      </c>
      <c r="C88" s="37">
        <v>48</v>
      </c>
      <c r="D88" s="37">
        <v>50</v>
      </c>
      <c r="E88" s="37">
        <v>45</v>
      </c>
      <c r="F88" s="37">
        <v>50</v>
      </c>
      <c r="G88" s="7">
        <f t="shared" si="10"/>
        <v>3.1578947368421053</v>
      </c>
      <c r="H88" s="5" t="s">
        <v>129</v>
      </c>
      <c r="I88" s="6"/>
      <c r="J88" s="6"/>
      <c r="K88" s="11"/>
      <c r="L88" s="11"/>
    </row>
    <row r="89" spans="1:12" ht="21" x14ac:dyDescent="0.3">
      <c r="A89" s="69" t="s">
        <v>79</v>
      </c>
      <c r="B89" s="6" t="s">
        <v>78</v>
      </c>
      <c r="C89" s="29">
        <v>76000</v>
      </c>
      <c r="D89" s="37">
        <v>79000</v>
      </c>
      <c r="E89" s="29">
        <v>75000</v>
      </c>
      <c r="F89" s="37">
        <v>79000</v>
      </c>
      <c r="G89" s="7">
        <f t="shared" si="10"/>
        <v>0.64935064935064934</v>
      </c>
      <c r="H89" s="5" t="s">
        <v>122</v>
      </c>
      <c r="I89" s="6"/>
      <c r="J89" s="6"/>
      <c r="K89" s="11"/>
      <c r="L89" s="11"/>
    </row>
    <row r="90" spans="1:12" ht="21" x14ac:dyDescent="0.3">
      <c r="A90" s="72"/>
      <c r="B90" s="3"/>
      <c r="C90" s="78"/>
      <c r="D90" s="78"/>
      <c r="E90" s="78"/>
      <c r="F90" s="78"/>
      <c r="G90" s="9"/>
      <c r="H90" s="1"/>
      <c r="I90" s="3"/>
      <c r="J90" s="3"/>
      <c r="K90" s="11"/>
      <c r="L90" s="11"/>
    </row>
    <row r="91" spans="1:12" ht="21" x14ac:dyDescent="0.3">
      <c r="A91" s="72"/>
      <c r="B91" s="3"/>
      <c r="C91" s="78"/>
      <c r="D91" s="78"/>
      <c r="E91" s="78"/>
      <c r="F91" s="78"/>
      <c r="G91" s="9"/>
      <c r="H91" s="1"/>
      <c r="I91" s="3"/>
      <c r="J91" s="3"/>
      <c r="K91" s="11"/>
      <c r="L91" s="11"/>
    </row>
    <row r="92" spans="1:12" ht="21" x14ac:dyDescent="0.3">
      <c r="A92" s="72"/>
      <c r="B92" s="3"/>
      <c r="C92" s="78"/>
      <c r="D92" s="78"/>
      <c r="E92" s="78"/>
      <c r="F92" s="78"/>
      <c r="G92" s="9"/>
      <c r="H92" s="1"/>
      <c r="I92" s="3"/>
      <c r="J92" s="3"/>
      <c r="K92" s="11"/>
      <c r="L92" s="11"/>
    </row>
    <row r="93" spans="1:12" ht="23.25" x14ac:dyDescent="0.3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3.25" x14ac:dyDescent="0.3">
      <c r="A94" s="1"/>
      <c r="B94" s="41"/>
      <c r="C94" s="42" t="s">
        <v>116</v>
      </c>
      <c r="D94" s="10"/>
      <c r="E94" s="41"/>
      <c r="F94" s="13"/>
      <c r="G94" s="10"/>
      <c r="H94" s="39"/>
      <c r="I94" s="12"/>
      <c r="J94" s="13" t="s">
        <v>119</v>
      </c>
      <c r="K94" s="10"/>
      <c r="L94" s="10"/>
    </row>
    <row r="95" spans="1:12" ht="23.25" x14ac:dyDescent="0.3">
      <c r="A95" s="1"/>
      <c r="B95" s="43"/>
      <c r="C95" s="42" t="s">
        <v>117</v>
      </c>
      <c r="D95" s="13"/>
      <c r="E95" s="41"/>
      <c r="F95" s="44"/>
      <c r="G95" s="46"/>
      <c r="H95" s="46"/>
      <c r="I95" s="76"/>
      <c r="J95" s="13" t="s">
        <v>120</v>
      </c>
      <c r="K95" s="13"/>
      <c r="L95" s="13"/>
    </row>
    <row r="96" spans="1:12" ht="23.25" x14ac:dyDescent="0.3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8.75" x14ac:dyDescent="0.25">
      <c r="A97" s="55" t="s">
        <v>93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8.75" x14ac:dyDescent="0.25">
      <c r="A98" s="54" t="s">
        <v>99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98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85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97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107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86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5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89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115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114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113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2025-10-09T08:19:44Z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