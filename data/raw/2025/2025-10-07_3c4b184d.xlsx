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D6FCF42A-B5DE-408E-BF78-42E80695E1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<sst xmlns="http://schemas.openxmlformats.org/spreadsheetml/2006/main" count="220" uniqueCount="128">
  <si>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</si>
  <si>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</si>
  <si>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</si>
  <si>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</si>
  <si>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</si>
  <si>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</si>
  <si>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</si>
  <si>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</si>
  <si>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</si>
  <si>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</si>
  <si>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</si>
  <si>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</si>
  <si>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</si>
  <si>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</si>
  <si>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</si>
  <si>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</si>
  <si>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</si>
  <si>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</si>
  <si>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</si>
  <si>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</si>
  <si>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</si>
  <si>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</si>
  <si>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</si>
  <si>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</si>
  <si>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</si>
  <si>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</si>
  <si>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</si>
  <si>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</si>
  <si>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</si>
  <si>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</si>
  <si>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</si>
  <si>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</si>
  <si>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</si>
  <si>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</si>
  <si>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</si>
  <si>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</si>
  <si>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</si>
  <si>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</si>
  <si>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</si>
  <si>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</si>
  <si>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</si>
  <si>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</si>
  <si>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</si>
  <si>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</si>
  <si>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</si>
  <si>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</si>
  <si>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</si>
  <si>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</si>
  <si>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</si>
  <si>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</si>
  <si>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</si>
  <si>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</si>
  <si>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</si>
  <si>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</si>
  <si>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</si>
  <si>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</si>
  <si>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</si>
  <si>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</si>
  <si>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</si>
  <si>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</si>
  <si>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</si>
  <si>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</si>
  <si>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</si>
  <si>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</si>
  <si>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</si>
  <si>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</si>
  <si>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</si>
  <si>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</si>
  <si>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</si>
  <si>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</si>
  <si>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</si>
  <si>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</si>
  <si>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</si>
  <si>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</si>
  <si>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</si>
  <si>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</si>
  <si>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</si>
  <si>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</si>
  <si>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</si>
  <si>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</si>
  <si>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</si>
  <si>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</si>
  <si>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</si>
  <si>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</si>
  <si>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</si>
  <si>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</si>
  <si>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</si>
  <si>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</si>
  <si>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</si>
  <si>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</si>
  <si>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</si>
  <si>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</si>
  <si>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</si>
  <si>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</si>
  <si>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</si>
  <si>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</si>
  <si>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</si>
  <si>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</si>
  <si>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</si>
  <si>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</si>
  <si>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</si>
  <si>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</si>
  <si>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</si>
  <si>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</si>
  <si>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</si>
  <si>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</si>
  <si>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</si>
  <si>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</si>
  <si>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</si>
  <si>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</si>
  <si>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</si>
  <si>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</si>
  <si>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</si>
  <si>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</si>
  <si>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</si>
  <si>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</si>
  <si>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</si>
  <si>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</si>
  <si>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০৩-১০-২০২৫ তারিখে মূল্য বৃদ্ধি পেয়েছে।</t>
  </si>
  <si>
    <t>০৬-১০-২০২৫ তারিখে মূল্য হ্রাস পেয়েছে।</t>
  </si>
  <si>
    <t>(২ )    শুকনা মরিচ (দেশী, আম)    এর মূল্য হ্রাস পেয়েছে।</t>
  </si>
  <si>
    <t>(১)      সয়াবিন তেল (লুজ)   এর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</si>
  <si>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</si>
  <si>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</si>
  <si>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নং-২৬.০৫.০০০০.০১৭.৩১.০১.২৫-৭১০</t>
  </si>
  <si>
    <t xml:space="preserve">মঙ্গলবার ০৭ অক্টোবর ২০২৫ খ্রিঃ, ২২ আশ্বিন ১৪৩২ বাংলা, ১২ রবিউল সানি ১৪৪৭ হিজরি </t>
  </si>
  <si>
    <t xml:space="preserve">   সিরিয়াল নংঃ     ২৫২</t>
  </si>
  <si>
    <t>০৭-১০-২০২৫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</si>
</sst>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7" zoomScale="98" zoomScaleNormal="98" workbookViewId="0">
      <selection activeCell="C83" sqref="C83:F83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126</v>
      </c>
      <c r="L4" s="83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45937</v>
      </c>
    </row>
    <row r="7" spans="1:12" ht="21.7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.75">
      <c r="A8" s="25"/>
      <c r="B8" s="26"/>
      <c r="C8" s="82">
        <v>45937</v>
      </c>
      <c r="D8" s="83"/>
      <c r="E8" s="82">
        <v>45930</v>
      </c>
      <c r="F8" s="83"/>
      <c r="G8" s="82">
        <v>45907</v>
      </c>
      <c r="H8" s="83"/>
      <c r="I8" s="26" t="s">
        <v>12</v>
      </c>
      <c r="J8" s="82">
        <v>45572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75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0</v>
      </c>
      <c r="J10" s="29">
        <v>64</v>
      </c>
      <c r="K10" s="29">
        <v>80</v>
      </c>
      <c r="L10" s="31">
        <f>((C10+D10)/2-(J10+K10)/2)/((J10+K10)/2)*100</f>
        <v>11.111111111111111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178</v>
      </c>
      <c r="E19" s="29">
        <v>170</v>
      </c>
      <c r="F19" s="29">
        <v>178</v>
      </c>
      <c r="G19" s="29">
        <v>168</v>
      </c>
      <c r="H19" s="29">
        <v>174</v>
      </c>
      <c r="I19" s="30">
        <f t="shared" ref="I19:I25" si="0">((C19+D19)/2-(G19+H19)/2)/((G19+H19)/2)*100</f>
        <v>2.3391812865497075</v>
      </c>
      <c r="J19" s="29">
        <v>151</v>
      </c>
      <c r="K19" s="29">
        <v>155</v>
      </c>
      <c r="L19" s="31">
        <f t="shared" ref="L19:L25" si="1">((C19+D19)/2-(J19+K19)/2)/((J19+K19)/2)*100</f>
        <v>14.37908496732026</v>
      </c>
    </row>
    <row r="20" spans="1:12" ht="21.75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160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0.64308681672025725</v>
      </c>
      <c r="J23" s="29">
        <v>140</v>
      </c>
      <c r="K23" s="29">
        <v>144</v>
      </c>
      <c r="L23" s="31">
        <f t="shared" si="1"/>
        <v>10.211267605633804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0.62695924764890276</v>
      </c>
      <c r="J24" s="29">
        <v>145</v>
      </c>
      <c r="K24" s="29">
        <v>150</v>
      </c>
      <c r="L24" s="31">
        <f t="shared" si="1"/>
        <v>8.8135593220338979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900</v>
      </c>
      <c r="L25" s="31">
        <f t="shared" si="1"/>
        <v>18.539325842696631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160</v>
      </c>
      <c r="K30" s="29">
        <v>180</v>
      </c>
      <c r="L30" s="31">
        <f t="shared" si="3"/>
        <v>-11.76470588235294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120</v>
      </c>
      <c r="K32" s="29">
        <v>130</v>
      </c>
      <c r="L32" s="31">
        <f t="shared" si="3"/>
        <v>-14.000000000000002</v>
      </c>
    </row>
    <row r="33" spans="1:12" ht="21.75">
      <c r="A33" s="69" t="s">
        <v>42</v>
      </c>
      <c r="B33" s="6" t="s">
        <v>18</v>
      </c>
      <c r="C33" s="29">
        <v>18</v>
      </c>
      <c r="D33" s="29">
        <v>25</v>
      </c>
      <c r="E33" s="29">
        <v>18</v>
      </c>
      <c r="F33" s="29">
        <v>25</v>
      </c>
      <c r="G33" s="29">
        <v>25</v>
      </c>
      <c r="H33" s="29">
        <v>30</v>
      </c>
      <c r="I33" s="30">
        <f t="shared" si="2"/>
        <v>-21.818181818181817</v>
      </c>
      <c r="J33" s="29">
        <v>50</v>
      </c>
      <c r="K33" s="29">
        <v>60</v>
      </c>
      <c r="L33" s="31">
        <f t="shared" si="3"/>
        <v>-60.909090909090914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65</v>
      </c>
      <c r="D35" s="29">
        <v>80</v>
      </c>
      <c r="E35" s="29">
        <v>65</v>
      </c>
      <c r="F35" s="29">
        <v>80</v>
      </c>
      <c r="G35" s="29">
        <v>75</v>
      </c>
      <c r="H35" s="29">
        <v>85</v>
      </c>
      <c r="I35" s="30">
        <f t="shared" ref="I35:I50" si="4">((C35+D35)/2-(G35+H35)/2)/((G35+H35)/2)*100</f>
        <v>-9.375</v>
      </c>
      <c r="J35" s="29">
        <v>105</v>
      </c>
      <c r="K35" s="29">
        <v>115</v>
      </c>
      <c r="L35" s="31">
        <f t="shared" ref="L35:L50" si="5">((C35+D35)/2-(J35+K35)/2)/((J35+K35)/2)*100</f>
        <v>-34.090909090909086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95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250</v>
      </c>
      <c r="H39" s="29">
        <v>350</v>
      </c>
      <c r="I39" s="30">
        <f t="shared" si="4"/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320</v>
      </c>
      <c r="F40" s="29">
        <v>420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170</v>
      </c>
      <c r="H44" s="29">
        <v>250</v>
      </c>
      <c r="I44" s="30">
        <f t="shared" si="4"/>
        <v>-7.1428571428571423</v>
      </c>
      <c r="J44" s="29">
        <v>200</v>
      </c>
      <c r="K44" s="29">
        <v>280</v>
      </c>
      <c r="L44" s="31">
        <f t="shared" si="5"/>
        <v>-18.75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450</v>
      </c>
      <c r="K46" s="29">
        <v>550</v>
      </c>
      <c r="L46" s="31">
        <f t="shared" si="5"/>
        <v>8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3650</v>
      </c>
      <c r="L48" s="31">
        <f t="shared" si="5"/>
        <v>50.364963503649641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650</v>
      </c>
      <c r="K54" s="29">
        <v>750</v>
      </c>
      <c r="L54" s="31">
        <f t="shared" si="7"/>
        <v>10.714285714285714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185</v>
      </c>
      <c r="E56" s="29">
        <v>160</v>
      </c>
      <c r="F56" s="29">
        <v>185</v>
      </c>
      <c r="G56" s="29">
        <v>170</v>
      </c>
      <c r="H56" s="29">
        <v>180</v>
      </c>
      <c r="I56" s="30">
        <f t="shared" si="6"/>
        <v>-1.4285714285714286</v>
      </c>
      <c r="J56" s="29">
        <v>190</v>
      </c>
      <c r="K56" s="29">
        <v>200</v>
      </c>
      <c r="L56" s="31">
        <f t="shared" si="7"/>
        <v>-11.538461538461538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600</v>
      </c>
      <c r="L57" s="31">
        <f t="shared" si="7"/>
        <v>9.0909090909090917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>
      <c r="A67" s="73"/>
      <c r="B67" s="64"/>
      <c r="C67" s="82">
        <v>45937</v>
      </c>
      <c r="D67" s="83"/>
      <c r="E67" s="82">
        <v>45930</v>
      </c>
      <c r="F67" s="83"/>
      <c r="G67" s="82">
        <v>45907</v>
      </c>
      <c r="H67" s="83"/>
      <c r="I67" s="26" t="s">
        <v>12</v>
      </c>
      <c r="J67" s="82">
        <v>45572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115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0</v>
      </c>
      <c r="J69" s="29">
        <v>128</v>
      </c>
      <c r="K69" s="29">
        <v>135</v>
      </c>
      <c r="L69" s="31">
        <f t="shared" ref="L69:L75" si="8">((C69+D69)/2-(J69+K69)/2)/((J69+K69)/2)*100</f>
        <v>-16.34980988593156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54</v>
      </c>
      <c r="K72" s="37">
        <v>58</v>
      </c>
      <c r="L72" s="31">
        <f t="shared" si="8"/>
        <v>-15.178571428571427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178</v>
      </c>
      <c r="E83" s="29">
        <v>170</v>
      </c>
      <c r="F83" s="29">
        <v>178</v>
      </c>
      <c r="G83" s="7">
        <f t="shared" ref="G83:G85" si="10">((C83+D83)/2-(E83+F83)/2)/((E83+F83)/2)*100</f>
        <v>0.57471264367816088</v>
      </c>
      <c r="H83" s="5" t="s">
        <v>118</v>
      </c>
      <c r="I83" s="6"/>
      <c r="J83" s="6"/>
      <c r="K83" s="50"/>
      <c r="L83" s="17"/>
    </row>
    <row r="84" spans="1:12" ht="21.75">
      <c r="A84" s="69" t="s">
        <v>47</v>
      </c>
      <c r="B84" s="6" t="s">
        <v>18</v>
      </c>
      <c r="C84" s="29">
        <v>200</v>
      </c>
      <c r="D84" s="29">
        <v>350</v>
      </c>
      <c r="E84" s="29">
        <v>220</v>
      </c>
      <c r="F84" s="29">
        <v>350</v>
      </c>
      <c r="G84" s="7">
        <f t="shared" si="10"/>
        <v>-3.5087719298245612</v>
      </c>
      <c r="H84" s="5" t="s">
        <v>119</v>
      </c>
      <c r="I84" s="6"/>
      <c r="J84" s="6"/>
      <c r="K84" s="50"/>
      <c r="L84" s="17"/>
    </row>
    <row r="85" spans="1:12" ht="21.75">
      <c r="A85" s="69" t="s">
        <v>48</v>
      </c>
      <c r="B85" s="6" t="s">
        <v>18</v>
      </c>
      <c r="C85" s="29">
        <v>300</v>
      </c>
      <c r="D85" s="29">
        <v>400</v>
      </c>
      <c r="E85" s="29">
        <v>320</v>
      </c>
      <c r="F85" s="29">
        <v>420</v>
      </c>
      <c r="G85" s="7">
        <f t="shared" si="10"/>
        <v>-5.4054054054054053</v>
      </c>
      <c r="H85" s="5" t="s">
        <v>127</v>
      </c>
      <c r="I85" s="6"/>
      <c r="J85" s="6"/>
      <c r="K85" s="11"/>
      <c r="L85" s="11"/>
    </row>
    <row r="86" spans="1:12" ht="21.75">
      <c r="A86" s="72"/>
      <c r="B86" s="3"/>
      <c r="C86" s="78"/>
      <c r="D86" s="78"/>
      <c r="E86" s="78"/>
      <c r="F86" s="78"/>
      <c r="G86" s="9"/>
      <c r="H86" s="1"/>
      <c r="I86" s="3"/>
      <c r="J86" s="3"/>
      <c r="K86" s="11"/>
      <c r="L86" s="11"/>
    </row>
    <row r="87" spans="1:12" ht="21.75">
      <c r="A87" s="72"/>
      <c r="B87" s="3"/>
      <c r="C87" s="78"/>
      <c r="D87" s="78"/>
      <c r="E87" s="78"/>
      <c r="F87" s="78"/>
      <c r="G87" s="9"/>
      <c r="H87" s="1"/>
      <c r="I87" s="3"/>
      <c r="J87" s="3"/>
      <c r="K87" s="11"/>
      <c r="L87" s="11"/>
    </row>
    <row r="88" spans="1:12" ht="21.75">
      <c r="A88" s="72"/>
      <c r="B88" s="3"/>
      <c r="C88" s="78"/>
      <c r="D88" s="78"/>
      <c r="E88" s="78"/>
      <c r="F88" s="78"/>
      <c r="G88" s="9"/>
      <c r="H88" s="1"/>
      <c r="I88" s="3"/>
      <c r="J88" s="3"/>
      <c r="K88" s="11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1"/>
      <c r="B90" s="41"/>
      <c r="C90" s="42" t="s">
        <v>116</v>
      </c>
      <c r="D90" s="10"/>
      <c r="E90" s="41"/>
      <c r="F90" s="13"/>
      <c r="G90" s="10"/>
      <c r="H90" s="39"/>
      <c r="I90" s="12"/>
      <c r="J90" s="13" t="s">
        <v>122</v>
      </c>
      <c r="K90" s="10"/>
      <c r="L90" s="10"/>
    </row>
    <row r="91" spans="1:12" ht="24.75">
      <c r="A91" s="1"/>
      <c r="B91" s="43"/>
      <c r="C91" s="42" t="s">
        <v>117</v>
      </c>
      <c r="D91" s="13"/>
      <c r="E91" s="41"/>
      <c r="F91" s="44"/>
      <c r="G91" s="46"/>
      <c r="H91" s="46"/>
      <c r="I91" s="76"/>
      <c r="J91" s="13" t="s">
        <v>123</v>
      </c>
      <c r="K91" s="13"/>
      <c r="L91" s="13"/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115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114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113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2025-10-07T07:12:15Z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