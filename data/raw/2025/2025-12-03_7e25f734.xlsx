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70F75074-827A-4FD8-B047-1D1215AA414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5" i="4"/>
  <c r="G88" i="4"/>
  <c r="G83" i="4"/>
  <c r="G90" i="4"/>
  <c r="G92" i="4"/>
  <c r="G94" i="4"/>
  <c r="G97" i="4"/>
  <c r="G99" i="4"/>
  <c r="G96" i="4"/>
  <c r="G93" i="4"/>
  <c r="G91" i="4"/>
  <c r="G89" i="4"/>
  <c r="G87" i="4"/>
  <c r="G84" i="4"/>
  <c r="G98" i="4"/>
  <c r="G9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<sst xmlns="http://schemas.openxmlformats.org/spreadsheetml/2006/main" count="264" uniqueCount="137">
  <si>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</si>
  <si>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</si>
  <si>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</si>
  <si>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</si>
  <si>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</si>
  <si>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</si>
  <si>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</si>
  <si>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</si>
  <si>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</si>
  <si>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</si>
  <si>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</si>
  <si>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</si>
  <si>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</si>
  <si>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</si>
  <si>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</si>
  <si>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</si>
  <si>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</si>
  <si>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</si>
  <si>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</si>
  <si>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</si>
  <si>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</si>
  <si>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</si>
  <si>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</si>
  <si>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</si>
  <si>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</si>
  <si>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</si>
  <si>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</si>
  <si>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</si>
  <si>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</si>
  <si>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</si>
  <si>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</si>
  <si>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</si>
  <si>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</si>
  <si>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</si>
  <si>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</si>
  <si>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</si>
  <si>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</si>
  <si>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</si>
  <si>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</si>
  <si>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</si>
  <si>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</si>
  <si>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</si>
  <si>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</si>
  <si>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</si>
  <si>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</si>
  <si>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</si>
  <si>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</si>
  <si>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</si>
  <si>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</si>
  <si>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</si>
  <si>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</si>
  <si>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</si>
  <si>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</si>
  <si>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</si>
  <si>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</si>
  <si>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</si>
  <si>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</si>
  <si>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</si>
  <si>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</si>
  <si>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</si>
  <si>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</si>
  <si>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</si>
  <si>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</si>
  <si>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</si>
  <si>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</si>
  <si>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</si>
  <si>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</si>
  <si>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</si>
  <si>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</si>
  <si>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</si>
  <si>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</si>
  <si>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</si>
  <si>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</si>
  <si>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</si>
  <si>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</si>
  <si>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</si>
  <si>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</si>
  <si>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</si>
  <si>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</si>
  <si>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</si>
  <si>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</si>
  <si>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</si>
  <si>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</si>
  <si>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</si>
  <si>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</si>
  <si>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</si>
  <si>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</si>
  <si>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</si>
  <si>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</si>
  <si>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</si>
  <si>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</si>
  <si>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</si>
  <si>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</si>
  <si>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</si>
  <si>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</si>
  <si>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</si>
  <si>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</si>
  <si>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</si>
  <si>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</si>
  <si>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</si>
  <si>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</si>
  <si>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</si>
  <si>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</si>
  <si>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</si>
  <si>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</si>
  <si>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</si>
  <si>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</si>
  <si>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</si>
  <si>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</si>
  <si>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</si>
  <si>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</si>
  <si>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</si>
  <si>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</si>
  <si>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</si>
  <si>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</si>
  <si>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(মোঃ শাহাদত হোসেন)</t>
  </si>
  <si>
    <t>উপ পরিচালক (বাজার তথ্য)</t>
  </si>
  <si>
    <t>২৫-১১-২০২৫ তারিখে মূল্য হ্রাস পেয়েছে।</t>
  </si>
  <si>
    <t>২৭-১১-২০২৫ তারিখে মূল্য হ্রাস পেয়েছে।</t>
  </si>
  <si>
    <t>২৭-১১-২০২৫ তারিখে মূল্য বৃদ্ধি পেয়েছে।</t>
  </si>
  <si>
    <t>(৩)  অন্যান্য পণ্যের মূল্য অপরিবর্তীত রয়েছে।</t>
  </si>
  <si>
    <t>২৯-১১-২০২৫ তারিখে মূল্য হ্রাস পেয়েছে।</t>
  </si>
  <si>
    <t>৩০-১১-২০২৫ তারিখে মূল্য হ্রাস পেয়েছে।</t>
  </si>
  <si>
    <t>(জামাল উদ্দিন আহমেদ)</t>
  </si>
  <si>
    <t>যুগ্ম পরিচালক (বাজার তথ্য)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</si>
  <si>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</si>
  <si>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</si>
  <si>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০১-১২-২০২৫ তারিখে মূল্য হ্রাস পেয়েছে।</t>
  </si>
  <si>
    <t>০২-১২-২০২৫ তারিখে মূল্য হ্রাস পেয়েছে।</t>
  </si>
  <si>
    <t>০২-১২-২০২৫ তারিখে মূল্য বৃদ্ধি পেয়েছে।</t>
  </si>
  <si>
    <t>(১ )   চাল (সরু,মাঝারী), মসুর ডাল (বড়, মাঝারী), ছোলা, রশুন (দেশী), আদা (দেশী), জিরা, ধনে, এলাচ, মুরগী ব্রয়লার, চিনি, ডিম   এর মূল্য হ্রাস পেয়েছে।</t>
  </si>
  <si>
    <t>স্মারক নং-২৬.০৫.০০০০.০১৭.৩১.০১.২৫-৮৭৫</t>
  </si>
  <si>
    <t xml:space="preserve">বুধবার ০৩ ডিসেম্বর ২০২৫ খ্রিঃ, ১৮ অগ্রহায়ন ১৪৩২ বাংলা, ১১ জমা-সানি ১৪৪৭ হিজরি </t>
  </si>
  <si>
    <t xml:space="preserve">   সিরিয়াল নংঃ     ৩০১</t>
  </si>
  <si>
    <t>০৩-১২-২০২৫ তারিখে মূল্য বৃদ্ধি পেয়েছে।</t>
  </si>
  <si>
    <t>০৩-১২-২০২৫ তারিখে মূল্য হ্রাস পেয়েছে।</t>
  </si>
  <si>
    <t>(২ )   সয়াবিন তেল (১লিঃ, ৫লিঃ বোতল), পাম অয়েল লুজ, আলু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</si>
</sst>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26"/>
  <sheetViews>
    <sheetView tabSelected="1" topLeftCell="A80" zoomScale="96" zoomScaleNormal="96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133</v>
      </c>
      <c r="L4" s="84"/>
    </row>
    <row r="5" spans="1:12" ht="19.5" customHeight="1">
      <c r="A5" s="17"/>
      <c r="B5" s="8"/>
      <c r="C5" s="8"/>
      <c r="D5" s="17"/>
      <c r="E5" s="8"/>
      <c r="F5" s="8" t="s">
        <v>132</v>
      </c>
      <c r="G5" s="8"/>
      <c r="H5" s="8"/>
      <c r="I5" s="8"/>
      <c r="J5" s="8"/>
      <c r="K5" s="8"/>
      <c r="L5" s="49"/>
    </row>
    <row r="6" spans="1:12" ht="21.75">
      <c r="A6" s="20" t="s">
        <v>131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45994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45994</v>
      </c>
      <c r="D8" s="84"/>
      <c r="E8" s="83">
        <v>45987</v>
      </c>
      <c r="F8" s="84"/>
      <c r="G8" s="83">
        <v>45964</v>
      </c>
      <c r="H8" s="84"/>
      <c r="I8" s="26" t="s">
        <v>12</v>
      </c>
      <c r="J8" s="83">
        <v>45629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105</v>
      </c>
      <c r="B11" s="6" t="s">
        <v>18</v>
      </c>
      <c r="C11" s="29">
        <v>58</v>
      </c>
      <c r="D11" s="29">
        <v>68</v>
      </c>
      <c r="E11" s="29">
        <v>58</v>
      </c>
      <c r="F11" s="29">
        <v>70</v>
      </c>
      <c r="G11" s="29">
        <v>58</v>
      </c>
      <c r="H11" s="29">
        <v>70</v>
      </c>
      <c r="I11" s="30">
        <f>((C11+D11)/2-(G11+H11)/2)/((G11+H11)/2)*100</f>
        <v>-1.5625</v>
      </c>
      <c r="J11" s="29">
        <v>59</v>
      </c>
      <c r="K11" s="29">
        <v>63</v>
      </c>
      <c r="L11" s="31">
        <f>((C11+D11)/2-(J11+K11)/2)/((J11+K11)/2)*100</f>
        <v>3.278688524590164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165</v>
      </c>
      <c r="K19" s="29">
        <v>168</v>
      </c>
      <c r="L19" s="31">
        <f t="shared" ref="L19:L25" si="1">((C19+D19)/2-(J19+K19)/2)/((J19+K19)/2)*100</f>
        <v>5.1051051051051051</v>
      </c>
    </row>
    <row r="20" spans="1:12" ht="21.75">
      <c r="A20" s="69" t="s">
        <v>29</v>
      </c>
      <c r="B20" s="6" t="s">
        <v>30</v>
      </c>
      <c r="C20" s="29">
        <v>910</v>
      </c>
      <c r="D20" s="29">
        <v>960</v>
      </c>
      <c r="E20" s="29">
        <v>900</v>
      </c>
      <c r="F20" s="29">
        <v>925</v>
      </c>
      <c r="G20" s="29">
        <v>900</v>
      </c>
      <c r="H20" s="29">
        <v>930</v>
      </c>
      <c r="I20" s="30">
        <f t="shared" si="0"/>
        <v>2.1857923497267762</v>
      </c>
      <c r="J20" s="29">
        <v>815</v>
      </c>
      <c r="K20" s="29">
        <v>818</v>
      </c>
      <c r="L20" s="31">
        <f t="shared" si="1"/>
        <v>14.513165952235148</v>
      </c>
    </row>
    <row r="21" spans="1:12" ht="21.75">
      <c r="A21" s="69" t="s">
        <v>29</v>
      </c>
      <c r="B21" s="6" t="s">
        <v>31</v>
      </c>
      <c r="C21" s="29">
        <v>370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-0.6578947368421052</v>
      </c>
      <c r="J21" s="29">
        <v>330</v>
      </c>
      <c r="K21" s="29">
        <v>340</v>
      </c>
      <c r="L21" s="31">
        <f t="shared" si="1"/>
        <v>12.686567164179104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0.78125</v>
      </c>
      <c r="J22" s="29">
        <v>165</v>
      </c>
      <c r="K22" s="29">
        <v>170</v>
      </c>
      <c r="L22" s="31">
        <f t="shared" si="1"/>
        <v>15.522388059701491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150</v>
      </c>
      <c r="F23" s="29">
        <v>162</v>
      </c>
      <c r="G23" s="29">
        <v>155</v>
      </c>
      <c r="H23" s="29">
        <v>162</v>
      </c>
      <c r="I23" s="30">
        <f t="shared" si="0"/>
        <v>-0.94637223974763407</v>
      </c>
      <c r="J23" s="29">
        <v>158</v>
      </c>
      <c r="K23" s="29">
        <v>159</v>
      </c>
      <c r="L23" s="31">
        <f t="shared" si="1"/>
        <v>-0.94637223974763407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158</v>
      </c>
      <c r="H24" s="29">
        <v>165</v>
      </c>
      <c r="I24" s="30">
        <f t="shared" si="0"/>
        <v>-0.92879256965944268</v>
      </c>
      <c r="J24" s="29">
        <v>162</v>
      </c>
      <c r="K24" s="29">
        <v>163</v>
      </c>
      <c r="L24" s="31">
        <f t="shared" si="1"/>
        <v>-1.5384615384615385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85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-4.8780487804878048</v>
      </c>
      <c r="J27" s="29">
        <v>105</v>
      </c>
      <c r="K27" s="29">
        <v>110</v>
      </c>
      <c r="L27" s="31">
        <f t="shared" ref="L27:L33" si="3">((C27+D27)/2-(J27+K27)/2)/((J27+K27)/2)*100</f>
        <v>-9.3023255813953494</v>
      </c>
    </row>
    <row r="28" spans="1:12" ht="21.75">
      <c r="A28" s="69" t="s">
        <v>110</v>
      </c>
      <c r="B28" s="6" t="s">
        <v>18</v>
      </c>
      <c r="C28" s="29">
        <v>115</v>
      </c>
      <c r="D28" s="29">
        <v>140</v>
      </c>
      <c r="E28" s="29">
        <v>125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130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70</v>
      </c>
      <c r="K31" s="29">
        <v>80</v>
      </c>
      <c r="L31" s="31">
        <f t="shared" si="3"/>
        <v>-10</v>
      </c>
    </row>
    <row r="32" spans="1:12" ht="21.75">
      <c r="A32" s="69" t="s">
        <v>41</v>
      </c>
      <c r="B32" s="6" t="s">
        <v>18</v>
      </c>
      <c r="C32" s="29">
        <v>95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-2.3809523809523809</v>
      </c>
      <c r="J32" s="29">
        <v>125</v>
      </c>
      <c r="K32" s="29">
        <v>140</v>
      </c>
      <c r="L32" s="31">
        <f t="shared" si="3"/>
        <v>-22.641509433962266</v>
      </c>
    </row>
    <row r="33" spans="1:12" ht="21.75">
      <c r="A33" s="69" t="s">
        <v>42</v>
      </c>
      <c r="B33" s="6" t="s">
        <v>18</v>
      </c>
      <c r="C33" s="29">
        <v>22</v>
      </c>
      <c r="D33" s="29">
        <v>30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15.555555555555555</v>
      </c>
      <c r="J33" s="29">
        <v>75</v>
      </c>
      <c r="K33" s="29">
        <v>80</v>
      </c>
      <c r="L33" s="31">
        <f t="shared" si="3"/>
        <v>-66.451612903225808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100</v>
      </c>
      <c r="F35" s="29">
        <v>120</v>
      </c>
      <c r="G35" s="29">
        <v>95</v>
      </c>
      <c r="H35" s="29">
        <v>105</v>
      </c>
      <c r="I35" s="30">
        <f t="shared" ref="I35:I50" si="4">((C35+D35)/2-(G35+H35)/2)/((G35+H35)/2)*100</f>
        <v>10</v>
      </c>
      <c r="J35" s="29">
        <v>115</v>
      </c>
      <c r="K35" s="29">
        <v>130</v>
      </c>
      <c r="L35" s="31">
        <f t="shared" ref="L35:L50" si="5">((C35+D35)/2-(J35+K35)/2)/((J35+K35)/2)*100</f>
        <v>-10.204081632653061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60</v>
      </c>
      <c r="D37" s="29">
        <v>140</v>
      </c>
      <c r="E37" s="29">
        <v>80</v>
      </c>
      <c r="F37" s="29">
        <v>140</v>
      </c>
      <c r="G37" s="29">
        <v>100</v>
      </c>
      <c r="H37" s="29">
        <v>140</v>
      </c>
      <c r="I37" s="30">
        <f t="shared" si="4"/>
        <v>-16.666666666666664</v>
      </c>
      <c r="J37" s="29">
        <v>230</v>
      </c>
      <c r="K37" s="29">
        <v>280</v>
      </c>
      <c r="L37" s="31">
        <f t="shared" si="5"/>
        <v>-60.784313725490193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150</v>
      </c>
      <c r="H38" s="29">
        <v>200</v>
      </c>
      <c r="I38" s="30">
        <f t="shared" si="4"/>
        <v>2.8571428571428572</v>
      </c>
      <c r="J38" s="29">
        <v>220</v>
      </c>
      <c r="K38" s="29">
        <v>250</v>
      </c>
      <c r="L38" s="31">
        <f t="shared" si="5"/>
        <v>-23.404255319148938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300</v>
      </c>
      <c r="K39" s="29">
        <v>350</v>
      </c>
      <c r="L39" s="31">
        <f t="shared" si="5"/>
        <v>-20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120</v>
      </c>
      <c r="D43" s="29">
        <v>150</v>
      </c>
      <c r="E43" s="29">
        <v>140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-71.578947368421055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120</v>
      </c>
      <c r="K44" s="29">
        <v>280</v>
      </c>
      <c r="L44" s="31">
        <f t="shared" si="5"/>
        <v>-7.5</v>
      </c>
    </row>
    <row r="45" spans="1:12" ht="21.75">
      <c r="A45" s="69" t="s">
        <v>53</v>
      </c>
      <c r="B45" s="6" t="s">
        <v>18</v>
      </c>
      <c r="C45" s="29">
        <v>580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630</v>
      </c>
      <c r="K45" s="29">
        <v>800</v>
      </c>
      <c r="L45" s="31">
        <f t="shared" si="5"/>
        <v>-6.9930069930069934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4500</v>
      </c>
      <c r="D48" s="29">
        <v>5500</v>
      </c>
      <c r="E48" s="29">
        <v>4600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4250</v>
      </c>
      <c r="L48" s="31">
        <f t="shared" si="5"/>
        <v>30.718954248366014</v>
      </c>
    </row>
    <row r="49" spans="1:12" ht="21.75">
      <c r="A49" s="69" t="s">
        <v>57</v>
      </c>
      <c r="B49" s="6" t="s">
        <v>18</v>
      </c>
      <c r="C49" s="29">
        <v>180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-4.1666666666666661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220</v>
      </c>
      <c r="L50" s="31">
        <f t="shared" si="5"/>
        <v>13.23529411764706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150</v>
      </c>
      <c r="D56" s="29">
        <v>180</v>
      </c>
      <c r="E56" s="29">
        <v>160</v>
      </c>
      <c r="F56" s="29">
        <v>180</v>
      </c>
      <c r="G56" s="29">
        <v>170</v>
      </c>
      <c r="H56" s="29">
        <v>185</v>
      </c>
      <c r="I56" s="30">
        <f t="shared" si="6"/>
        <v>-7.042253521126761</v>
      </c>
      <c r="J56" s="29">
        <v>175</v>
      </c>
      <c r="K56" s="29">
        <v>200</v>
      </c>
      <c r="L56" s="31">
        <f t="shared" si="7"/>
        <v>-12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45994</v>
      </c>
      <c r="D67" s="84"/>
      <c r="E67" s="83">
        <v>45987</v>
      </c>
      <c r="F67" s="84"/>
      <c r="G67" s="83">
        <v>45964</v>
      </c>
      <c r="H67" s="84"/>
      <c r="I67" s="26" t="s">
        <v>12</v>
      </c>
      <c r="J67" s="83">
        <v>45629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90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-4.7619047619047619</v>
      </c>
      <c r="J69" s="29">
        <v>125</v>
      </c>
      <c r="K69" s="29">
        <v>127</v>
      </c>
      <c r="L69" s="31">
        <f t="shared" ref="L69:L75" si="8">((C69+D69)/2-(J69+K69)/2)/((J69+K69)/2)*100</f>
        <v>-20.634920634920633</v>
      </c>
    </row>
    <row r="70" spans="1:12" ht="21.75">
      <c r="A70" s="69" t="s">
        <v>72</v>
      </c>
      <c r="B70" s="66" t="s">
        <v>18</v>
      </c>
      <c r="C70" s="29">
        <v>180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-5.1948051948051948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36</v>
      </c>
      <c r="D72" s="37">
        <v>45</v>
      </c>
      <c r="E72" s="37">
        <v>40</v>
      </c>
      <c r="F72" s="37">
        <v>50</v>
      </c>
      <c r="G72" s="37">
        <v>43</v>
      </c>
      <c r="H72" s="37">
        <v>50</v>
      </c>
      <c r="I72" s="30">
        <f t="shared" si="9"/>
        <v>-12.903225806451612</v>
      </c>
      <c r="J72" s="37">
        <v>48</v>
      </c>
      <c r="K72" s="37">
        <v>50</v>
      </c>
      <c r="L72" s="31">
        <f t="shared" si="8"/>
        <v>-17.346938775510203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0</v>
      </c>
      <c r="J74" s="29">
        <v>84000</v>
      </c>
      <c r="K74" s="29">
        <v>85000</v>
      </c>
      <c r="L74" s="31">
        <f t="shared" si="8"/>
        <v>-1.1834319526627219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136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120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17</v>
      </c>
      <c r="B83" s="6" t="s">
        <v>18</v>
      </c>
      <c r="C83" s="29">
        <v>70</v>
      </c>
      <c r="D83" s="29">
        <v>85</v>
      </c>
      <c r="E83" s="29">
        <v>72</v>
      </c>
      <c r="F83" s="29">
        <v>85</v>
      </c>
      <c r="G83" s="7">
        <f t="shared" ref="G83:G93" si="10">((C83+D83)/2-(E83+F83)/2)/((E83+F83)/2)*100</f>
        <v>-1.2738853503184715</v>
      </c>
      <c r="H83" s="5" t="s">
        <v>127</v>
      </c>
      <c r="I83" s="6"/>
      <c r="J83" s="6"/>
      <c r="K83" s="50"/>
      <c r="L83" s="17"/>
    </row>
    <row r="84" spans="1:12" ht="21.75">
      <c r="A84" s="69" t="s">
        <v>105</v>
      </c>
      <c r="B84" s="6" t="s">
        <v>18</v>
      </c>
      <c r="C84" s="29">
        <v>58</v>
      </c>
      <c r="D84" s="29">
        <v>68</v>
      </c>
      <c r="E84" s="29">
        <v>58</v>
      </c>
      <c r="F84" s="29">
        <v>70</v>
      </c>
      <c r="G84" s="7">
        <f t="shared" si="10"/>
        <v>-1.5625</v>
      </c>
      <c r="H84" s="5" t="s">
        <v>127</v>
      </c>
      <c r="I84" s="6"/>
      <c r="J84" s="6"/>
      <c r="K84" s="50"/>
      <c r="L84" s="17"/>
    </row>
    <row r="85" spans="1:12" ht="21.75">
      <c r="A85" s="69" t="s">
        <v>29</v>
      </c>
      <c r="B85" s="6" t="s">
        <v>30</v>
      </c>
      <c r="C85" s="29">
        <v>910</v>
      </c>
      <c r="D85" s="29">
        <v>960</v>
      </c>
      <c r="E85" s="29">
        <v>900</v>
      </c>
      <c r="F85" s="29">
        <v>925</v>
      </c>
      <c r="G85" s="7">
        <f t="shared" si="10"/>
        <v>2.4657534246575343</v>
      </c>
      <c r="H85" s="5" t="s">
        <v>134</v>
      </c>
      <c r="I85" s="6"/>
      <c r="J85" s="6"/>
      <c r="K85" s="50"/>
      <c r="L85" s="17"/>
    </row>
    <row r="86" spans="1:12" ht="21.75">
      <c r="A86" s="69" t="s">
        <v>29</v>
      </c>
      <c r="B86" s="6" t="s">
        <v>32</v>
      </c>
      <c r="C86" s="29">
        <v>189</v>
      </c>
      <c r="D86" s="29">
        <v>198</v>
      </c>
      <c r="E86" s="29">
        <v>189</v>
      </c>
      <c r="F86" s="29">
        <v>192</v>
      </c>
      <c r="G86" s="7">
        <f t="shared" si="10"/>
        <v>1.5748031496062991</v>
      </c>
      <c r="H86" s="5" t="s">
        <v>134</v>
      </c>
      <c r="I86" s="6"/>
      <c r="J86" s="6"/>
      <c r="K86" s="50"/>
      <c r="L86" s="17"/>
    </row>
    <row r="87" spans="1:12" ht="21.75">
      <c r="A87" s="69" t="s">
        <v>33</v>
      </c>
      <c r="B87" s="6" t="s">
        <v>28</v>
      </c>
      <c r="C87" s="29">
        <v>152</v>
      </c>
      <c r="D87" s="29">
        <v>162</v>
      </c>
      <c r="E87" s="29">
        <v>150</v>
      </c>
      <c r="F87" s="29">
        <v>162</v>
      </c>
      <c r="G87" s="7">
        <f t="shared" si="10"/>
        <v>0.64102564102564097</v>
      </c>
      <c r="H87" s="5" t="s">
        <v>119</v>
      </c>
      <c r="I87" s="6"/>
      <c r="J87" s="6"/>
      <c r="K87" s="50"/>
      <c r="L87" s="17"/>
    </row>
    <row r="88" spans="1:12" ht="21.75">
      <c r="A88" s="69" t="s">
        <v>37</v>
      </c>
      <c r="B88" s="6" t="s">
        <v>18</v>
      </c>
      <c r="C88" s="29">
        <v>85</v>
      </c>
      <c r="D88" s="29">
        <v>110</v>
      </c>
      <c r="E88" s="29">
        <v>90</v>
      </c>
      <c r="F88" s="29">
        <v>110</v>
      </c>
      <c r="G88" s="7">
        <f t="shared" si="10"/>
        <v>-2.5</v>
      </c>
      <c r="H88" s="5" t="s">
        <v>128</v>
      </c>
      <c r="I88" s="6"/>
      <c r="J88" s="6"/>
      <c r="K88" s="50"/>
      <c r="L88" s="17"/>
    </row>
    <row r="89" spans="1:12" ht="21.75">
      <c r="A89" s="69" t="s">
        <v>110</v>
      </c>
      <c r="B89" s="6" t="s">
        <v>18</v>
      </c>
      <c r="C89" s="29">
        <v>115</v>
      </c>
      <c r="D89" s="29">
        <v>140</v>
      </c>
      <c r="E89" s="29">
        <v>125</v>
      </c>
      <c r="F89" s="29">
        <v>140</v>
      </c>
      <c r="G89" s="7">
        <f t="shared" si="10"/>
        <v>-3.7735849056603774</v>
      </c>
      <c r="H89" s="5" t="s">
        <v>118</v>
      </c>
      <c r="I89" s="6"/>
      <c r="J89" s="6"/>
      <c r="K89" s="50"/>
      <c r="L89" s="17"/>
    </row>
    <row r="90" spans="1:12" ht="21.75">
      <c r="A90" s="69" t="s">
        <v>41</v>
      </c>
      <c r="B90" s="6" t="s">
        <v>18</v>
      </c>
      <c r="C90" s="29">
        <v>95</v>
      </c>
      <c r="D90" s="29">
        <v>110</v>
      </c>
      <c r="E90" s="29">
        <v>100</v>
      </c>
      <c r="F90" s="29">
        <v>110</v>
      </c>
      <c r="G90" s="7">
        <f>((C90+D90)/2-(E90+F90)/2)/((E90+F90)/2)*100</f>
        <v>-2.3809523809523809</v>
      </c>
      <c r="H90" s="5" t="s">
        <v>122</v>
      </c>
      <c r="I90" s="6"/>
      <c r="J90" s="6"/>
      <c r="K90" s="50"/>
      <c r="L90" s="17"/>
    </row>
    <row r="91" spans="1:12" ht="21.75">
      <c r="A91" s="69" t="s">
        <v>42</v>
      </c>
      <c r="B91" s="6" t="s">
        <v>18</v>
      </c>
      <c r="C91" s="29">
        <v>22</v>
      </c>
      <c r="D91" s="29">
        <v>30</v>
      </c>
      <c r="E91" s="29">
        <v>20</v>
      </c>
      <c r="F91" s="29">
        <v>25</v>
      </c>
      <c r="G91" s="7">
        <f t="shared" si="10"/>
        <v>15.555555555555555</v>
      </c>
      <c r="H91" s="5" t="s">
        <v>129</v>
      </c>
      <c r="I91" s="6"/>
      <c r="J91" s="6"/>
      <c r="K91" s="50"/>
      <c r="L91" s="17"/>
    </row>
    <row r="92" spans="1:12" ht="21.75">
      <c r="A92" s="69" t="s">
        <v>45</v>
      </c>
      <c r="B92" s="6" t="s">
        <v>18</v>
      </c>
      <c r="C92" s="29">
        <v>60</v>
      </c>
      <c r="D92" s="29">
        <v>140</v>
      </c>
      <c r="E92" s="29">
        <v>80</v>
      </c>
      <c r="F92" s="29">
        <v>140</v>
      </c>
      <c r="G92" s="7">
        <f>((C92+D92)/2-(E92+F92)/2)/((E92+F92)/2)*100</f>
        <v>-9.0909090909090917</v>
      </c>
      <c r="H92" s="5" t="s">
        <v>127</v>
      </c>
      <c r="I92" s="6"/>
      <c r="J92" s="6"/>
      <c r="K92" s="50"/>
      <c r="L92" s="17"/>
    </row>
    <row r="93" spans="1:12" ht="21.75">
      <c r="A93" s="69" t="s">
        <v>51</v>
      </c>
      <c r="B93" s="6" t="s">
        <v>18</v>
      </c>
      <c r="C93" s="29">
        <v>120</v>
      </c>
      <c r="D93" s="29">
        <v>150</v>
      </c>
      <c r="E93" s="29">
        <v>140</v>
      </c>
      <c r="F93" s="29">
        <v>180</v>
      </c>
      <c r="G93" s="7">
        <f t="shared" si="10"/>
        <v>-15.625</v>
      </c>
      <c r="H93" s="5" t="s">
        <v>135</v>
      </c>
      <c r="I93" s="6"/>
      <c r="J93" s="6"/>
      <c r="K93" s="50"/>
      <c r="L93" s="17"/>
    </row>
    <row r="94" spans="1:12" ht="21.75">
      <c r="A94" s="69" t="s">
        <v>53</v>
      </c>
      <c r="B94" s="6" t="s">
        <v>18</v>
      </c>
      <c r="C94" s="29">
        <v>580</v>
      </c>
      <c r="D94" s="29">
        <v>750</v>
      </c>
      <c r="E94" s="29">
        <v>600</v>
      </c>
      <c r="F94" s="29">
        <v>750</v>
      </c>
      <c r="G94" s="7">
        <f t="shared" ref="G94:G99" si="11">((C94+D94)/2-(E94+F94)/2)/((E94+F94)/2)*100</f>
        <v>-1.4814814814814816</v>
      </c>
      <c r="H94" s="5" t="s">
        <v>122</v>
      </c>
      <c r="I94" s="6"/>
      <c r="J94" s="6"/>
      <c r="K94" s="50"/>
      <c r="L94" s="17"/>
    </row>
    <row r="95" spans="1:12" ht="21.75">
      <c r="A95" s="69" t="s">
        <v>56</v>
      </c>
      <c r="B95" s="6" t="s">
        <v>18</v>
      </c>
      <c r="C95" s="29">
        <v>4500</v>
      </c>
      <c r="D95" s="29">
        <v>5500</v>
      </c>
      <c r="E95" s="29">
        <v>4600</v>
      </c>
      <c r="F95" s="29">
        <v>5500</v>
      </c>
      <c r="G95" s="7">
        <f t="shared" si="11"/>
        <v>-0.99009900990099009</v>
      </c>
      <c r="H95" s="5" t="s">
        <v>117</v>
      </c>
      <c r="I95" s="6"/>
      <c r="J95" s="6"/>
      <c r="K95" s="11"/>
      <c r="L95" s="11"/>
    </row>
    <row r="96" spans="1:12" ht="24.75">
      <c r="A96" s="69" t="s">
        <v>57</v>
      </c>
      <c r="B96" s="6" t="s">
        <v>18</v>
      </c>
      <c r="C96" s="29">
        <v>180</v>
      </c>
      <c r="D96" s="29">
        <v>280</v>
      </c>
      <c r="E96" s="29">
        <v>190</v>
      </c>
      <c r="F96" s="29">
        <v>280</v>
      </c>
      <c r="G96" s="7">
        <f t="shared" si="11"/>
        <v>-2.1276595744680851</v>
      </c>
      <c r="H96" s="5" t="s">
        <v>121</v>
      </c>
      <c r="I96" s="6"/>
      <c r="J96" s="6"/>
      <c r="K96" s="40"/>
      <c r="L96" s="11"/>
    </row>
    <row r="97" spans="1:13" ht="24.75">
      <c r="A97" s="69" t="s">
        <v>62</v>
      </c>
      <c r="B97" s="6" t="s">
        <v>18</v>
      </c>
      <c r="C97" s="29">
        <v>150</v>
      </c>
      <c r="D97" s="29">
        <v>180</v>
      </c>
      <c r="E97" s="29">
        <v>160</v>
      </c>
      <c r="F97" s="29">
        <v>180</v>
      </c>
      <c r="G97" s="7">
        <f t="shared" si="11"/>
        <v>-2.9411764705882351</v>
      </c>
      <c r="H97" s="5" t="s">
        <v>122</v>
      </c>
      <c r="I97" s="6"/>
      <c r="J97" s="6"/>
      <c r="K97" s="40"/>
      <c r="L97" s="11"/>
    </row>
    <row r="98" spans="1:13" ht="24.75">
      <c r="A98" s="69" t="s">
        <v>71</v>
      </c>
      <c r="B98" s="6" t="s">
        <v>18</v>
      </c>
      <c r="C98" s="29">
        <v>90</v>
      </c>
      <c r="D98" s="29">
        <v>110</v>
      </c>
      <c r="E98" s="29">
        <v>95</v>
      </c>
      <c r="F98" s="29">
        <v>110</v>
      </c>
      <c r="G98" s="7">
        <f t="shared" si="11"/>
        <v>-2.4390243902439024</v>
      </c>
      <c r="H98" s="5" t="s">
        <v>118</v>
      </c>
      <c r="I98" s="6"/>
      <c r="J98" s="6"/>
      <c r="K98" s="40"/>
      <c r="L98" s="11"/>
    </row>
    <row r="99" spans="1:13" ht="24.75">
      <c r="A99" s="69" t="s">
        <v>73</v>
      </c>
      <c r="B99" s="6" t="s">
        <v>74</v>
      </c>
      <c r="C99" s="37">
        <v>36</v>
      </c>
      <c r="D99" s="37">
        <v>45</v>
      </c>
      <c r="E99" s="37">
        <v>40</v>
      </c>
      <c r="F99" s="37">
        <v>50</v>
      </c>
      <c r="G99" s="7">
        <f t="shared" si="11"/>
        <v>-10</v>
      </c>
      <c r="H99" s="5" t="s">
        <v>127</v>
      </c>
      <c r="I99" s="6"/>
      <c r="J99" s="6"/>
      <c r="K99" s="40"/>
      <c r="L99" s="11"/>
    </row>
    <row r="100" spans="1:13" ht="24.75">
      <c r="A100" s="1"/>
      <c r="B100" s="3"/>
      <c r="C100" s="82"/>
      <c r="D100" s="82"/>
      <c r="E100" s="8"/>
      <c r="F100" s="82"/>
      <c r="G100" s="38"/>
      <c r="H100" s="39"/>
      <c r="I100" s="40"/>
      <c r="J100" s="40"/>
      <c r="K100" s="40"/>
      <c r="L100" s="11"/>
    </row>
    <row r="101" spans="1:13" ht="24.75">
      <c r="A101" s="1"/>
      <c r="B101" s="3"/>
      <c r="C101" s="82"/>
      <c r="D101" s="82"/>
      <c r="E101" s="8"/>
      <c r="F101" s="82"/>
      <c r="G101" s="38"/>
      <c r="H101" s="39"/>
      <c r="I101" s="40"/>
      <c r="J101" s="40"/>
      <c r="K101" s="40"/>
      <c r="L101" s="11"/>
    </row>
    <row r="102" spans="1:13" ht="24.75">
      <c r="A102" s="1"/>
      <c r="B102" s="13"/>
      <c r="C102" s="14"/>
      <c r="D102" s="14"/>
      <c r="E102" s="13"/>
      <c r="F102" s="14"/>
      <c r="G102" s="38"/>
      <c r="H102" s="39"/>
      <c r="I102" s="40"/>
      <c r="J102" s="40"/>
      <c r="K102" s="40"/>
      <c r="L102" s="11"/>
    </row>
    <row r="103" spans="1:13" ht="24.75">
      <c r="A103" s="41"/>
      <c r="B103" s="42" t="s">
        <v>115</v>
      </c>
      <c r="C103" s="10"/>
      <c r="E103" s="41"/>
      <c r="F103" s="41"/>
      <c r="G103" s="42" t="s">
        <v>123</v>
      </c>
      <c r="H103" s="10"/>
      <c r="K103" s="12"/>
      <c r="L103" s="13" t="s">
        <v>125</v>
      </c>
      <c r="M103" s="10"/>
    </row>
    <row r="104" spans="1:13" ht="24.75">
      <c r="A104" s="43"/>
      <c r="B104" s="42" t="s">
        <v>116</v>
      </c>
      <c r="C104" s="13"/>
      <c r="E104" s="41"/>
      <c r="F104" s="43"/>
      <c r="G104" s="42" t="s">
        <v>124</v>
      </c>
      <c r="H104" s="13"/>
      <c r="K104" s="76"/>
      <c r="L104" s="13" t="s">
        <v>126</v>
      </c>
      <c r="M104" s="13"/>
    </row>
    <row r="105" spans="1:13" ht="24.75">
      <c r="A105" s="1"/>
      <c r="B105" s="13"/>
      <c r="C105" s="14"/>
      <c r="D105" s="13"/>
      <c r="E105" s="14"/>
      <c r="F105" s="44"/>
      <c r="G105" s="46"/>
      <c r="H105" s="46"/>
      <c r="I105" s="45"/>
      <c r="J105" s="10"/>
      <c r="K105" s="10"/>
      <c r="L105" s="2"/>
    </row>
    <row r="106" spans="1:13" ht="19.5">
      <c r="A106" s="55" t="s">
        <v>93</v>
      </c>
      <c r="B106" s="53"/>
      <c r="C106" s="51"/>
      <c r="D106" s="53"/>
      <c r="E106" s="51"/>
      <c r="F106" s="51"/>
      <c r="G106" s="51"/>
      <c r="H106" s="52"/>
      <c r="I106" s="57"/>
      <c r="J106" s="2"/>
      <c r="K106" s="2"/>
      <c r="L106" s="2"/>
    </row>
    <row r="107" spans="1:13" ht="19.5">
      <c r="A107" s="54" t="s">
        <v>99</v>
      </c>
      <c r="B107" s="53"/>
      <c r="C107" s="51"/>
      <c r="D107" s="53"/>
      <c r="E107" s="51"/>
      <c r="F107" s="51"/>
      <c r="G107" s="53"/>
      <c r="H107" s="52"/>
      <c r="I107" s="57"/>
      <c r="J107" s="2"/>
      <c r="K107" s="2"/>
      <c r="L107" s="2"/>
    </row>
    <row r="108" spans="1:13" ht="19.5">
      <c r="A108" s="54" t="s">
        <v>98</v>
      </c>
      <c r="B108" s="53"/>
      <c r="C108" s="53"/>
      <c r="D108" s="53"/>
      <c r="E108" s="53"/>
      <c r="F108" s="51"/>
      <c r="G108" s="53"/>
      <c r="H108" s="52"/>
      <c r="I108" s="57"/>
      <c r="J108" s="2"/>
      <c r="K108" s="2"/>
      <c r="L108" s="2"/>
    </row>
    <row r="109" spans="1:13" ht="19.5">
      <c r="A109" s="54" t="s">
        <v>85</v>
      </c>
      <c r="B109" s="53"/>
      <c r="C109" s="53"/>
      <c r="D109" s="53"/>
      <c r="E109" s="53"/>
      <c r="F109" s="52"/>
      <c r="G109" s="52"/>
      <c r="H109" s="52"/>
      <c r="I109" s="57"/>
      <c r="J109" s="2"/>
      <c r="K109" s="2"/>
      <c r="L109" s="2"/>
    </row>
    <row r="110" spans="1:13" ht="19.5">
      <c r="A110" s="54" t="s">
        <v>97</v>
      </c>
      <c r="B110" s="53"/>
      <c r="C110" s="53"/>
      <c r="D110" s="53"/>
      <c r="E110" s="53"/>
      <c r="F110" s="53"/>
      <c r="G110" s="52"/>
      <c r="H110" s="52"/>
      <c r="I110" s="57"/>
      <c r="J110" s="2"/>
      <c r="K110" s="2"/>
      <c r="L110" s="2"/>
    </row>
    <row r="111" spans="1:13" ht="19.5">
      <c r="A111" s="54" t="s">
        <v>96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3" ht="19.5">
      <c r="A112" s="54" t="s">
        <v>107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95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94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86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101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100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102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103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87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/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5" t="s">
        <v>88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4" t="s">
        <v>89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 t="s">
        <v>113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4" t="s">
        <v>112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 t="s">
        <v>111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2025-12-03T07:38:43Z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