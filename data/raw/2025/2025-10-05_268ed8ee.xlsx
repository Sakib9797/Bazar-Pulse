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74ADD5E7-EC50-4759-8D7A-E185F67AC3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8" i="4"/>
  <c r="G87" i="4"/>
  <c r="G86" i="4"/>
  <c r="G85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<sst xmlns="http://schemas.openxmlformats.org/spreadsheetml/2006/main" count="229" uniqueCount="130">
  <si>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</si>
  <si>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</si>
  <si>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</si>
  <si>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</si>
  <si>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</si>
  <si>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</si>
  <si>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</si>
  <si>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</si>
  <si>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</si>
  <si>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</si>
  <si>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</si>
  <si>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</si>
  <si>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</si>
  <si>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</si>
  <si>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</si>
  <si>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</si>
  <si>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</si>
  <si>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</si>
  <si>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</si>
  <si>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</si>
  <si>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</si>
  <si>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</si>
  <si>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</si>
  <si>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</si>
  <si>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</si>
  <si>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</si>
  <si>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</si>
  <si>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</si>
  <si>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</si>
  <si>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</si>
  <si>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</si>
  <si>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</si>
  <si>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</si>
  <si>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</si>
  <si>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</si>
  <si>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</si>
  <si>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</si>
  <si>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</si>
  <si>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</si>
  <si>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</si>
  <si>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</si>
  <si>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</si>
  <si>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</si>
  <si>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</si>
  <si>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</si>
  <si>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</si>
  <si>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</si>
  <si>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</si>
  <si>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</si>
  <si>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</si>
  <si>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</si>
  <si>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</si>
  <si>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</si>
  <si>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</si>
  <si>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</si>
  <si>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</si>
  <si>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</si>
  <si>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</si>
  <si>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</si>
  <si>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</si>
  <si>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</si>
  <si>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</si>
  <si>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</si>
  <si>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</si>
  <si>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</si>
  <si>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</si>
  <si>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</si>
  <si>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</si>
  <si>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</si>
  <si>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</si>
  <si>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</si>
  <si>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</si>
  <si>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</si>
  <si>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</si>
  <si>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</si>
  <si>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</si>
  <si>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</si>
  <si>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</si>
  <si>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</si>
  <si>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</si>
  <si>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</si>
  <si>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</si>
  <si>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</si>
  <si>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</si>
  <si>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</si>
  <si>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</si>
  <si>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</si>
  <si>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</si>
  <si>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</si>
  <si>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</si>
  <si>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</si>
  <si>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</si>
  <si>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</si>
  <si>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</si>
  <si>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</si>
  <si>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</si>
  <si>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</si>
  <si>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</si>
  <si>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</si>
  <si>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</si>
  <si>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</si>
  <si>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</si>
  <si>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</si>
  <si>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</si>
  <si>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</si>
  <si>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</si>
  <si>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</si>
  <si>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</si>
  <si>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</si>
  <si>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</si>
  <si>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</si>
  <si>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</si>
  <si>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</si>
  <si>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</si>
  <si>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</si>
  <si>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</si>
  <si>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</si>
  <si>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</si>
  <si>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</si>
  <si>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</si>
  <si>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২৯-০৯-২০২৫ তারিখে মূল্য বৃদ্ধি পেয়েছে।</t>
  </si>
  <si>
    <t>০৩-১০-২০২৫ তারিখে মূল্য বৃদ্ধি পেয়েছে।</t>
  </si>
  <si>
    <t>০৩-১০-২০২৫ তারিখে মূল্য হ্রাস পেয়েছে।</t>
  </si>
  <si>
    <t>স্মারক নং-২৬.০৫.০০০০.০১৭.৩১.০১.২৫-৭০২</t>
  </si>
  <si>
    <t xml:space="preserve">রবিবার ০৫ অক্টোবর ২০২৫ খ্রিঃ, ২০ আশ্বিন ১৪৩২ বাংলা, ১০ রবিউল সানি ১৪৪৭ হিজরি </t>
  </si>
  <si>
    <t xml:space="preserve">   সিরিয়াল নংঃ     ২৫০</t>
  </si>
  <si>
    <t>০৫-১০-২০২৫ তারিখে মূল্য বৃদ্ধি পেয়েছে।</t>
  </si>
  <si>
    <t>০৫-১০-২০২৫ তারিখে মূল্য হ্রাস পেয়েছে।</t>
  </si>
  <si>
    <t>(১)     চাল (মাঝারী), সয়াবিন তেল (লুজ), মশুর ডাল (মাঝারী), আদা (আম)    এর মূল্য বৃদ্ধি পেয়েছে।</t>
  </si>
  <si>
    <t>(২ )    পেঁয়াজ (দেশী), রশুন (আম)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</si>
</sst>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A42" zoomScale="98" zoomScaleNormal="98" workbookViewId="0">
      <selection activeCell="J69" sqref="J69:K6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125</v>
      </c>
      <c r="L4" s="84"/>
    </row>
    <row r="5" spans="1:12" ht="19.5" customHeight="1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.7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45935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45935</v>
      </c>
      <c r="D8" s="84"/>
      <c r="E8" s="83">
        <v>45928</v>
      </c>
      <c r="F8" s="84"/>
      <c r="G8" s="83">
        <v>45905</v>
      </c>
      <c r="H8" s="84"/>
      <c r="I8" s="27" t="s">
        <v>12</v>
      </c>
      <c r="J8" s="83">
        <v>45570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68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52</v>
      </c>
      <c r="I14" s="31">
        <f>((C14+D14)/2-(G14+H14)/2)/((G14+H14)/2)*100</f>
        <v>0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172</v>
      </c>
      <c r="D19" s="30">
        <v>178</v>
      </c>
      <c r="E19" s="30">
        <v>170</v>
      </c>
      <c r="F19" s="30">
        <v>176</v>
      </c>
      <c r="G19" s="30">
        <v>170</v>
      </c>
      <c r="H19" s="30">
        <v>174</v>
      </c>
      <c r="I19" s="31">
        <f t="shared" ref="I19:I25" si="0">((C19+D19)/2-(G19+H19)/2)/((G19+H19)/2)*100</f>
        <v>1.7441860465116279</v>
      </c>
      <c r="J19" s="30">
        <v>151</v>
      </c>
      <c r="K19" s="30">
        <v>155</v>
      </c>
      <c r="L19" s="32">
        <f t="shared" ref="L19:L25" si="1">((C19+D19)/2-(J19+K19)/2)/((J19+K19)/2)*100</f>
        <v>14.37908496732026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800</v>
      </c>
      <c r="K20" s="30">
        <v>810</v>
      </c>
      <c r="L20" s="32">
        <f t="shared" si="1"/>
        <v>12.422360248447205</v>
      </c>
    </row>
    <row r="21" spans="1:12" ht="21.75">
      <c r="A21" s="70" t="s">
        <v>29</v>
      </c>
      <c r="B21" s="6" t="s">
        <v>31</v>
      </c>
      <c r="C21" s="30">
        <v>375</v>
      </c>
      <c r="D21" s="30">
        <v>380</v>
      </c>
      <c r="E21" s="30">
        <v>375</v>
      </c>
      <c r="F21" s="30">
        <v>380</v>
      </c>
      <c r="G21" s="30">
        <v>375</v>
      </c>
      <c r="H21" s="30">
        <v>378</v>
      </c>
      <c r="I21" s="31">
        <f t="shared" si="0"/>
        <v>0.26560424966799467</v>
      </c>
      <c r="J21" s="30">
        <v>330</v>
      </c>
      <c r="K21" s="30">
        <v>335</v>
      </c>
      <c r="L21" s="32">
        <f t="shared" si="1"/>
        <v>13.533834586466165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170</v>
      </c>
      <c r="L22" s="32">
        <f t="shared" si="1"/>
        <v>12.835820895522387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137</v>
      </c>
      <c r="K23" s="30">
        <v>142</v>
      </c>
      <c r="L23" s="32">
        <f t="shared" si="1"/>
        <v>12.186379928315413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166</v>
      </c>
      <c r="G24" s="30">
        <v>155</v>
      </c>
      <c r="H24" s="30">
        <v>164</v>
      </c>
      <c r="I24" s="31">
        <f t="shared" si="0"/>
        <v>0.62695924764890276</v>
      </c>
      <c r="J24" s="30">
        <v>145</v>
      </c>
      <c r="K24" s="30">
        <v>150</v>
      </c>
      <c r="L24" s="32">
        <f t="shared" si="1"/>
        <v>8.8135593220338979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120</v>
      </c>
      <c r="D28" s="30">
        <v>140</v>
      </c>
      <c r="E28" s="30">
        <v>110</v>
      </c>
      <c r="F28" s="30">
        <v>140</v>
      </c>
      <c r="G28" s="30">
        <v>110</v>
      </c>
      <c r="H28" s="30">
        <v>140</v>
      </c>
      <c r="I28" s="31">
        <f t="shared" si="2"/>
        <v>4</v>
      </c>
      <c r="J28" s="30">
        <v>115</v>
      </c>
      <c r="K28" s="30">
        <v>120</v>
      </c>
      <c r="L28" s="32">
        <f t="shared" si="3"/>
        <v>10.638297872340425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180</v>
      </c>
      <c r="L30" s="32">
        <f t="shared" si="3"/>
        <v>-11.76470588235294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75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.75">
      <c r="A33" s="70" t="s">
        <v>42</v>
      </c>
      <c r="B33" s="6" t="s">
        <v>18</v>
      </c>
      <c r="C33" s="30">
        <v>18</v>
      </c>
      <c r="D33" s="30">
        <v>25</v>
      </c>
      <c r="E33" s="30">
        <v>18</v>
      </c>
      <c r="F33" s="30">
        <v>25</v>
      </c>
      <c r="G33" s="30">
        <v>25</v>
      </c>
      <c r="H33" s="30">
        <v>30</v>
      </c>
      <c r="I33" s="31">
        <f t="shared" si="2"/>
        <v>-21.818181818181817</v>
      </c>
      <c r="J33" s="30">
        <v>50</v>
      </c>
      <c r="K33" s="30">
        <v>60</v>
      </c>
      <c r="L33" s="32">
        <f t="shared" si="3"/>
        <v>-60.909090909090914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65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-9.375</v>
      </c>
      <c r="J35" s="30">
        <v>105</v>
      </c>
      <c r="K35" s="30">
        <v>115</v>
      </c>
      <c r="L35" s="32">
        <f t="shared" ref="L35:L50" si="5">((C35+D35)/2-(J35+K35)/2)/((J35+K35)/2)*100</f>
        <v>-34.090909090909086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95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100</v>
      </c>
      <c r="H37" s="30">
        <v>135</v>
      </c>
      <c r="I37" s="31">
        <f t="shared" si="4"/>
        <v>2.1276595744680851</v>
      </c>
      <c r="J37" s="30">
        <v>210</v>
      </c>
      <c r="K37" s="30">
        <v>220</v>
      </c>
      <c r="L37" s="32">
        <f t="shared" si="5"/>
        <v>-44.186046511627907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130</v>
      </c>
      <c r="H38" s="30">
        <v>200</v>
      </c>
      <c r="I38" s="31">
        <f t="shared" si="4"/>
        <v>0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270</v>
      </c>
      <c r="H39" s="30">
        <v>350</v>
      </c>
      <c r="I39" s="31">
        <f t="shared" si="4"/>
        <v>-8.064516129032258</v>
      </c>
      <c r="J39" s="30">
        <v>280</v>
      </c>
      <c r="K39" s="30">
        <v>350</v>
      </c>
      <c r="L39" s="32">
        <f t="shared" si="5"/>
        <v>-9.5238095238095237</v>
      </c>
    </row>
    <row r="40" spans="1:12" ht="21.75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420</v>
      </c>
      <c r="G40" s="30">
        <v>300</v>
      </c>
      <c r="H40" s="30">
        <v>450</v>
      </c>
      <c r="I40" s="31">
        <f t="shared" si="4"/>
        <v>-1.3333333333333335</v>
      </c>
      <c r="J40" s="30">
        <v>350</v>
      </c>
      <c r="K40" s="30">
        <v>450</v>
      </c>
      <c r="L40" s="32">
        <f t="shared" si="5"/>
        <v>-7.5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250</v>
      </c>
      <c r="E44" s="30">
        <v>140</v>
      </c>
      <c r="F44" s="30">
        <v>240</v>
      </c>
      <c r="G44" s="30">
        <v>140</v>
      </c>
      <c r="H44" s="30">
        <v>250</v>
      </c>
      <c r="I44" s="31">
        <f t="shared" si="4"/>
        <v>0</v>
      </c>
      <c r="J44" s="30">
        <v>200</v>
      </c>
      <c r="K44" s="30">
        <v>280</v>
      </c>
      <c r="L44" s="32">
        <f t="shared" si="5"/>
        <v>-18.75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480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1600</v>
      </c>
      <c r="I47" s="31">
        <f t="shared" si="4"/>
        <v>0</v>
      </c>
      <c r="J47" s="30">
        <v>1300</v>
      </c>
      <c r="K47" s="30">
        <v>1500</v>
      </c>
      <c r="L47" s="32">
        <f t="shared" si="5"/>
        <v>5.3571428571428568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4700</v>
      </c>
      <c r="H48" s="30">
        <v>5500</v>
      </c>
      <c r="I48" s="31">
        <f t="shared" si="4"/>
        <v>0.98039215686274506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220</v>
      </c>
      <c r="H49" s="30">
        <v>280</v>
      </c>
      <c r="I49" s="31">
        <f t="shared" si="4"/>
        <v>-4</v>
      </c>
      <c r="J49" s="30">
        <v>200</v>
      </c>
      <c r="K49" s="30">
        <v>280</v>
      </c>
      <c r="L49" s="32">
        <f t="shared" si="5"/>
        <v>0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225</v>
      </c>
      <c r="G50" s="30">
        <v>190</v>
      </c>
      <c r="H50" s="30">
        <v>225</v>
      </c>
      <c r="I50" s="31">
        <f t="shared" si="4"/>
        <v>2.4096385542168677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300</v>
      </c>
      <c r="K52" s="30">
        <v>400</v>
      </c>
      <c r="L52" s="32">
        <f t="shared" ref="L52:L57" si="7">((C52+D52)/2-(J52+K52)/2)/((J52+K52)/2)*100</f>
        <v>7.1428571428571423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1700</v>
      </c>
      <c r="L53" s="32">
        <f t="shared" si="7"/>
        <v>24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650</v>
      </c>
      <c r="K54" s="30">
        <v>750</v>
      </c>
      <c r="L54" s="32">
        <f t="shared" si="7"/>
        <v>10.714285714285714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1200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.75">
      <c r="A56" s="70" t="s">
        <v>62</v>
      </c>
      <c r="B56" s="6" t="s">
        <v>18</v>
      </c>
      <c r="C56" s="30">
        <v>160</v>
      </c>
      <c r="D56" s="30">
        <v>185</v>
      </c>
      <c r="E56" s="30">
        <v>160</v>
      </c>
      <c r="F56" s="30">
        <v>185</v>
      </c>
      <c r="G56" s="30">
        <v>170</v>
      </c>
      <c r="H56" s="30">
        <v>180</v>
      </c>
      <c r="I56" s="31">
        <f t="shared" si="6"/>
        <v>-1.4285714285714286</v>
      </c>
      <c r="J56" s="30">
        <v>190</v>
      </c>
      <c r="K56" s="30">
        <v>200</v>
      </c>
      <c r="L56" s="32">
        <f t="shared" si="7"/>
        <v>-11.538461538461538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650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600</v>
      </c>
      <c r="L57" s="32">
        <f t="shared" si="7"/>
        <v>9.0909090909090917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740</v>
      </c>
      <c r="K59" s="30">
        <v>820</v>
      </c>
      <c r="L59" s="32">
        <f>((C59+D59)/2-(J59+K59)/2)/((J59+K59)/2)*100</f>
        <v>1.2820512820512819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850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790</v>
      </c>
      <c r="K60" s="30">
        <v>840</v>
      </c>
      <c r="L60" s="32">
        <f>((C60+D60)/2-(J60+K60)/2)/((J60+K60)/2)*100</f>
        <v>8.5889570552147241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775</v>
      </c>
      <c r="K61" s="30">
        <v>820</v>
      </c>
      <c r="L61" s="32">
        <f>((C61+D61)/2-(J61+K61)/2)/((J61+K61)/2)*100</f>
        <v>7.8369905956112857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775</v>
      </c>
      <c r="K62" s="30">
        <v>830</v>
      </c>
      <c r="L62" s="32">
        <f>((C62+D62)/2-(J62+K62)/2)/((J62+K62)/2)*100</f>
        <v>7.7881619937694699</v>
      </c>
    </row>
    <row r="63" spans="1:12" ht="24" customHeight="1">
      <c r="A63" s="73"/>
      <c r="B63" s="82"/>
      <c r="C63" s="79"/>
      <c r="D63" s="79"/>
      <c r="E63" s="79"/>
      <c r="F63" s="79"/>
      <c r="G63" s="79"/>
      <c r="H63" s="79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45935</v>
      </c>
      <c r="D67" s="84"/>
      <c r="E67" s="83">
        <v>45928</v>
      </c>
      <c r="F67" s="84"/>
      <c r="G67" s="83">
        <v>45905</v>
      </c>
      <c r="H67" s="84"/>
      <c r="I67" s="27" t="s">
        <v>12</v>
      </c>
      <c r="J67" s="83">
        <v>45570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128</v>
      </c>
      <c r="K69" s="30">
        <v>135</v>
      </c>
      <c r="L69" s="32">
        <f t="shared" ref="L69:L75" si="8">((C69+D69)/2-(J69+K69)/2)/((J69+K69)/2)*100</f>
        <v>-16.34980988593156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58</v>
      </c>
      <c r="K72" s="38">
        <v>60</v>
      </c>
      <c r="L72" s="32">
        <f t="shared" si="8"/>
        <v>-19.491525423728813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86000</v>
      </c>
      <c r="I74" s="31">
        <f t="shared" si="9"/>
        <v>0</v>
      </c>
      <c r="J74" s="30">
        <v>87000</v>
      </c>
      <c r="K74" s="30">
        <v>89000</v>
      </c>
      <c r="L74" s="32">
        <f t="shared" si="8"/>
        <v>-3.6931818181818183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75000</v>
      </c>
      <c r="H75" s="38">
        <v>79000</v>
      </c>
      <c r="I75" s="31">
        <f t="shared" si="9"/>
        <v>0</v>
      </c>
      <c r="J75" s="30">
        <v>82500</v>
      </c>
      <c r="K75" s="38">
        <v>85000</v>
      </c>
      <c r="L75" s="32">
        <f t="shared" si="8"/>
        <v>-8.0597014925373127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68</v>
      </c>
      <c r="G83" s="7">
        <f t="shared" ref="G83:G88" si="10">((C83+D83)/2-(E83+F83)/2)/((E83+F83)/2)*100</f>
        <v>1.5625</v>
      </c>
      <c r="H83" s="5" t="s">
        <v>126</v>
      </c>
      <c r="I83" s="6"/>
      <c r="J83" s="6"/>
      <c r="K83" s="51"/>
      <c r="L83" s="18"/>
    </row>
    <row r="84" spans="1:12" ht="21.75">
      <c r="A84" s="5" t="s">
        <v>27</v>
      </c>
      <c r="B84" s="6" t="s">
        <v>28</v>
      </c>
      <c r="C84" s="30">
        <v>172</v>
      </c>
      <c r="D84" s="30">
        <v>178</v>
      </c>
      <c r="E84" s="30">
        <v>170</v>
      </c>
      <c r="F84" s="30">
        <v>176</v>
      </c>
      <c r="G84" s="7">
        <f t="shared" si="10"/>
        <v>1.1560693641618496</v>
      </c>
      <c r="H84" s="5" t="s">
        <v>121</v>
      </c>
      <c r="I84" s="6"/>
      <c r="J84" s="6"/>
      <c r="K84" s="51"/>
      <c r="L84" s="18"/>
    </row>
    <row r="85" spans="1:12" ht="21.75">
      <c r="A85" s="5" t="s">
        <v>110</v>
      </c>
      <c r="B85" s="6" t="s">
        <v>18</v>
      </c>
      <c r="C85" s="30">
        <v>120</v>
      </c>
      <c r="D85" s="30">
        <v>140</v>
      </c>
      <c r="E85" s="30">
        <v>110</v>
      </c>
      <c r="F85" s="30">
        <v>140</v>
      </c>
      <c r="G85" s="7">
        <f t="shared" si="10"/>
        <v>4</v>
      </c>
      <c r="H85" s="5" t="s">
        <v>120</v>
      </c>
      <c r="I85" s="6"/>
      <c r="J85" s="6"/>
      <c r="K85" s="51"/>
      <c r="L85" s="18"/>
    </row>
    <row r="86" spans="1:12" ht="21.75">
      <c r="A86" s="70" t="s">
        <v>90</v>
      </c>
      <c r="B86" s="6" t="s">
        <v>18</v>
      </c>
      <c r="C86" s="30">
        <v>65</v>
      </c>
      <c r="D86" s="30">
        <v>80</v>
      </c>
      <c r="E86" s="30">
        <v>70</v>
      </c>
      <c r="F86" s="30">
        <v>80</v>
      </c>
      <c r="G86" s="7">
        <f t="shared" si="10"/>
        <v>-3.3333333333333335</v>
      </c>
      <c r="H86" s="5" t="s">
        <v>122</v>
      </c>
      <c r="I86" s="6"/>
      <c r="J86" s="6"/>
      <c r="K86" s="51"/>
      <c r="L86" s="18"/>
    </row>
    <row r="87" spans="1:12" ht="21.75">
      <c r="A87" s="70" t="s">
        <v>46</v>
      </c>
      <c r="B87" s="6" t="s">
        <v>18</v>
      </c>
      <c r="C87" s="30">
        <v>130</v>
      </c>
      <c r="D87" s="30">
        <v>200</v>
      </c>
      <c r="E87" s="30">
        <v>140</v>
      </c>
      <c r="F87" s="30">
        <v>200</v>
      </c>
      <c r="G87" s="7">
        <f t="shared" si="10"/>
        <v>-2.9411764705882351</v>
      </c>
      <c r="H87" s="5" t="s">
        <v>127</v>
      </c>
      <c r="I87" s="6"/>
      <c r="J87" s="6"/>
      <c r="K87" s="51"/>
      <c r="L87" s="18"/>
    </row>
    <row r="88" spans="1:12" ht="21.75">
      <c r="A88" s="70" t="s">
        <v>52</v>
      </c>
      <c r="B88" s="6" t="s">
        <v>18</v>
      </c>
      <c r="C88" s="30">
        <v>140</v>
      </c>
      <c r="D88" s="30">
        <v>250</v>
      </c>
      <c r="E88" s="30">
        <v>140</v>
      </c>
      <c r="F88" s="30">
        <v>240</v>
      </c>
      <c r="G88" s="7">
        <f t="shared" si="10"/>
        <v>2.6315789473684208</v>
      </c>
      <c r="H88" s="5" t="s">
        <v>126</v>
      </c>
      <c r="I88" s="6"/>
      <c r="J88" s="6"/>
      <c r="K88" s="51"/>
      <c r="L88" s="18"/>
    </row>
    <row r="89" spans="1:12" ht="21.75">
      <c r="A89" s="73"/>
      <c r="B89" s="3"/>
      <c r="C89" s="79"/>
      <c r="D89" s="79"/>
      <c r="E89" s="79"/>
      <c r="F89" s="79"/>
      <c r="G89" s="10"/>
      <c r="H89" s="1"/>
      <c r="I89" s="3"/>
      <c r="J89" s="3"/>
      <c r="K89" s="51"/>
      <c r="L89" s="18"/>
    </row>
    <row r="90" spans="1:12" ht="24.75">
      <c r="A90" s="1"/>
      <c r="B90" s="3"/>
      <c r="C90" s="9"/>
      <c r="D90" s="9"/>
      <c r="E90" s="9"/>
      <c r="F90" s="9"/>
      <c r="G90" s="10"/>
      <c r="H90" s="1"/>
      <c r="I90" s="3"/>
      <c r="J90" s="3"/>
      <c r="K90" s="12"/>
      <c r="L90" s="12"/>
    </row>
    <row r="91" spans="1:12" ht="24.75">
      <c r="A91" s="1"/>
      <c r="B91" s="14"/>
      <c r="C91" s="15"/>
      <c r="D91" s="15"/>
      <c r="E91" s="14"/>
      <c r="F91" s="15"/>
      <c r="G91" s="39"/>
      <c r="H91" s="40"/>
      <c r="I91" s="41"/>
      <c r="J91" s="41"/>
      <c r="K91" s="41"/>
      <c r="L91" s="12"/>
    </row>
    <row r="92" spans="1:12" ht="24.75">
      <c r="A92" s="1"/>
      <c r="B92" s="42"/>
      <c r="C92" s="43" t="s">
        <v>118</v>
      </c>
      <c r="D92" s="11"/>
      <c r="E92" s="42"/>
      <c r="F92" s="14"/>
      <c r="G92" s="11"/>
      <c r="H92" s="40"/>
      <c r="I92" s="13"/>
      <c r="J92" s="14" t="s">
        <v>116</v>
      </c>
      <c r="K92" s="11"/>
      <c r="L92" s="11"/>
    </row>
    <row r="93" spans="1:12" ht="24.75">
      <c r="A93" s="1"/>
      <c r="B93" s="44"/>
      <c r="C93" s="43" t="s">
        <v>119</v>
      </c>
      <c r="D93" s="14"/>
      <c r="E93" s="42"/>
      <c r="F93" s="45"/>
      <c r="G93" s="47"/>
      <c r="H93" s="47"/>
      <c r="I93" s="77"/>
      <c r="J93" s="14" t="s">
        <v>117</v>
      </c>
      <c r="K93" s="14"/>
      <c r="L93" s="14"/>
    </row>
    <row r="94" spans="1:12" ht="24.75">
      <c r="A94" s="1"/>
      <c r="B94" s="14"/>
      <c r="C94" s="15"/>
      <c r="D94" s="14"/>
      <c r="E94" s="15"/>
      <c r="F94" s="45"/>
      <c r="G94" s="47"/>
      <c r="H94" s="47"/>
      <c r="I94" s="46"/>
      <c r="J94" s="11"/>
      <c r="K94" s="11"/>
      <c r="L94" s="2"/>
    </row>
    <row r="95" spans="1:12" ht="19.5">
      <c r="A95" s="56" t="s">
        <v>93</v>
      </c>
      <c r="B95" s="54"/>
      <c r="C95" s="52"/>
      <c r="D95" s="54"/>
      <c r="E95" s="52"/>
      <c r="F95" s="52"/>
      <c r="G95" s="52"/>
      <c r="H95" s="53"/>
      <c r="I95" s="58"/>
      <c r="J95" s="2"/>
      <c r="K95" s="2"/>
      <c r="L95" s="2"/>
    </row>
    <row r="96" spans="1:12" ht="19.5">
      <c r="A96" s="55" t="s">
        <v>99</v>
      </c>
      <c r="B96" s="54"/>
      <c r="C96" s="52"/>
      <c r="D96" s="54"/>
      <c r="E96" s="52"/>
      <c r="F96" s="52"/>
      <c r="G96" s="54"/>
      <c r="H96" s="53"/>
      <c r="I96" s="58"/>
      <c r="J96" s="2"/>
      <c r="K96" s="2"/>
      <c r="L96" s="2"/>
    </row>
    <row r="97" spans="1:12" ht="19.5">
      <c r="A97" s="55" t="s">
        <v>98</v>
      </c>
      <c r="B97" s="54"/>
      <c r="C97" s="54"/>
      <c r="D97" s="54"/>
      <c r="E97" s="54"/>
      <c r="F97" s="52"/>
      <c r="G97" s="54"/>
      <c r="H97" s="53"/>
      <c r="I97" s="58"/>
      <c r="J97" s="2"/>
      <c r="K97" s="2"/>
      <c r="L97" s="2"/>
    </row>
    <row r="98" spans="1:12" ht="19.5">
      <c r="A98" s="55" t="s">
        <v>85</v>
      </c>
      <c r="B98" s="54"/>
      <c r="C98" s="54"/>
      <c r="D98" s="54"/>
      <c r="E98" s="54"/>
      <c r="F98" s="53"/>
      <c r="G98" s="53"/>
      <c r="H98" s="53"/>
      <c r="I98" s="58"/>
      <c r="J98" s="2"/>
      <c r="K98" s="2"/>
      <c r="L98" s="2"/>
    </row>
    <row r="99" spans="1:12" ht="19.5">
      <c r="A99" s="55" t="s">
        <v>97</v>
      </c>
      <c r="B99" s="54"/>
      <c r="C99" s="54"/>
      <c r="D99" s="54"/>
      <c r="E99" s="54"/>
      <c r="F99" s="54"/>
      <c r="G99" s="53"/>
      <c r="H99" s="53"/>
      <c r="I99" s="58"/>
      <c r="J99" s="2"/>
      <c r="K99" s="2"/>
      <c r="L99" s="2"/>
    </row>
    <row r="100" spans="1:12" ht="19.5">
      <c r="A100" s="55" t="s">
        <v>96</v>
      </c>
      <c r="B100" s="54"/>
      <c r="C100" s="54"/>
      <c r="D100" s="54"/>
      <c r="E100" s="54"/>
      <c r="F100" s="54"/>
      <c r="G100" s="54"/>
      <c r="H100" s="53"/>
      <c r="I100" s="58"/>
      <c r="J100" s="2"/>
      <c r="K100" s="2"/>
      <c r="L100" s="2"/>
    </row>
    <row r="101" spans="1:12" ht="19.5">
      <c r="A101" s="55" t="s">
        <v>107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9.5">
      <c r="A102" s="55" t="s">
        <v>95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94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86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101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100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102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103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87</v>
      </c>
      <c r="B109" s="54"/>
      <c r="C109" s="54"/>
      <c r="D109" s="54"/>
      <c r="E109" s="54"/>
      <c r="F109" s="54"/>
      <c r="G109" s="54"/>
      <c r="H109" s="57"/>
      <c r="I109" s="59"/>
      <c r="J109" s="12"/>
      <c r="K109" s="12"/>
      <c r="L109" s="12"/>
    </row>
    <row r="110" spans="1:12" ht="19.5">
      <c r="A110" s="55"/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9.5">
      <c r="A111" s="56" t="s">
        <v>88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5" t="s">
        <v>89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 t="s">
        <v>115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114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113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2025-10-05T09:20:03Z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