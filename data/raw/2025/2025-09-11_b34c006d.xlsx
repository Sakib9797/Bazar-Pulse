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0886CEF6-DF34-49E0-948F-8B469F14FA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84" i="4"/>
  <c r="G88" i="4"/>
  <c r="G87" i="4"/>
  <c r="G90" i="4"/>
  <c r="G89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<sst xmlns="http://schemas.openxmlformats.org/spreadsheetml/2006/main" count="235" uniqueCount="131">
  <si>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</si>
  <si>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</si>
  <si>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</si>
  <si>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</si>
  <si>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</si>
  <si>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</si>
  <si>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</si>
  <si>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</si>
  <si>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</si>
  <si>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</si>
  <si>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</si>
  <si>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</si>
  <si>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</si>
  <si>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</si>
  <si>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</si>
  <si>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</si>
  <si>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</si>
  <si>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</si>
  <si>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</si>
  <si>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</si>
  <si>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</si>
  <si>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</si>
  <si>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</si>
  <si>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</si>
  <si>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</si>
  <si>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</si>
  <si>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</si>
  <si>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</si>
  <si>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</si>
  <si>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</si>
  <si>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</si>
  <si>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</si>
  <si>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</si>
  <si>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</si>
  <si>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</si>
  <si>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</si>
  <si>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</si>
  <si>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</si>
  <si>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</si>
  <si>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</si>
  <si>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</si>
  <si>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</si>
  <si>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</si>
  <si>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</si>
  <si>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</si>
  <si>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</si>
  <si>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</si>
  <si>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</si>
  <si>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</si>
  <si>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</si>
  <si>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</si>
  <si>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</si>
  <si>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</si>
  <si>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</si>
  <si>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</si>
  <si>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</si>
  <si>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</si>
  <si>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</si>
  <si>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</si>
  <si>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</si>
  <si>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</si>
  <si>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</si>
  <si>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</si>
  <si>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</si>
  <si>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</si>
  <si>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</si>
  <si>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</si>
  <si>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</si>
  <si>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</si>
  <si>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</si>
  <si>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</si>
  <si>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</si>
  <si>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</si>
  <si>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</si>
  <si>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</si>
  <si>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</si>
  <si>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</si>
  <si>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</si>
  <si>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</si>
  <si>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</si>
  <si>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</si>
  <si>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</si>
  <si>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</si>
  <si>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</si>
  <si>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</si>
  <si>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</si>
  <si>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</si>
  <si>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</si>
  <si>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</si>
  <si>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</si>
  <si>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</si>
  <si>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</si>
  <si>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</si>
  <si>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</si>
  <si>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</si>
  <si>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</si>
  <si>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</si>
  <si>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</si>
  <si>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</si>
  <si>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</si>
  <si>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</si>
  <si>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</si>
  <si>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</si>
  <si>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</si>
  <si>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</si>
  <si>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</si>
  <si>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</si>
  <si>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</si>
  <si>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</si>
  <si>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</si>
  <si>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</si>
  <si>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</si>
  <si>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</si>
  <si>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</si>
  <si>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</si>
  <si>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</si>
  <si>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</si>
  <si>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>০৫-০৯-২০২৫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</si>
  <si>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</si>
  <si>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</si>
  <si>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০৭-০৯-২০২৫ তারিখে মূল্য বৃদ্ধি পেয়েছে।</t>
  </si>
  <si>
    <t>০৮-০৯-২০২৫ তারিখে মূল্য হ্রাস পেয়েছে।</t>
  </si>
  <si>
    <t>০৮-০৯-২০২৫ তারিখে মূল্য বৃদ্ধি পেয়েছে।</t>
  </si>
  <si>
    <t>(১)     সয়াবিন তেল (লুজ), মসুর ডাল (মাঝারী), এলাচ, ধনে, মুরগী ব্রয়লার  এর মূল্য বৃদ্ধি পেয়েছে।</t>
  </si>
  <si>
    <t>১০-০৯-২০২৫ তারিখে মূল্য হ্রাস পেয়েছে।</t>
  </si>
  <si>
    <t>স্মারক নং-২৬.০৫.০০০০.০১৭.৩১.০১.২৫-৬৪১</t>
  </si>
  <si>
    <t xml:space="preserve">বৃহস্পতিবার ১১ সেপ্টেম্বর ২০২৫ খ্রিঃ, ২৭ ভাদ্র ১৪৩২ বাংলা, ১৭ রবিউল আউয়াল ১৪৪৭ হিজরি </t>
  </si>
  <si>
    <t xml:space="preserve">   সিরিয়াল নংঃ     ২২৭</t>
  </si>
  <si>
    <t>১১-০৯-২০২৫ তারিখে মূল্য হ্রাস পেয়েছে।</t>
  </si>
  <si>
    <t>(৩)    অন্যান্য পণ্যের মূল্য অপরিবর্তীত রয়েছে।</t>
  </si>
  <si>
    <t>(২ )     আলু, পেঁয়াজ (দেশী), লবঙ্গ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</si>
</sst>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A28" zoomScale="98" zoomScaleNormal="98" workbookViewId="0">
      <selection activeCell="B78" sqref="B78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45911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45911</v>
      </c>
      <c r="D8" s="84"/>
      <c r="E8" s="83">
        <v>45904</v>
      </c>
      <c r="F8" s="84"/>
      <c r="G8" s="83">
        <v>45880</v>
      </c>
      <c r="H8" s="84"/>
      <c r="I8" s="27" t="s">
        <v>12</v>
      </c>
      <c r="J8" s="83">
        <v>45546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174</v>
      </c>
      <c r="E19" s="30">
        <v>166</v>
      </c>
      <c r="F19" s="30">
        <v>174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158</v>
      </c>
      <c r="L19" s="32">
        <f t="shared" ref="L19:L25" si="1">((C19+D19)/2-(J19+K19)/2)/((J19+K19)/2)*100</f>
        <v>11.76470588235294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0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-9.0909090909090917</v>
      </c>
      <c r="J33" s="30">
        <v>52</v>
      </c>
      <c r="K33" s="30">
        <v>60</v>
      </c>
      <c r="L33" s="32">
        <f t="shared" si="3"/>
        <v>-55.357142857142861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85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-3.125</v>
      </c>
      <c r="J35" s="30">
        <v>110</v>
      </c>
      <c r="K35" s="30">
        <v>120</v>
      </c>
      <c r="L35" s="32">
        <f t="shared" ref="L35:L50" si="5">((C35+D35)/2-(J35+K35)/2)/((J35+K35)/2)*100</f>
        <v>-32.608695652173914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270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260</v>
      </c>
      <c r="E44" s="30">
        <v>140</v>
      </c>
      <c r="F44" s="30">
        <v>260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260</v>
      </c>
      <c r="L44" s="32">
        <f t="shared" si="5"/>
        <v>-13.043478260869565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190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730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-1.2903225806451613</v>
      </c>
      <c r="J54" s="30">
        <v>700</v>
      </c>
      <c r="K54" s="30">
        <v>750</v>
      </c>
      <c r="L54" s="32">
        <f t="shared" si="7"/>
        <v>5.5172413793103452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160</v>
      </c>
      <c r="H56" s="30">
        <v>170</v>
      </c>
      <c r="I56" s="31">
        <f t="shared" si="6"/>
        <v>7.5757575757575761</v>
      </c>
      <c r="J56" s="30">
        <v>165</v>
      </c>
      <c r="K56" s="30">
        <v>175</v>
      </c>
      <c r="L56" s="32">
        <f t="shared" si="7"/>
        <v>4.4117647058823533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63"/>
      <c r="F63" s="63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45911</v>
      </c>
      <c r="D67" s="84"/>
      <c r="E67" s="83">
        <v>45904</v>
      </c>
      <c r="F67" s="84"/>
      <c r="G67" s="83">
        <v>45880</v>
      </c>
      <c r="H67" s="84"/>
      <c r="I67" s="27" t="s">
        <v>12</v>
      </c>
      <c r="J67" s="83">
        <v>45546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129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27</v>
      </c>
      <c r="B83" s="6" t="s">
        <v>28</v>
      </c>
      <c r="C83" s="30">
        <v>168</v>
      </c>
      <c r="D83" s="30">
        <v>174</v>
      </c>
      <c r="E83" s="30">
        <v>166</v>
      </c>
      <c r="F83" s="30">
        <v>174</v>
      </c>
      <c r="G83" s="7">
        <f t="shared" ref="G83:G88" si="10">((C83+D83)/2-(E83+F83)/2)/((E83+F83)/2)*100</f>
        <v>0.58823529411764708</v>
      </c>
      <c r="H83" s="5" t="s">
        <v>120</v>
      </c>
      <c r="I83" s="6"/>
      <c r="J83" s="6"/>
      <c r="K83" s="51"/>
      <c r="L83" s="18"/>
    </row>
    <row r="84" spans="1:12" ht="21.75">
      <c r="A84" s="70" t="s">
        <v>110</v>
      </c>
      <c r="B84" s="6" t="s">
        <v>18</v>
      </c>
      <c r="C84" s="30">
        <v>110</v>
      </c>
      <c r="D84" s="30">
        <v>140</v>
      </c>
      <c r="E84" s="30">
        <v>110</v>
      </c>
      <c r="F84" s="30">
        <v>135</v>
      </c>
      <c r="G84" s="7">
        <f t="shared" si="10"/>
        <v>2.0408163265306123</v>
      </c>
      <c r="H84" s="5" t="s">
        <v>117</v>
      </c>
      <c r="I84" s="6"/>
      <c r="J84" s="6"/>
      <c r="K84" s="51"/>
      <c r="L84" s="18"/>
    </row>
    <row r="85" spans="1:12" ht="21.75">
      <c r="A85" s="70" t="s">
        <v>42</v>
      </c>
      <c r="B85" s="6" t="s">
        <v>18</v>
      </c>
      <c r="C85" s="30">
        <v>20</v>
      </c>
      <c r="D85" s="30">
        <v>30</v>
      </c>
      <c r="E85" s="30">
        <v>25</v>
      </c>
      <c r="F85" s="30">
        <v>30</v>
      </c>
      <c r="G85" s="7">
        <f t="shared" si="10"/>
        <v>-9.0909090909090917</v>
      </c>
      <c r="H85" s="5" t="s">
        <v>124</v>
      </c>
      <c r="I85" s="6"/>
      <c r="J85" s="6"/>
      <c r="K85" s="51"/>
      <c r="L85" s="18"/>
    </row>
    <row r="86" spans="1:12" ht="21.75">
      <c r="A86" s="70" t="s">
        <v>90</v>
      </c>
      <c r="B86" s="6" t="s">
        <v>18</v>
      </c>
      <c r="C86" s="30">
        <v>70</v>
      </c>
      <c r="D86" s="30">
        <v>85</v>
      </c>
      <c r="E86" s="30">
        <v>75</v>
      </c>
      <c r="F86" s="30">
        <v>85</v>
      </c>
      <c r="G86" s="7">
        <f t="shared" si="10"/>
        <v>-3.125</v>
      </c>
      <c r="H86" s="5" t="s">
        <v>128</v>
      </c>
      <c r="I86" s="6"/>
      <c r="J86" s="6"/>
      <c r="K86" s="51"/>
      <c r="L86" s="18"/>
    </row>
    <row r="87" spans="1:12" ht="21.75">
      <c r="A87" s="70" t="s">
        <v>55</v>
      </c>
      <c r="B87" s="6" t="s">
        <v>18</v>
      </c>
      <c r="C87" s="30">
        <v>1350</v>
      </c>
      <c r="D87" s="30">
        <v>1600</v>
      </c>
      <c r="E87" s="30">
        <v>1350</v>
      </c>
      <c r="F87" s="30">
        <v>1700</v>
      </c>
      <c r="G87" s="7">
        <f t="shared" si="10"/>
        <v>-3.278688524590164</v>
      </c>
      <c r="H87" s="5" t="s">
        <v>121</v>
      </c>
      <c r="I87" s="6"/>
      <c r="J87" s="6"/>
      <c r="K87" s="51"/>
      <c r="L87" s="18"/>
    </row>
    <row r="88" spans="1:12" ht="21.75">
      <c r="A88" s="70" t="s">
        <v>56</v>
      </c>
      <c r="B88" s="6" t="s">
        <v>18</v>
      </c>
      <c r="C88" s="30">
        <v>4700</v>
      </c>
      <c r="D88" s="30">
        <v>5500</v>
      </c>
      <c r="E88" s="30">
        <v>4600</v>
      </c>
      <c r="F88" s="30">
        <v>5500</v>
      </c>
      <c r="G88" s="7">
        <f t="shared" si="10"/>
        <v>0.99009900990099009</v>
      </c>
      <c r="H88" s="5" t="s">
        <v>117</v>
      </c>
      <c r="I88" s="6"/>
      <c r="J88" s="6"/>
      <c r="K88" s="51"/>
      <c r="L88" s="18"/>
    </row>
    <row r="89" spans="1:12" ht="21.75">
      <c r="A89" s="70" t="s">
        <v>57</v>
      </c>
      <c r="B89" s="6" t="s">
        <v>18</v>
      </c>
      <c r="C89" s="30">
        <v>220</v>
      </c>
      <c r="D89" s="30">
        <v>280</v>
      </c>
      <c r="E89" s="30">
        <v>200</v>
      </c>
      <c r="F89" s="30">
        <v>280</v>
      </c>
      <c r="G89" s="7">
        <f t="shared" ref="G89:G90" si="11">((C89+D89)/2-(E89+F89)/2)/((E89+F89)/2)*100</f>
        <v>4.1666666666666661</v>
      </c>
      <c r="H89" s="5" t="s">
        <v>122</v>
      </c>
      <c r="I89" s="6"/>
      <c r="J89" s="6"/>
      <c r="K89" s="51"/>
      <c r="L89" s="18"/>
    </row>
    <row r="90" spans="1:12" ht="21.75">
      <c r="A90" s="70" t="s">
        <v>62</v>
      </c>
      <c r="B90" s="6" t="s">
        <v>18</v>
      </c>
      <c r="C90" s="30">
        <v>170</v>
      </c>
      <c r="D90" s="30">
        <v>185</v>
      </c>
      <c r="E90" s="30">
        <v>170</v>
      </c>
      <c r="F90" s="30">
        <v>180</v>
      </c>
      <c r="G90" s="7">
        <f t="shared" si="11"/>
        <v>1.4285714285714286</v>
      </c>
      <c r="H90" s="5" t="s">
        <v>122</v>
      </c>
      <c r="I90" s="6"/>
      <c r="J90" s="6"/>
      <c r="K90" s="51"/>
      <c r="L90" s="18"/>
    </row>
    <row r="91" spans="1:12" ht="21.75">
      <c r="A91" s="73"/>
      <c r="B91" s="3"/>
      <c r="C91" s="79"/>
      <c r="D91" s="79"/>
      <c r="E91" s="79"/>
      <c r="F91" s="79"/>
      <c r="G91" s="10"/>
      <c r="H91" s="1"/>
      <c r="I91" s="3"/>
      <c r="J91" s="3"/>
      <c r="K91" s="51"/>
      <c r="L91" s="18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14"/>
      <c r="C94" s="15"/>
      <c r="D94" s="15"/>
      <c r="E94" s="14"/>
      <c r="F94" s="15"/>
      <c r="G94" s="39"/>
      <c r="H94" s="40"/>
      <c r="I94" s="41"/>
      <c r="J94" s="41"/>
      <c r="K94" s="41"/>
      <c r="L94" s="12"/>
    </row>
    <row r="95" spans="1:12" ht="24.75">
      <c r="A95" s="1"/>
      <c r="B95" s="42"/>
      <c r="C95" s="43" t="s">
        <v>115</v>
      </c>
      <c r="D95" s="11"/>
      <c r="E95" s="42"/>
      <c r="F95" s="14"/>
      <c r="G95" s="11"/>
      <c r="H95" s="40"/>
      <c r="I95" s="13"/>
      <c r="J95" s="14" t="s">
        <v>118</v>
      </c>
      <c r="K95" s="11"/>
      <c r="L95" s="11"/>
    </row>
    <row r="96" spans="1:12" ht="24.75">
      <c r="A96" s="1"/>
      <c r="B96" s="44"/>
      <c r="C96" s="43" t="s">
        <v>116</v>
      </c>
      <c r="D96" s="14"/>
      <c r="E96" s="42"/>
      <c r="F96" s="45"/>
      <c r="G96" s="47"/>
      <c r="H96" s="47"/>
      <c r="I96" s="77"/>
      <c r="J96" s="14" t="s">
        <v>119</v>
      </c>
      <c r="K96" s="14"/>
      <c r="L96" s="14"/>
    </row>
    <row r="97" spans="1:12" ht="24.75">
      <c r="A97" s="1"/>
      <c r="B97" s="14"/>
      <c r="C97" s="15"/>
      <c r="D97" s="14"/>
      <c r="E97" s="15"/>
      <c r="F97" s="45"/>
      <c r="G97" s="47"/>
      <c r="H97" s="47"/>
      <c r="I97" s="46"/>
      <c r="J97" s="11"/>
      <c r="K97" s="11"/>
      <c r="L97" s="2"/>
    </row>
    <row r="98" spans="1:12" ht="19.5">
      <c r="A98" s="56" t="s">
        <v>93</v>
      </c>
      <c r="B98" s="54"/>
      <c r="C98" s="52"/>
      <c r="D98" s="54"/>
      <c r="E98" s="52"/>
      <c r="F98" s="52"/>
      <c r="G98" s="52"/>
      <c r="H98" s="53"/>
      <c r="I98" s="58"/>
      <c r="J98" s="2"/>
      <c r="K98" s="2"/>
      <c r="L98" s="2"/>
    </row>
    <row r="99" spans="1:12" ht="19.5">
      <c r="A99" s="55" t="s">
        <v>99</v>
      </c>
      <c r="B99" s="54"/>
      <c r="C99" s="52"/>
      <c r="D99" s="54"/>
      <c r="E99" s="52"/>
      <c r="F99" s="52"/>
      <c r="G99" s="54"/>
      <c r="H99" s="53"/>
      <c r="I99" s="58"/>
      <c r="J99" s="2"/>
      <c r="K99" s="2"/>
      <c r="L99" s="2"/>
    </row>
    <row r="100" spans="1:12" ht="19.5">
      <c r="A100" s="55" t="s">
        <v>98</v>
      </c>
      <c r="B100" s="54"/>
      <c r="C100" s="54"/>
      <c r="D100" s="54"/>
      <c r="E100" s="54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85</v>
      </c>
      <c r="B101" s="54"/>
      <c r="C101" s="54"/>
      <c r="D101" s="54"/>
      <c r="E101" s="54"/>
      <c r="F101" s="53"/>
      <c r="G101" s="53"/>
      <c r="H101" s="53"/>
      <c r="I101" s="58"/>
      <c r="J101" s="2"/>
      <c r="K101" s="2"/>
      <c r="L101" s="2"/>
    </row>
    <row r="102" spans="1:12" ht="19.5">
      <c r="A102" s="55" t="s">
        <v>97</v>
      </c>
      <c r="B102" s="54"/>
      <c r="C102" s="54"/>
      <c r="D102" s="54"/>
      <c r="E102" s="54"/>
      <c r="F102" s="54"/>
      <c r="G102" s="53"/>
      <c r="H102" s="53"/>
      <c r="I102" s="58"/>
      <c r="J102" s="2"/>
      <c r="K102" s="2"/>
      <c r="L102" s="2"/>
    </row>
    <row r="103" spans="1:12" ht="19.5">
      <c r="A103" s="55" t="s">
        <v>96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107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95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94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86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101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100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87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/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6" t="s">
        <v>88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89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112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2025-09-11T08:22:52Z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