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EA8AAEF7-7264-4589-8D11-D0046B804A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5" i="4"/>
  <c r="G84" i="4"/>
  <c r="G83" i="4"/>
  <c r="G86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<sst xmlns="http://schemas.openxmlformats.org/spreadsheetml/2006/main" count="229" uniqueCount="130">
  <si>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</si>
  <si>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</si>
  <si>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</si>
  <si>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</si>
  <si>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</si>
  <si>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</si>
  <si>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</si>
  <si>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</si>
  <si>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</si>
  <si>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</si>
  <si>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</si>
  <si>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</si>
  <si>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</si>
  <si>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</si>
  <si>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</si>
  <si>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</si>
  <si>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</si>
  <si>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</si>
  <si>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</si>
  <si>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</si>
  <si>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</si>
  <si>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</si>
  <si>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</si>
  <si>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</si>
  <si>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</si>
  <si>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</si>
  <si>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</si>
  <si>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</si>
  <si>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</si>
  <si>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</si>
  <si>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</si>
  <si>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</si>
  <si>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</si>
  <si>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</si>
  <si>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</si>
  <si>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</si>
  <si>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</si>
  <si>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</si>
  <si>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</si>
  <si>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</si>
  <si>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</si>
  <si>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</si>
  <si>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</si>
  <si>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</si>
  <si>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</si>
  <si>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</si>
  <si>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</si>
  <si>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</si>
  <si>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</si>
  <si>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</si>
  <si>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</si>
  <si>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</si>
  <si>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</si>
  <si>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</si>
  <si>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</si>
  <si>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</si>
  <si>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</si>
  <si>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</si>
  <si>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</si>
  <si>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</si>
  <si>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</si>
  <si>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</si>
  <si>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</si>
  <si>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</si>
  <si>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</si>
  <si>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</si>
  <si>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</si>
  <si>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</si>
  <si>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</si>
  <si>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</si>
  <si>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</si>
  <si>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</si>
  <si>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</si>
  <si>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</si>
  <si>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</si>
  <si>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</si>
  <si>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</si>
  <si>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</si>
  <si>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</si>
  <si>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</si>
  <si>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</si>
  <si>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</si>
  <si>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</si>
  <si>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</si>
  <si>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</si>
  <si>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</si>
  <si>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</si>
  <si>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</si>
  <si>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</si>
  <si>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</si>
  <si>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</si>
  <si>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</si>
  <si>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</si>
  <si>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</si>
  <si>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</si>
  <si>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</si>
  <si>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</si>
  <si>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</si>
  <si>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</si>
  <si>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</si>
  <si>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</si>
  <si>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</si>
  <si>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</si>
  <si>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</si>
  <si>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</si>
  <si>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</si>
  <si>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</si>
  <si>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</si>
  <si>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</si>
  <si>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</si>
  <si>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</si>
  <si>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</si>
  <si>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</si>
  <si>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</si>
  <si>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</si>
  <si>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</si>
  <si>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</si>
  <si>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</si>
  <si>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</si>
  <si>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</si>
  <si>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০৮-০৯-২০২৫ তারিখে মূল্য বৃদ্ধি পেয়েছে।</t>
  </si>
  <si>
    <t>১০-০৯-২০২৫ তারিখে মূল্য হ্রাস পেয়েছে।</t>
  </si>
  <si>
    <t>১২-০৯-২০২৫ তারিখে মূল্য বৃদ্ধি পেয়েছে।</t>
  </si>
  <si>
    <t>স্মারক নং-২৬.০৫.০০০০.০১৭.৩১.০১.২৫-৬৪৬</t>
  </si>
  <si>
    <t xml:space="preserve">রবিবার ১৪ সেপ্টেম্বর ২০২৫ খ্রিঃ, ৩০ ভাদ্র ১৪৩২ বাংলা, ২০ রবিউল আউয়াল ১৪৪৭ হিজরি </t>
  </si>
  <si>
    <t xml:space="preserve">   সিরিয়াল নংঃ     ২৩০</t>
  </si>
  <si>
    <t>১৪-০৯-২০২৫ তারিখে মূল্য বৃদ্ধি পেয়েছে।</t>
  </si>
  <si>
    <t>১৪-০৯-২০২৫ তারিখে মূল্য হ্রাস পেয়েছে।</t>
  </si>
  <si>
    <t>(১)     সুপার পাম অয়েল (লুজ), তেজপাতা, মুরগী ব্রয়লার  এর মূল্য বৃদ্ধি পেয়েছে।</t>
  </si>
  <si>
    <t>(২ )    আলু, পেঁয়াজ (দেশী), আদা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</si>
</sst>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4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45914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45914</v>
      </c>
      <c r="D8" s="84"/>
      <c r="E8" s="83">
        <v>45907</v>
      </c>
      <c r="F8" s="84"/>
      <c r="G8" s="83">
        <v>45883</v>
      </c>
      <c r="H8" s="84"/>
      <c r="I8" s="27" t="s">
        <v>12</v>
      </c>
      <c r="J8" s="83">
        <v>45549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174</v>
      </c>
      <c r="E19" s="30">
        <v>168</v>
      </c>
      <c r="F19" s="30">
        <v>174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158</v>
      </c>
      <c r="L19" s="32">
        <f t="shared" ref="L19:L25" si="1">((C19+D19)/2-(J19+K19)/2)/((J19+K19)/2)*100</f>
        <v>11.76470588235294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160</v>
      </c>
      <c r="H30" s="30">
        <v>180</v>
      </c>
      <c r="I30" s="31">
        <f t="shared" si="2"/>
        <v>-11.76470588235294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0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-9.0909090909090917</v>
      </c>
      <c r="J33" s="30">
        <v>52</v>
      </c>
      <c r="K33" s="30">
        <v>60</v>
      </c>
      <c r="L33" s="32">
        <f t="shared" si="3"/>
        <v>-55.357142857142861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82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-5</v>
      </c>
      <c r="J35" s="30">
        <v>110</v>
      </c>
      <c r="K35" s="30">
        <v>120</v>
      </c>
      <c r="L35" s="32">
        <f t="shared" ref="L35:L50" si="5">((C35+D35)/2-(J35+K35)/2)/((J35+K35)/2)*100</f>
        <v>-33.913043478260867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105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210</v>
      </c>
      <c r="K38" s="30">
        <v>220</v>
      </c>
      <c r="L38" s="32">
        <f t="shared" si="5"/>
        <v>-23.255813953488371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260</v>
      </c>
      <c r="E44" s="30">
        <v>170</v>
      </c>
      <c r="F44" s="30">
        <v>250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260</v>
      </c>
      <c r="L44" s="32">
        <f t="shared" si="5"/>
        <v>-13.043478260869565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1480</v>
      </c>
      <c r="L47" s="32">
        <f t="shared" si="5"/>
        <v>10.074626865671641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180</v>
      </c>
      <c r="H50" s="30">
        <v>220</v>
      </c>
      <c r="I50" s="31">
        <f t="shared" si="4"/>
        <v>6.25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-6.3829787234042552</v>
      </c>
      <c r="J55" s="30">
        <v>950</v>
      </c>
      <c r="K55" s="30">
        <v>1100</v>
      </c>
      <c r="L55" s="32">
        <f t="shared" si="7"/>
        <v>7.3170731707317067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160</v>
      </c>
      <c r="H56" s="30">
        <v>175</v>
      </c>
      <c r="I56" s="31">
        <f t="shared" si="6"/>
        <v>5.9701492537313428</v>
      </c>
      <c r="J56" s="30">
        <v>170</v>
      </c>
      <c r="K56" s="30">
        <v>180</v>
      </c>
      <c r="L56" s="32">
        <f t="shared" si="7"/>
        <v>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45914</v>
      </c>
      <c r="D67" s="84"/>
      <c r="E67" s="83">
        <v>45907</v>
      </c>
      <c r="F67" s="84"/>
      <c r="G67" s="83">
        <v>45883</v>
      </c>
      <c r="H67" s="84"/>
      <c r="I67" s="27" t="s">
        <v>12</v>
      </c>
      <c r="J67" s="83">
        <v>45549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52</v>
      </c>
      <c r="K72" s="38">
        <v>53</v>
      </c>
      <c r="L72" s="32">
        <f t="shared" si="8"/>
        <v>-9.5238095238095237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106</v>
      </c>
      <c r="B83" s="6" t="s">
        <v>28</v>
      </c>
      <c r="C83" s="30">
        <v>155</v>
      </c>
      <c r="D83" s="30">
        <v>165</v>
      </c>
      <c r="E83" s="30">
        <v>155</v>
      </c>
      <c r="F83" s="30">
        <v>164</v>
      </c>
      <c r="G83" s="7">
        <f t="shared" ref="G83:G86" si="10">((C83+D83)/2-(E83+F83)/2)/((E83+F83)/2)*100</f>
        <v>0.31347962382445138</v>
      </c>
      <c r="H83" s="5" t="s">
        <v>122</v>
      </c>
      <c r="I83" s="6"/>
      <c r="J83" s="6"/>
      <c r="K83" s="51"/>
      <c r="L83" s="18"/>
    </row>
    <row r="84" spans="1:12" ht="21.75">
      <c r="A84" s="70" t="s">
        <v>42</v>
      </c>
      <c r="B84" s="6" t="s">
        <v>18</v>
      </c>
      <c r="C84" s="30">
        <v>20</v>
      </c>
      <c r="D84" s="30">
        <v>30</v>
      </c>
      <c r="E84" s="30">
        <v>25</v>
      </c>
      <c r="F84" s="30">
        <v>30</v>
      </c>
      <c r="G84" s="7">
        <f t="shared" si="10"/>
        <v>-9.0909090909090917</v>
      </c>
      <c r="H84" s="5" t="s">
        <v>121</v>
      </c>
      <c r="I84" s="6"/>
      <c r="J84" s="6"/>
      <c r="K84" s="51"/>
      <c r="L84" s="18"/>
    </row>
    <row r="85" spans="1:12" ht="21.75">
      <c r="A85" s="70" t="s">
        <v>90</v>
      </c>
      <c r="B85" s="6" t="s">
        <v>18</v>
      </c>
      <c r="C85" s="30">
        <v>70</v>
      </c>
      <c r="D85" s="30">
        <v>82</v>
      </c>
      <c r="E85" s="30">
        <v>75</v>
      </c>
      <c r="F85" s="30">
        <v>85</v>
      </c>
      <c r="G85" s="7">
        <f t="shared" si="10"/>
        <v>-5</v>
      </c>
      <c r="H85" s="5" t="s">
        <v>121</v>
      </c>
      <c r="I85" s="6"/>
      <c r="J85" s="6"/>
      <c r="K85" s="51"/>
      <c r="L85" s="18"/>
    </row>
    <row r="86" spans="1:12" ht="21.75">
      <c r="A86" s="70" t="s">
        <v>52</v>
      </c>
      <c r="B86" s="6" t="s">
        <v>18</v>
      </c>
      <c r="C86" s="30">
        <v>140</v>
      </c>
      <c r="D86" s="30">
        <v>260</v>
      </c>
      <c r="E86" s="30">
        <v>170</v>
      </c>
      <c r="F86" s="30">
        <v>250</v>
      </c>
      <c r="G86" s="7">
        <f t="shared" si="10"/>
        <v>-4.7619047619047619</v>
      </c>
      <c r="H86" s="5" t="s">
        <v>127</v>
      </c>
      <c r="I86" s="6"/>
      <c r="J86" s="6"/>
      <c r="K86" s="51"/>
      <c r="L86" s="18"/>
    </row>
    <row r="87" spans="1:12" ht="21.75">
      <c r="A87" s="70" t="s">
        <v>58</v>
      </c>
      <c r="B87" s="6" t="s">
        <v>18</v>
      </c>
      <c r="C87" s="30">
        <v>200</v>
      </c>
      <c r="D87" s="30">
        <v>225</v>
      </c>
      <c r="E87" s="30">
        <v>190</v>
      </c>
      <c r="F87" s="30">
        <v>225</v>
      </c>
      <c r="G87" s="7">
        <f t="shared" ref="G87:G88" si="11">((C87+D87)/2-(E87+F87)/2)/((E87+F87)/2)*100</f>
        <v>2.4096385542168677</v>
      </c>
      <c r="H87" s="5" t="s">
        <v>126</v>
      </c>
      <c r="I87" s="6"/>
      <c r="J87" s="6"/>
      <c r="K87" s="51"/>
      <c r="L87" s="18"/>
    </row>
    <row r="88" spans="1:12" ht="21.75">
      <c r="A88" s="70" t="s">
        <v>62</v>
      </c>
      <c r="B88" s="6" t="s">
        <v>18</v>
      </c>
      <c r="C88" s="30">
        <v>170</v>
      </c>
      <c r="D88" s="30">
        <v>185</v>
      </c>
      <c r="E88" s="30">
        <v>170</v>
      </c>
      <c r="F88" s="30">
        <v>180</v>
      </c>
      <c r="G88" s="7">
        <f t="shared" si="11"/>
        <v>1.4285714285714286</v>
      </c>
      <c r="H88" s="5" t="s">
        <v>120</v>
      </c>
      <c r="I88" s="6"/>
      <c r="J88" s="6"/>
      <c r="K88" s="51"/>
      <c r="L88" s="18"/>
    </row>
    <row r="89" spans="1:12" ht="21.75">
      <c r="A89" s="73"/>
      <c r="B89" s="3"/>
      <c r="C89" s="79"/>
      <c r="D89" s="79"/>
      <c r="E89" s="79"/>
      <c r="F89" s="79"/>
      <c r="G89" s="10"/>
      <c r="H89" s="1"/>
      <c r="I89" s="3"/>
      <c r="J89" s="3"/>
      <c r="K89" s="51"/>
      <c r="L89" s="18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4.75">
      <c r="A92" s="1"/>
      <c r="B92" s="14"/>
      <c r="C92" s="15"/>
      <c r="D92" s="15"/>
      <c r="E92" s="14"/>
      <c r="F92" s="15"/>
      <c r="G92" s="39"/>
      <c r="H92" s="40"/>
      <c r="I92" s="41"/>
      <c r="J92" s="41"/>
      <c r="K92" s="41"/>
      <c r="L92" s="12"/>
    </row>
    <row r="93" spans="1:12" ht="24.75">
      <c r="A93" s="1"/>
      <c r="B93" s="42"/>
      <c r="C93" s="43" t="s">
        <v>116</v>
      </c>
      <c r="D93" s="11"/>
      <c r="E93" s="42"/>
      <c r="F93" s="14"/>
      <c r="G93" s="11"/>
      <c r="H93" s="40"/>
      <c r="I93" s="13"/>
      <c r="J93" s="14" t="s">
        <v>118</v>
      </c>
      <c r="K93" s="11"/>
      <c r="L93" s="11"/>
    </row>
    <row r="94" spans="1:12" ht="24.75">
      <c r="A94" s="1"/>
      <c r="B94" s="44"/>
      <c r="C94" s="43" t="s">
        <v>117</v>
      </c>
      <c r="D94" s="14"/>
      <c r="E94" s="42"/>
      <c r="F94" s="45"/>
      <c r="G94" s="47"/>
      <c r="H94" s="47"/>
      <c r="I94" s="77"/>
      <c r="J94" s="14" t="s">
        <v>119</v>
      </c>
      <c r="K94" s="14"/>
      <c r="L94" s="14"/>
    </row>
    <row r="95" spans="1:12" ht="24.75">
      <c r="A95" s="1"/>
      <c r="B95" s="14"/>
      <c r="C95" s="15"/>
      <c r="D95" s="14"/>
      <c r="E95" s="15"/>
      <c r="F95" s="45"/>
      <c r="G95" s="47"/>
      <c r="H95" s="47"/>
      <c r="I95" s="46"/>
      <c r="J95" s="11"/>
      <c r="K95" s="11"/>
      <c r="L95" s="2"/>
    </row>
    <row r="96" spans="1:12" ht="19.5">
      <c r="A96" s="56" t="s">
        <v>93</v>
      </c>
      <c r="B96" s="54"/>
      <c r="C96" s="52"/>
      <c r="D96" s="54"/>
      <c r="E96" s="52"/>
      <c r="F96" s="52"/>
      <c r="G96" s="52"/>
      <c r="H96" s="53"/>
      <c r="I96" s="58"/>
      <c r="J96" s="2"/>
      <c r="K96" s="2"/>
      <c r="L96" s="2"/>
    </row>
    <row r="97" spans="1:12" ht="19.5">
      <c r="A97" s="55" t="s">
        <v>99</v>
      </c>
      <c r="B97" s="54"/>
      <c r="C97" s="52"/>
      <c r="D97" s="54"/>
      <c r="E97" s="52"/>
      <c r="F97" s="52"/>
      <c r="G97" s="54"/>
      <c r="H97" s="53"/>
      <c r="I97" s="58"/>
      <c r="J97" s="2"/>
      <c r="K97" s="2"/>
      <c r="L97" s="2"/>
    </row>
    <row r="98" spans="1:12" ht="19.5">
      <c r="A98" s="55" t="s">
        <v>98</v>
      </c>
      <c r="B98" s="54"/>
      <c r="C98" s="54"/>
      <c r="D98" s="54"/>
      <c r="E98" s="54"/>
      <c r="F98" s="52"/>
      <c r="G98" s="54"/>
      <c r="H98" s="53"/>
      <c r="I98" s="58"/>
      <c r="J98" s="2"/>
      <c r="K98" s="2"/>
      <c r="L98" s="2"/>
    </row>
    <row r="99" spans="1:12" ht="19.5">
      <c r="A99" s="55" t="s">
        <v>85</v>
      </c>
      <c r="B99" s="54"/>
      <c r="C99" s="54"/>
      <c r="D99" s="54"/>
      <c r="E99" s="54"/>
      <c r="F99" s="53"/>
      <c r="G99" s="53"/>
      <c r="H99" s="53"/>
      <c r="I99" s="58"/>
      <c r="J99" s="2"/>
      <c r="K99" s="2"/>
      <c r="L99" s="2"/>
    </row>
    <row r="100" spans="1:12" ht="19.5">
      <c r="A100" s="55" t="s">
        <v>97</v>
      </c>
      <c r="B100" s="54"/>
      <c r="C100" s="54"/>
      <c r="D100" s="54"/>
      <c r="E100" s="54"/>
      <c r="F100" s="54"/>
      <c r="G100" s="53"/>
      <c r="H100" s="53"/>
      <c r="I100" s="58"/>
      <c r="J100" s="2"/>
      <c r="K100" s="2"/>
      <c r="L100" s="2"/>
    </row>
    <row r="101" spans="1:12" ht="19.5">
      <c r="A101" s="55" t="s">
        <v>96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107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95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94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86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102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87</v>
      </c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5"/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6" t="s">
        <v>88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89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115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114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113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2025-09-14T07:53:30Z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