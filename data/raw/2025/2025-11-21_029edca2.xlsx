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FE3122C6-8A91-B841-9A73-E1EA51B72F5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3" i="4"/>
  <c r="G85" i="4"/>
  <c r="G82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<sst xmlns="http://schemas.openxmlformats.org/spreadsheetml/2006/main" count="225" uniqueCount="128">
  <si>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</si>
  <si>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</si>
  <si>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</si>
  <si>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</si>
  <si>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</si>
  <si>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</si>
  <si>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</si>
  <si>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</si>
  <si>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</si>
  <si>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</si>
  <si>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</si>
  <si>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</si>
  <si>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</si>
  <si>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</si>
  <si>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</si>
  <si>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</si>
  <si>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</si>
  <si>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</si>
  <si>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</si>
  <si>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</si>
  <si>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</si>
  <si>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</si>
  <si>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</si>
  <si>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</si>
  <si>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</si>
  <si>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</si>
  <si>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</si>
  <si>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</si>
  <si>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</si>
  <si>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</si>
  <si>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</si>
  <si>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</si>
  <si>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</si>
  <si>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</si>
  <si>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</si>
  <si>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</si>
  <si>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</si>
  <si>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</si>
  <si>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</si>
  <si>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</si>
  <si>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</si>
  <si>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</si>
  <si>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</si>
  <si>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</si>
  <si>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</si>
  <si>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</si>
  <si>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</si>
  <si>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</si>
  <si>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</si>
  <si>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</si>
  <si>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</si>
  <si>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</si>
  <si>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</si>
  <si>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</si>
  <si>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</si>
  <si>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</si>
  <si>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</si>
  <si>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</si>
  <si>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</si>
  <si>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</si>
  <si>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</si>
  <si>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</si>
  <si>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</si>
  <si>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</si>
  <si>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</si>
  <si>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</si>
  <si>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</si>
  <si>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</si>
  <si>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</si>
  <si>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</si>
  <si>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</si>
  <si>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</si>
  <si>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</si>
  <si>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</si>
  <si>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</si>
  <si>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</si>
  <si>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</si>
  <si>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</si>
  <si>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</si>
  <si>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</si>
  <si>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</si>
  <si>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</si>
  <si>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</si>
  <si>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</si>
  <si>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</si>
  <si>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</si>
  <si>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</si>
  <si>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</si>
  <si>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</si>
  <si>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</si>
  <si>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</si>
  <si>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</si>
  <si>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</si>
  <si>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</si>
  <si>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</si>
  <si>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</si>
  <si>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</si>
  <si>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</si>
  <si>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</si>
  <si>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</si>
  <si>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</si>
  <si>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</si>
  <si>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</si>
  <si>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</si>
  <si>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</si>
  <si>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</si>
  <si>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</si>
  <si>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</si>
  <si>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</si>
  <si>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</si>
  <si>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</si>
  <si>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</si>
  <si>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</si>
  <si>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</si>
  <si>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</si>
  <si>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</si>
  <si>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</si>
  <si>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</si>
  <si>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</si>
  <si>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১৭-১১-২০২৫ তারিখে মূল্য হ্রাস পেয়েছে।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</si>
  <si>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</si>
  <si>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</si>
  <si>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স্মারক নং-২৬.০৫.০০০০.০১৭.৩১.০১.২৫-৮৪৬</t>
  </si>
  <si>
    <t xml:space="preserve">শুক্রবার ২১ নভেম্বর ২০২৫ খ্রিঃ, ০৬ অগ্রহায়ন ১৪৩২ বাংলা, ২৯ জমা-আউ ১৪৪৭ হিজরি </t>
  </si>
  <si>
    <t xml:space="preserve">   সিরিয়াল নংঃ     ২৯১</t>
  </si>
  <si>
    <t>২১-১১-২০২৫ তারিখে মূল্য হ্রাস পেয়েছে।</t>
  </si>
  <si>
    <t>(১ )   রশুন (দেশী,আম), আদা (দেশী),  মুরগী ব্রয়লার,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</si>
</sst>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I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" x14ac:dyDescent="0.2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45982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45982</v>
      </c>
      <c r="D8" s="84"/>
      <c r="E8" s="85">
        <v>45975</v>
      </c>
      <c r="F8" s="84"/>
      <c r="G8" s="85">
        <v>45951</v>
      </c>
      <c r="H8" s="84"/>
      <c r="I8" s="26" t="s">
        <v>12</v>
      </c>
      <c r="J8" s="85">
        <v>45617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810</v>
      </c>
      <c r="K20" s="29">
        <v>818</v>
      </c>
      <c r="L20" s="31">
        <f t="shared" si="1"/>
        <v>12.100737100737101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161</v>
      </c>
      <c r="K23" s="29">
        <v>162</v>
      </c>
      <c r="L23" s="31">
        <f t="shared" si="1"/>
        <v>-3.4055727554179565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163</v>
      </c>
      <c r="K24" s="29">
        <v>164</v>
      </c>
      <c r="L24" s="31">
        <f t="shared" si="1"/>
        <v>-2.1406727828746175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70</v>
      </c>
      <c r="K33" s="29">
        <v>75</v>
      </c>
      <c r="L33" s="31">
        <f t="shared" si="3"/>
        <v>-68.965517241379317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120</v>
      </c>
      <c r="K35" s="29">
        <v>130</v>
      </c>
      <c r="L35" s="31">
        <f t="shared" ref="L35:L50" si="5">((C35+D35)/2-(J35+K35)/2)/((J35+K35)/2)*100</f>
        <v>-12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270</v>
      </c>
      <c r="L37" s="31">
        <f t="shared" si="5"/>
        <v>-56.862745098039213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180</v>
      </c>
      <c r="E43" s="29">
        <v>150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120</v>
      </c>
      <c r="K44" s="29">
        <v>300</v>
      </c>
      <c r="L44" s="31">
        <f t="shared" si="5"/>
        <v>-11.904761904761903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1.4492753623188406</v>
      </c>
      <c r="J56" s="29">
        <v>180</v>
      </c>
      <c r="K56" s="29">
        <v>200</v>
      </c>
      <c r="L56" s="31">
        <f t="shared" si="7"/>
        <v>-7.8947368421052628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45982</v>
      </c>
      <c r="D67" s="84"/>
      <c r="E67" s="85">
        <v>45975</v>
      </c>
      <c r="F67" s="84"/>
      <c r="G67" s="85">
        <v>45951</v>
      </c>
      <c r="H67" s="84"/>
      <c r="I67" s="26" t="s">
        <v>12</v>
      </c>
      <c r="J67" s="85">
        <v>45617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121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" x14ac:dyDescent="0.2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" x14ac:dyDescent="0.2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" x14ac:dyDescent="0.3">
      <c r="A82" s="69" t="s">
        <v>45</v>
      </c>
      <c r="B82" s="6" t="s">
        <v>18</v>
      </c>
      <c r="C82" s="29">
        <v>80</v>
      </c>
      <c r="D82" s="29">
        <v>140</v>
      </c>
      <c r="E82" s="29">
        <v>80</v>
      </c>
      <c r="F82" s="29">
        <v>150</v>
      </c>
      <c r="G82" s="7">
        <f>((C82+D82)/2-(E82+F82)/2)/((E82+F82)/2)*100</f>
        <v>-4.3478260869565215</v>
      </c>
      <c r="H82" s="5" t="s">
        <v>120</v>
      </c>
      <c r="I82" s="6"/>
      <c r="J82" s="6"/>
      <c r="K82" s="11"/>
      <c r="L82" s="11"/>
    </row>
    <row r="83" spans="1:12" ht="21" x14ac:dyDescent="0.3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120</v>
      </c>
      <c r="I83" s="6"/>
      <c r="J83" s="6"/>
      <c r="K83" s="11"/>
      <c r="L83" s="11"/>
    </row>
    <row r="84" spans="1:12" ht="21" x14ac:dyDescent="0.3">
      <c r="A84" s="69" t="s">
        <v>51</v>
      </c>
      <c r="B84" s="6" t="s">
        <v>18</v>
      </c>
      <c r="C84" s="29">
        <v>140</v>
      </c>
      <c r="D84" s="29">
        <v>180</v>
      </c>
      <c r="E84" s="29">
        <v>150</v>
      </c>
      <c r="F84" s="29">
        <v>180</v>
      </c>
      <c r="G84" s="7">
        <f>((C84+D84)/2-(E84+F84)/2)/((E84+F84)/2)*100</f>
        <v>-3.0303030303030303</v>
      </c>
      <c r="H84" s="5" t="s">
        <v>125</v>
      </c>
      <c r="I84" s="6"/>
      <c r="J84" s="6"/>
      <c r="K84" s="11"/>
      <c r="L84" s="11"/>
    </row>
    <row r="85" spans="1:12" ht="21" x14ac:dyDescent="0.3">
      <c r="A85" s="69" t="s">
        <v>62</v>
      </c>
      <c r="B85" s="6" t="s">
        <v>18</v>
      </c>
      <c r="C85" s="29">
        <v>160</v>
      </c>
      <c r="D85" s="29">
        <v>190</v>
      </c>
      <c r="E85" s="29">
        <v>170</v>
      </c>
      <c r="F85" s="29">
        <v>185</v>
      </c>
      <c r="G85" s="7">
        <f>((C85+D85)/2-(E85+F85)/2)/((E85+F85)/2)*100</f>
        <v>-1.4084507042253522</v>
      </c>
      <c r="H85" s="5" t="s">
        <v>119</v>
      </c>
      <c r="I85" s="6"/>
      <c r="J85" s="6"/>
      <c r="K85" s="11"/>
      <c r="L85" s="11"/>
    </row>
    <row r="86" spans="1:12" ht="23.25" x14ac:dyDescent="0.3">
      <c r="A86" s="69" t="s">
        <v>73</v>
      </c>
      <c r="B86" s="6" t="s">
        <v>74</v>
      </c>
      <c r="C86" s="37">
        <v>40</v>
      </c>
      <c r="D86" s="37">
        <v>50</v>
      </c>
      <c r="E86" s="37">
        <v>43</v>
      </c>
      <c r="F86" s="37">
        <v>50</v>
      </c>
      <c r="G86" s="7">
        <f>((C86+D86)/2-(E86+F86)/2)/((E86+F86)/2)*100</f>
        <v>-3.225806451612903</v>
      </c>
      <c r="H86" s="5" t="s">
        <v>119</v>
      </c>
      <c r="I86" s="6"/>
      <c r="J86" s="6"/>
      <c r="K86" s="40"/>
      <c r="L86" s="11"/>
    </row>
    <row r="87" spans="1:12" ht="23.25" x14ac:dyDescent="0.3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3.25" x14ac:dyDescent="0.3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3.25" x14ac:dyDescent="0.3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3.25" x14ac:dyDescent="0.3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116</v>
      </c>
      <c r="K90" s="10"/>
      <c r="L90" s="10"/>
    </row>
    <row r="91" spans="1:12" ht="23.25" x14ac:dyDescent="0.3">
      <c r="A91" s="1"/>
      <c r="B91" s="43"/>
      <c r="C91" s="42" t="s">
        <v>115</v>
      </c>
      <c r="D91" s="13"/>
      <c r="E91" s="41"/>
      <c r="F91" s="44"/>
      <c r="G91" s="46"/>
      <c r="H91" s="46"/>
      <c r="I91" s="76"/>
      <c r="J91" s="13" t="s">
        <v>117</v>
      </c>
      <c r="K91" s="13"/>
      <c r="L91" s="13"/>
    </row>
    <row r="92" spans="1:12" ht="23.25" x14ac:dyDescent="0.3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8.75" x14ac:dyDescent="0.2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8.75" x14ac:dyDescent="0.2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8.75" x14ac:dyDescent="0.2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8.75" x14ac:dyDescent="0.2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8.75" x14ac:dyDescent="0.2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113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112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2025-11-20T09:43:40Z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