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C4073E52-C5AF-4565-92AE-AB289AF235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6" i="4"/>
  <c r="G90" i="4"/>
  <c r="G93" i="4"/>
  <c r="G92" i="4"/>
  <c r="G91" i="4"/>
  <c r="G87" i="4"/>
  <c r="G89" i="4"/>
  <c r="G88" i="4"/>
  <c r="G95" i="4"/>
  <c r="G85" i="4"/>
  <c r="G84" i="4"/>
  <c r="G96" i="4"/>
  <c r="G9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<sst xmlns="http://schemas.openxmlformats.org/spreadsheetml/2006/main" count="252" uniqueCount="129">
  <si>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</si>
  <si>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</si>
  <si>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</si>
  <si>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</si>
  <si>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</si>
  <si>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</si>
  <si>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</si>
  <si>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</si>
  <si>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</si>
  <si>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</si>
  <si>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</si>
  <si>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</si>
  <si>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</si>
  <si>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</si>
  <si>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</si>
  <si>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</si>
  <si>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</si>
  <si>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</si>
  <si>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</si>
  <si>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</si>
  <si>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</si>
  <si>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</si>
  <si>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</si>
  <si>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</si>
  <si>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</si>
  <si>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</si>
  <si>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</si>
  <si>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</si>
  <si>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</si>
  <si>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</si>
  <si>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</si>
  <si>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</si>
  <si>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</si>
  <si>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</si>
  <si>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</si>
  <si>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</si>
  <si>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</si>
  <si>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</si>
  <si>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</si>
  <si>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</si>
  <si>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</si>
  <si>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</si>
  <si>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</si>
  <si>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</si>
  <si>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</si>
  <si>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</si>
  <si>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</si>
  <si>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</si>
  <si>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</si>
  <si>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</si>
  <si>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</si>
  <si>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</si>
  <si>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</si>
  <si>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</si>
  <si>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</si>
  <si>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</si>
  <si>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</si>
  <si>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</si>
  <si>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</si>
  <si>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</si>
  <si>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</si>
  <si>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</si>
  <si>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</si>
  <si>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</si>
  <si>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</si>
  <si>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</si>
  <si>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</si>
  <si>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</si>
  <si>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</si>
  <si>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</si>
  <si>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</si>
  <si>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</si>
  <si>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</si>
  <si>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</si>
  <si>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</si>
  <si>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</si>
  <si>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</si>
  <si>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</si>
  <si>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</si>
  <si>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</si>
  <si>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</si>
  <si>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</si>
  <si>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</si>
  <si>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</si>
  <si>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</si>
  <si>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</si>
  <si>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</si>
  <si>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</si>
  <si>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</si>
  <si>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</si>
  <si>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</si>
  <si>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</si>
  <si>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</si>
  <si>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</si>
  <si>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</si>
  <si>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</si>
  <si>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</si>
  <si>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</si>
  <si>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</si>
  <si>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</si>
  <si>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</si>
  <si>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</si>
  <si>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</si>
  <si>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</si>
  <si>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</si>
  <si>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</si>
  <si>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</si>
  <si>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</si>
  <si>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</si>
  <si>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</si>
  <si>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</si>
  <si>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</si>
  <si>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</si>
  <si>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</si>
  <si>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</si>
  <si>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১৫-০৮-২০২৫ তারিখে মূল্য হ্রাস পেয়েছে।</t>
  </si>
  <si>
    <t>(মোঃ হুমায়ুন কবির )</t>
  </si>
  <si>
    <t>যুগ্ম পরিচালক (বাজার তথ্য)</t>
  </si>
  <si>
    <t>১৭-০৮-২০২৫ তারিখে মূল্য বৃদ্ধি পেয়েছে।</t>
  </si>
  <si>
    <t>১৭-০৮-২০২৫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</si>
  <si>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</si>
  <si>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</si>
  <si>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নং-২৬.০৫.০০০০.০১৭.৩১.০১.২৫-৫৭৮</t>
  </si>
  <si>
    <t xml:space="preserve">সোমবার ১৮ আগষ্ট ২০২৫ খ্রিঃ, ০৩ ভাদ্র ১৪৩২ বাংলা, ২৩ সফর ১৪৪৭ হিজরি </t>
  </si>
  <si>
    <t xml:space="preserve">   সিরিয়াল নংঃ     ২০৪</t>
  </si>
  <si>
    <t>১৮-০৮-২০২৫ তারিখে মূল্য বৃদ্ধি পেয়েছে।</t>
  </si>
  <si>
    <t>১৮-০৮-২০২৫ তারিখে মূল্য হ্রাস পেয়েছে।</t>
  </si>
  <si>
    <t>(১)   চাল (মাঝারী), আটা (খোলা, প্যা:), ময়দা (প্যা:), সয়াবিন তেল (লুজ, ১লি: বোতল), আদা (আম), ধনে, তেজপাতা, মুরগী ব্রয়লার, ডিম  এর মূল্য বৃদ্ধি পেয়েছে।</t>
  </si>
  <si>
    <t>(২ )   পাম অয়েল লুজ, রশুন (দেশী), চিনি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</si>
</sst>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topLeftCell="A53" zoomScale="98" zoomScaleNormal="98" workbookViewId="0">
      <selection activeCell="C56" sqref="C56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124</v>
      </c>
      <c r="L4" s="94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45887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45887</v>
      </c>
      <c r="D8" s="94"/>
      <c r="E8" s="95">
        <v>45880</v>
      </c>
      <c r="F8" s="94"/>
      <c r="G8" s="95">
        <v>45856</v>
      </c>
      <c r="H8" s="94"/>
      <c r="I8" s="27" t="s">
        <v>12</v>
      </c>
      <c r="J8" s="91">
        <v>45522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64</v>
      </c>
      <c r="K10" s="62">
        <v>80</v>
      </c>
      <c r="L10" s="32">
        <f>((C10+D10)/2-(J10+K10)/2)/((J10+K10)/2)*100</f>
        <v>11.111111111111111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70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55</v>
      </c>
      <c r="K11" s="62">
        <v>60</v>
      </c>
      <c r="L11" s="32">
        <f>((C11+D11)/2-(J11+K11)/2)/((J11+K11)/2)*100</f>
        <v>17.391304347826086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43</v>
      </c>
      <c r="D14" s="30">
        <v>45</v>
      </c>
      <c r="E14" s="30">
        <v>42</v>
      </c>
      <c r="F14" s="30">
        <v>45</v>
      </c>
      <c r="G14" s="30">
        <v>40</v>
      </c>
      <c r="H14" s="30">
        <v>45</v>
      </c>
      <c r="I14" s="31">
        <f>((C14+D14)/2-(G14+H14)/2)/((G14+H14)/2)*100</f>
        <v>3.5294117647058822</v>
      </c>
      <c r="J14" s="62">
        <v>40</v>
      </c>
      <c r="K14" s="62">
        <v>45</v>
      </c>
      <c r="L14" s="32">
        <f>((C14+D14)/2-(J14+K14)/2)/((J14+K14)/2)*100</f>
        <v>3.5294117647058822</v>
      </c>
    </row>
    <row r="15" spans="1:12" ht="21.75">
      <c r="A15" s="76" t="s">
        <v>22</v>
      </c>
      <c r="B15" s="6" t="s">
        <v>23</v>
      </c>
      <c r="C15" s="30">
        <v>52</v>
      </c>
      <c r="D15" s="30">
        <v>65</v>
      </c>
      <c r="E15" s="30">
        <v>52</v>
      </c>
      <c r="F15" s="30">
        <v>60</v>
      </c>
      <c r="G15" s="30">
        <v>50</v>
      </c>
      <c r="H15" s="30">
        <v>55</v>
      </c>
      <c r="I15" s="31">
        <f>((C15+D15)/2-(G15+H15)/2)/((G15+H15)/2)*100</f>
        <v>11.428571428571429</v>
      </c>
      <c r="J15" s="62">
        <v>50</v>
      </c>
      <c r="K15" s="62">
        <v>55</v>
      </c>
      <c r="L15" s="32">
        <f>((C15+D15)/2-(J15+K15)/2)/((J15+K15)/2)*100</f>
        <v>11.428571428571429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165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2.1212121212121215</v>
      </c>
      <c r="J19" s="62">
        <v>145</v>
      </c>
      <c r="K19" s="62">
        <v>152</v>
      </c>
      <c r="L19" s="32">
        <f t="shared" ref="L19:L25" si="1">((C19+D19)/2-(J19+K19)/2)/((J19+K19)/2)*100</f>
        <v>13.468013468013467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325</v>
      </c>
      <c r="K21" s="62">
        <v>330</v>
      </c>
      <c r="L21" s="32">
        <f t="shared" si="1"/>
        <v>14.198473282442748</v>
      </c>
    </row>
    <row r="22" spans="1:12" ht="21.75">
      <c r="A22" s="76" t="s">
        <v>29</v>
      </c>
      <c r="B22" s="6" t="s">
        <v>32</v>
      </c>
      <c r="C22" s="30">
        <v>188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62">
        <v>165</v>
      </c>
      <c r="K22" s="62">
        <v>167</v>
      </c>
      <c r="L22" s="32">
        <f t="shared" si="1"/>
        <v>13.855421686746988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158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1.9867549668874174</v>
      </c>
      <c r="J23" s="62">
        <v>125</v>
      </c>
      <c r="K23" s="62">
        <v>135</v>
      </c>
      <c r="L23" s="32">
        <f t="shared" si="1"/>
        <v>18.461538461538463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140</v>
      </c>
      <c r="I29" s="31">
        <f t="shared" si="2"/>
        <v>15.09433962264151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115</v>
      </c>
      <c r="K32" s="62">
        <v>120</v>
      </c>
      <c r="L32" s="32">
        <f t="shared" si="3"/>
        <v>-12.76595744680851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80</v>
      </c>
      <c r="K36" s="62">
        <v>100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150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-8</v>
      </c>
      <c r="J37" s="62">
        <v>200</v>
      </c>
      <c r="K37" s="62">
        <v>220</v>
      </c>
      <c r="L37" s="32">
        <f t="shared" si="5"/>
        <v>-45.238095238095241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0</v>
      </c>
      <c r="J38" s="62">
        <v>200</v>
      </c>
      <c r="K38" s="62">
        <v>220</v>
      </c>
      <c r="L38" s="32">
        <f t="shared" si="5"/>
        <v>-14.285714285714285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200</v>
      </c>
      <c r="D44" s="30">
        <v>280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50</v>
      </c>
      <c r="J44" s="62">
        <v>200</v>
      </c>
      <c r="K44" s="62">
        <v>280</v>
      </c>
      <c r="L44" s="32">
        <f t="shared" si="5"/>
        <v>0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480</v>
      </c>
      <c r="H46" s="30">
        <v>600</v>
      </c>
      <c r="I46" s="31">
        <f t="shared" si="4"/>
        <v>1.8518518518518516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220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62">
        <v>220</v>
      </c>
      <c r="K49" s="62">
        <v>260</v>
      </c>
      <c r="L49" s="32">
        <f t="shared" si="5"/>
        <v>4.1666666666666661</v>
      </c>
    </row>
    <row r="50" spans="1:12" ht="21.75">
      <c r="A50" s="76" t="s">
        <v>58</v>
      </c>
      <c r="B50" s="6" t="s">
        <v>18</v>
      </c>
      <c r="C50" s="30">
        <v>200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62">
        <v>150</v>
      </c>
      <c r="K50" s="62">
        <v>200</v>
      </c>
      <c r="L50" s="32">
        <f t="shared" si="5"/>
        <v>20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730</v>
      </c>
      <c r="K54" s="62">
        <v>780</v>
      </c>
      <c r="L54" s="32">
        <f t="shared" si="7"/>
        <v>2.6490066225165565</v>
      </c>
    </row>
    <row r="55" spans="1:12" ht="21.75">
      <c r="A55" s="76" t="s">
        <v>94</v>
      </c>
      <c r="B55" s="6" t="s">
        <v>18</v>
      </c>
      <c r="C55" s="30">
        <v>1050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-2.1276595744680851</v>
      </c>
      <c r="J55" s="62">
        <v>1000</v>
      </c>
      <c r="K55" s="62">
        <v>1100</v>
      </c>
      <c r="L55" s="32">
        <f t="shared" si="7"/>
        <v>9.5238095238095237</v>
      </c>
    </row>
    <row r="56" spans="1:12" ht="21.75">
      <c r="A56" s="76" t="s">
        <v>62</v>
      </c>
      <c r="B56" s="6" t="s">
        <v>18</v>
      </c>
      <c r="C56" s="30">
        <v>170</v>
      </c>
      <c r="D56" s="30">
        <v>180</v>
      </c>
      <c r="E56" s="30">
        <v>160</v>
      </c>
      <c r="F56" s="30">
        <v>170</v>
      </c>
      <c r="G56" s="30">
        <v>160</v>
      </c>
      <c r="H56" s="30">
        <v>170</v>
      </c>
      <c r="I56" s="31">
        <f t="shared" si="6"/>
        <v>6.0606060606060606</v>
      </c>
      <c r="J56" s="62">
        <v>160</v>
      </c>
      <c r="K56" s="62">
        <v>170</v>
      </c>
      <c r="L56" s="32">
        <f t="shared" si="7"/>
        <v>6.0606060606060606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45887</v>
      </c>
      <c r="D67" s="94"/>
      <c r="E67" s="95">
        <v>45880</v>
      </c>
      <c r="F67" s="94"/>
      <c r="G67" s="95">
        <v>45856</v>
      </c>
      <c r="H67" s="94"/>
      <c r="I67" s="27" t="s">
        <v>12</v>
      </c>
      <c r="J67" s="91">
        <v>45522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115</v>
      </c>
      <c r="G69" s="30">
        <v>106</v>
      </c>
      <c r="H69" s="30">
        <v>115</v>
      </c>
      <c r="I69" s="31">
        <f>((C69+D69)/2-(G69+H69)/2)/((G69+H69)/2)*100</f>
        <v>-2.7149321266968327</v>
      </c>
      <c r="J69" s="62">
        <v>130</v>
      </c>
      <c r="K69" s="62">
        <v>135</v>
      </c>
      <c r="L69" s="32">
        <f t="shared" ref="L69:L75" si="8">((C69+D69)/2-(J69+K69)/2)/((J69+K69)/2)*100</f>
        <v>-18.867924528301888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45</v>
      </c>
      <c r="D72" s="38">
        <v>50</v>
      </c>
      <c r="E72" s="38">
        <v>40</v>
      </c>
      <c r="F72" s="38">
        <v>48</v>
      </c>
      <c r="G72" s="38">
        <v>38</v>
      </c>
      <c r="H72" s="38">
        <v>46</v>
      </c>
      <c r="I72" s="31">
        <f t="shared" si="9"/>
        <v>13.095238095238097</v>
      </c>
      <c r="J72" s="63">
        <v>48</v>
      </c>
      <c r="K72" s="63">
        <v>50</v>
      </c>
      <c r="L72" s="32">
        <f t="shared" si="8"/>
        <v>-3.0612244897959182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6" t="s">
        <v>114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107</v>
      </c>
      <c r="B83" s="6" t="s">
        <v>18</v>
      </c>
      <c r="C83" s="30">
        <v>60</v>
      </c>
      <c r="D83" s="30">
        <v>75</v>
      </c>
      <c r="E83" s="30">
        <v>60</v>
      </c>
      <c r="F83" s="30">
        <v>70</v>
      </c>
      <c r="G83" s="7">
        <f t="shared" ref="G83:G96" si="10">((C83+D83)/2-(E83+F83)/2)/((E83+F83)/2)*100</f>
        <v>3.8461538461538463</v>
      </c>
      <c r="H83" s="5" t="s">
        <v>125</v>
      </c>
      <c r="I83" s="6"/>
      <c r="J83" s="6"/>
      <c r="K83" s="51"/>
      <c r="L83" s="18"/>
    </row>
    <row r="84" spans="1:12" ht="21.75">
      <c r="A84" s="5" t="s">
        <v>21</v>
      </c>
      <c r="B84" s="6" t="s">
        <v>18</v>
      </c>
      <c r="C84" s="30">
        <v>43</v>
      </c>
      <c r="D84" s="30">
        <v>45</v>
      </c>
      <c r="E84" s="30">
        <v>42</v>
      </c>
      <c r="F84" s="30">
        <v>45</v>
      </c>
      <c r="G84" s="7">
        <f t="shared" si="10"/>
        <v>1.1494252873563218</v>
      </c>
      <c r="H84" s="5" t="s">
        <v>125</v>
      </c>
      <c r="I84" s="6"/>
      <c r="J84" s="6"/>
      <c r="K84" s="51"/>
      <c r="L84" s="18"/>
    </row>
    <row r="85" spans="1:12" ht="21.75">
      <c r="A85" s="5" t="s">
        <v>22</v>
      </c>
      <c r="B85" s="6" t="s">
        <v>23</v>
      </c>
      <c r="C85" s="30">
        <v>52</v>
      </c>
      <c r="D85" s="30">
        <v>65</v>
      </c>
      <c r="E85" s="30">
        <v>52</v>
      </c>
      <c r="F85" s="30">
        <v>60</v>
      </c>
      <c r="G85" s="7">
        <f t="shared" si="10"/>
        <v>4.4642857142857144</v>
      </c>
      <c r="H85" s="5" t="s">
        <v>125</v>
      </c>
      <c r="I85" s="6"/>
      <c r="J85" s="6"/>
      <c r="K85" s="51"/>
      <c r="L85" s="18"/>
    </row>
    <row r="86" spans="1:12" ht="21.75">
      <c r="A86" s="5" t="s">
        <v>25</v>
      </c>
      <c r="B86" s="6" t="s">
        <v>23</v>
      </c>
      <c r="C86" s="30">
        <v>65</v>
      </c>
      <c r="D86" s="30">
        <v>75</v>
      </c>
      <c r="E86" s="30">
        <v>65</v>
      </c>
      <c r="F86" s="30">
        <v>70</v>
      </c>
      <c r="G86" s="7">
        <f t="shared" si="10"/>
        <v>3.7037037037037033</v>
      </c>
      <c r="H86" s="5" t="s">
        <v>125</v>
      </c>
      <c r="I86" s="6"/>
      <c r="J86" s="6"/>
      <c r="K86" s="51"/>
      <c r="L86" s="18"/>
    </row>
    <row r="87" spans="1:12" ht="21.75">
      <c r="A87" s="76" t="s">
        <v>27</v>
      </c>
      <c r="B87" s="6" t="s">
        <v>28</v>
      </c>
      <c r="C87" s="30">
        <v>165</v>
      </c>
      <c r="D87" s="30">
        <v>172</v>
      </c>
      <c r="E87" s="30">
        <v>162</v>
      </c>
      <c r="F87" s="30">
        <v>172</v>
      </c>
      <c r="G87" s="7">
        <f t="shared" si="10"/>
        <v>0.89820359281437123</v>
      </c>
      <c r="H87" s="5" t="s">
        <v>118</v>
      </c>
      <c r="I87" s="6"/>
      <c r="J87" s="6"/>
      <c r="K87" s="51"/>
      <c r="L87" s="18"/>
    </row>
    <row r="88" spans="1:12" ht="21.75">
      <c r="A88" s="76" t="s">
        <v>29</v>
      </c>
      <c r="B88" s="6" t="s">
        <v>32</v>
      </c>
      <c r="C88" s="30">
        <v>188</v>
      </c>
      <c r="D88" s="30">
        <v>190</v>
      </c>
      <c r="E88" s="30">
        <v>185</v>
      </c>
      <c r="F88" s="30">
        <v>190</v>
      </c>
      <c r="G88" s="7">
        <f t="shared" si="10"/>
        <v>0.8</v>
      </c>
      <c r="H88" s="5" t="s">
        <v>118</v>
      </c>
      <c r="I88" s="6"/>
      <c r="J88" s="6"/>
      <c r="K88" s="51"/>
      <c r="L88" s="18"/>
    </row>
    <row r="89" spans="1:12" ht="21.75">
      <c r="A89" s="76" t="s">
        <v>33</v>
      </c>
      <c r="B89" s="6" t="s">
        <v>28</v>
      </c>
      <c r="C89" s="30">
        <v>150</v>
      </c>
      <c r="D89" s="30">
        <v>158</v>
      </c>
      <c r="E89" s="30">
        <v>150</v>
      </c>
      <c r="F89" s="30">
        <v>160</v>
      </c>
      <c r="G89" s="7">
        <f t="shared" si="10"/>
        <v>-0.64516129032258063</v>
      </c>
      <c r="H89" s="5" t="s">
        <v>119</v>
      </c>
      <c r="I89" s="6"/>
      <c r="J89" s="6"/>
      <c r="K89" s="51"/>
      <c r="L89" s="18"/>
    </row>
    <row r="90" spans="1:12" ht="21.75">
      <c r="A90" s="76" t="s">
        <v>45</v>
      </c>
      <c r="B90" s="6" t="s">
        <v>18</v>
      </c>
      <c r="C90" s="30">
        <v>80</v>
      </c>
      <c r="D90" s="30">
        <v>150</v>
      </c>
      <c r="E90" s="30">
        <v>80</v>
      </c>
      <c r="F90" s="30">
        <v>160</v>
      </c>
      <c r="G90" s="7">
        <f t="shared" si="10"/>
        <v>-4.1666666666666661</v>
      </c>
      <c r="H90" s="5" t="s">
        <v>126</v>
      </c>
      <c r="I90" s="6"/>
      <c r="J90" s="6"/>
      <c r="K90" s="51"/>
      <c r="L90" s="18"/>
    </row>
    <row r="91" spans="1:12" ht="21.75">
      <c r="A91" s="76" t="s">
        <v>52</v>
      </c>
      <c r="B91" s="6" t="s">
        <v>18</v>
      </c>
      <c r="C91" s="30">
        <v>200</v>
      </c>
      <c r="D91" s="30">
        <v>280</v>
      </c>
      <c r="E91" s="30">
        <v>180</v>
      </c>
      <c r="F91" s="30">
        <v>280</v>
      </c>
      <c r="G91" s="7">
        <f t="shared" si="10"/>
        <v>4.3478260869565215</v>
      </c>
      <c r="H91" s="5" t="s">
        <v>118</v>
      </c>
      <c r="I91" s="6"/>
      <c r="J91" s="6"/>
      <c r="K91" s="51"/>
      <c r="L91" s="18"/>
    </row>
    <row r="92" spans="1:12" ht="21.75">
      <c r="A92" s="76" t="s">
        <v>57</v>
      </c>
      <c r="B92" s="6" t="s">
        <v>18</v>
      </c>
      <c r="C92" s="30">
        <v>220</v>
      </c>
      <c r="D92" s="30">
        <v>280</v>
      </c>
      <c r="E92" s="30">
        <v>180</v>
      </c>
      <c r="F92" s="30">
        <v>280</v>
      </c>
      <c r="G92" s="7">
        <f t="shared" si="10"/>
        <v>8.695652173913043</v>
      </c>
      <c r="H92" s="5" t="s">
        <v>118</v>
      </c>
      <c r="I92" s="6"/>
      <c r="J92" s="6"/>
      <c r="K92" s="51"/>
      <c r="L92" s="18"/>
    </row>
    <row r="93" spans="1:12" ht="21.75">
      <c r="A93" s="76" t="s">
        <v>58</v>
      </c>
      <c r="B93" s="6" t="s">
        <v>18</v>
      </c>
      <c r="C93" s="30">
        <v>200</v>
      </c>
      <c r="D93" s="30">
        <v>220</v>
      </c>
      <c r="E93" s="30">
        <v>180</v>
      </c>
      <c r="F93" s="30">
        <v>220</v>
      </c>
      <c r="G93" s="7">
        <f t="shared" si="10"/>
        <v>5</v>
      </c>
      <c r="H93" s="5" t="s">
        <v>118</v>
      </c>
      <c r="I93" s="6"/>
      <c r="J93" s="6"/>
      <c r="K93" s="51"/>
      <c r="L93" s="18"/>
    </row>
    <row r="94" spans="1:12" ht="21.75">
      <c r="A94" s="76" t="s">
        <v>62</v>
      </c>
      <c r="B94" s="6" t="s">
        <v>18</v>
      </c>
      <c r="C94" s="30">
        <v>170</v>
      </c>
      <c r="D94" s="30">
        <v>180</v>
      </c>
      <c r="E94" s="30">
        <v>160</v>
      </c>
      <c r="F94" s="30">
        <v>170</v>
      </c>
      <c r="G94" s="7">
        <f t="shared" si="10"/>
        <v>6.0606060606060606</v>
      </c>
      <c r="H94" s="5" t="s">
        <v>125</v>
      </c>
      <c r="I94" s="6"/>
      <c r="J94" s="6"/>
      <c r="K94" s="51"/>
      <c r="L94" s="18"/>
    </row>
    <row r="95" spans="1:12" ht="21.75">
      <c r="A95" s="76" t="s">
        <v>71</v>
      </c>
      <c r="B95" s="6" t="s">
        <v>18</v>
      </c>
      <c r="C95" s="30">
        <v>105</v>
      </c>
      <c r="D95" s="30">
        <v>110</v>
      </c>
      <c r="E95" s="30">
        <v>105</v>
      </c>
      <c r="F95" s="30">
        <v>115</v>
      </c>
      <c r="G95" s="7">
        <f t="shared" si="10"/>
        <v>-2.2727272727272729</v>
      </c>
      <c r="H95" s="5" t="s">
        <v>115</v>
      </c>
      <c r="I95" s="6"/>
      <c r="J95" s="6"/>
      <c r="K95" s="51"/>
      <c r="L95" s="18"/>
    </row>
    <row r="96" spans="1:12" ht="21.75">
      <c r="A96" s="76" t="s">
        <v>73</v>
      </c>
      <c r="B96" s="6" t="s">
        <v>74</v>
      </c>
      <c r="C96" s="38">
        <v>45</v>
      </c>
      <c r="D96" s="38">
        <v>50</v>
      </c>
      <c r="E96" s="38">
        <v>40</v>
      </c>
      <c r="F96" s="38">
        <v>48</v>
      </c>
      <c r="G96" s="7">
        <f t="shared" si="10"/>
        <v>7.9545454545454541</v>
      </c>
      <c r="H96" s="5" t="s">
        <v>118</v>
      </c>
      <c r="I96" s="6"/>
      <c r="J96" s="6"/>
      <c r="K96" s="51"/>
      <c r="L96" s="18"/>
    </row>
    <row r="97" spans="1:12" ht="21.75">
      <c r="A97" s="79"/>
      <c r="B97" s="3"/>
      <c r="C97" s="90"/>
      <c r="D97" s="90"/>
      <c r="E97" s="90"/>
      <c r="F97" s="90"/>
      <c r="G97" s="10"/>
      <c r="H97" s="1"/>
      <c r="I97" s="3"/>
      <c r="J97" s="3"/>
      <c r="K97" s="51"/>
      <c r="L97" s="18"/>
    </row>
    <row r="98" spans="1:12" ht="21.75">
      <c r="A98" s="79"/>
      <c r="B98" s="3"/>
      <c r="C98" s="90"/>
      <c r="D98" s="90"/>
      <c r="E98" s="90"/>
      <c r="F98" s="90"/>
      <c r="G98" s="10"/>
      <c r="H98" s="1"/>
      <c r="I98" s="3"/>
      <c r="J98" s="3"/>
      <c r="K98" s="51"/>
      <c r="L98" s="18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4.75">
      <c r="A102" s="1"/>
      <c r="B102" s="42"/>
      <c r="C102" s="43" t="s">
        <v>116</v>
      </c>
      <c r="D102" s="11"/>
      <c r="E102" s="42"/>
      <c r="F102" s="14"/>
      <c r="G102" s="11"/>
      <c r="H102" s="40"/>
      <c r="I102" s="13"/>
      <c r="J102" s="14" t="s">
        <v>120</v>
      </c>
      <c r="K102" s="11"/>
      <c r="L102" s="11"/>
    </row>
    <row r="103" spans="1:12" ht="24.75">
      <c r="A103" s="1"/>
      <c r="B103" s="44"/>
      <c r="C103" s="43" t="s">
        <v>117</v>
      </c>
      <c r="D103" s="14"/>
      <c r="E103" s="42"/>
      <c r="F103" s="45"/>
      <c r="G103" s="47"/>
      <c r="H103" s="47"/>
      <c r="I103" s="86"/>
      <c r="J103" s="14" t="s">
        <v>121</v>
      </c>
      <c r="K103" s="14"/>
      <c r="L103" s="14"/>
    </row>
    <row r="104" spans="1:12" ht="24.75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9.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9.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9.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2025-08-18T09:48:09Z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