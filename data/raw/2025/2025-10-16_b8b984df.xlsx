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4E282901-4417-4972-B593-CF84271C24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9"/>
</workbook>
</file>

<file path=xl/calcChain.xml><?xml version="1.0" encoding="utf-8"?>
<calcChain xmlns="http://schemas.openxmlformats.org/spreadsheetml/2006/main">
  <c r="G91" i="4" l="1"/>
  <c r="G90" i="4"/>
  <c r="G88" i="4" l="1"/>
  <c r="G93" i="4"/>
  <c r="G92" i="4"/>
  <c r="G84" i="4"/>
  <c r="G89" i="4"/>
  <c r="G87" i="4" l="1"/>
  <c r="G86" i="4" l="1"/>
  <c r="G85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<sst xmlns="http://schemas.openxmlformats.org/spreadsheetml/2006/main" count="244" uniqueCount="130">
  <si>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</si>
  <si>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</si>
  <si>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</si>
  <si>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</si>
  <si>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</si>
  <si>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</si>
  <si>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</si>
  <si>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</si>
  <si>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</si>
  <si>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</si>
  <si>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</si>
  <si>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</si>
  <si>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</si>
  <si>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</si>
  <si>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</si>
  <si>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</si>
  <si>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</si>
  <si>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</si>
  <si>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</si>
  <si>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</si>
  <si>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</si>
  <si>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</si>
  <si>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</si>
  <si>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</si>
  <si>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</si>
  <si>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</si>
  <si>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</si>
  <si>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</si>
  <si>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</si>
  <si>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</si>
  <si>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</si>
  <si>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</si>
  <si>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</si>
  <si>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</si>
  <si>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</si>
  <si>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</si>
  <si>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</si>
  <si>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</si>
  <si>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</si>
  <si>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</si>
  <si>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</si>
  <si>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</si>
  <si>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</si>
  <si>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</si>
  <si>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</si>
  <si>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</si>
  <si>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</si>
  <si>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</si>
  <si>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</si>
  <si>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</si>
  <si>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</si>
  <si>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</si>
  <si>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</si>
  <si>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</si>
  <si>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</si>
  <si>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</si>
  <si>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</si>
  <si>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</si>
  <si>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</si>
  <si>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</si>
  <si>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</si>
  <si>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</si>
  <si>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</si>
  <si>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</si>
  <si>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</si>
  <si>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</si>
  <si>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</si>
  <si>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</si>
  <si>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</si>
  <si>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</si>
  <si>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</si>
  <si>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</si>
  <si>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</si>
  <si>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</si>
  <si>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</si>
  <si>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</si>
  <si>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</si>
  <si>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</si>
  <si>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</si>
  <si>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</si>
  <si>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</si>
  <si>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</si>
  <si>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</si>
  <si>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</si>
  <si>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</si>
  <si>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</si>
  <si>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</si>
  <si>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</si>
  <si>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</si>
  <si>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</si>
  <si>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</si>
  <si>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</si>
  <si>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</si>
  <si>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</si>
  <si>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</si>
  <si>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</si>
  <si>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</si>
  <si>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</si>
  <si>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</si>
  <si>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</si>
  <si>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</si>
  <si>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</si>
  <si>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</si>
  <si>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</si>
  <si>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</si>
  <si>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</si>
  <si>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</si>
  <si>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</si>
  <si>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</si>
  <si>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</si>
  <si>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</si>
  <si>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</si>
  <si>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</si>
  <si>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</si>
  <si>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</si>
  <si>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</si>
  <si>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</si>
  <si>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</si>
  <si>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</si>
  <si>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</si>
  <si>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</si>
  <si>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</si>
  <si>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১৫-১০-২০২৫ তারিখে মূল্য হ্রাস পেয়েছে।</t>
  </si>
  <si>
    <t>স্মারক নং-২৬.০৫.০০০০.০১৭.৩১.০১.২৫-৭৩৬</t>
  </si>
  <si>
    <t xml:space="preserve">বৃহস্পতিবার ১৬ অক্টোবর ২০২৫ খ্রিঃ, ৩১ আশ্বিন ১৪৩২ বাংলা, ২১ রবিউল সানি ১৪৪৭ হিজরি </t>
  </si>
  <si>
    <t xml:space="preserve">   সিরিয়াল নংঃ     ২৫৬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</si>
  <si>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</si>
  <si>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</si>
  <si>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(১)     সয়াবিন তেল (লুজ, ১লি:,২লি:,৫লি: বোতল), পাম অয়েল (লুজ, সপার), পেঁয়াজ (দেশী), মুরগী ব্রয়লার   এর মূল্য বৃদ্ধি পেয়েছে।</t>
  </si>
  <si>
    <t>(২ )    ছোলা, আদা (আম),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</si>
</sst>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topLeftCell="A73" zoomScale="98" zoomScaleNormal="98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125</v>
      </c>
      <c r="L4" s="84"/>
    </row>
    <row r="5" spans="1:12" ht="19.5" customHeight="1">
      <c r="A5" s="17"/>
      <c r="B5" s="8"/>
      <c r="C5" s="8"/>
      <c r="D5" s="17"/>
      <c r="E5" s="8"/>
      <c r="F5" s="8" t="s">
        <v>124</v>
      </c>
      <c r="G5" s="8"/>
      <c r="H5" s="8"/>
      <c r="I5" s="8"/>
      <c r="J5" s="8"/>
      <c r="K5" s="8"/>
      <c r="L5" s="49"/>
    </row>
    <row r="6" spans="1:12" ht="21.75">
      <c r="A6" s="20" t="s">
        <v>123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45946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45946</v>
      </c>
      <c r="D8" s="84"/>
      <c r="E8" s="83">
        <v>45939</v>
      </c>
      <c r="F8" s="84"/>
      <c r="G8" s="83">
        <v>45916</v>
      </c>
      <c r="H8" s="84"/>
      <c r="I8" s="26" t="s">
        <v>12</v>
      </c>
      <c r="J8" s="83">
        <v>45581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54</v>
      </c>
      <c r="K11" s="29">
        <v>62</v>
      </c>
      <c r="L11" s="31">
        <f>((C11+D11)/2-(J11+K11)/2)/((J11+K11)/2)*100</f>
        <v>12.068965517241379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170</v>
      </c>
      <c r="H19" s="29">
        <v>174</v>
      </c>
      <c r="I19" s="30">
        <f t="shared" ref="I19:I25" si="0">((C19+D19)/2-(G19+H19)/2)/((G19+H19)/2)*100</f>
        <v>2.3255813953488373</v>
      </c>
      <c r="J19" s="29">
        <v>152</v>
      </c>
      <c r="K19" s="29">
        <v>156</v>
      </c>
      <c r="L19" s="31">
        <f t="shared" ref="L19:L25" si="1">((C19+D19)/2-(J19+K19)/2)/((J19+K19)/2)*100</f>
        <v>14.285714285714285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162</v>
      </c>
      <c r="E23" s="29">
        <v>153</v>
      </c>
      <c r="F23" s="29">
        <v>160</v>
      </c>
      <c r="G23" s="29">
        <v>153</v>
      </c>
      <c r="H23" s="29">
        <v>158</v>
      </c>
      <c r="I23" s="30">
        <f t="shared" si="0"/>
        <v>1.2861736334405145</v>
      </c>
      <c r="J23" s="29">
        <v>145</v>
      </c>
      <c r="K23" s="29">
        <v>146</v>
      </c>
      <c r="L23" s="31">
        <f t="shared" si="1"/>
        <v>8.2474226804123703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168</v>
      </c>
      <c r="E24" s="29">
        <v>155</v>
      </c>
      <c r="F24" s="29">
        <v>166</v>
      </c>
      <c r="G24" s="29">
        <v>155</v>
      </c>
      <c r="H24" s="29">
        <v>165</v>
      </c>
      <c r="I24" s="30">
        <f t="shared" si="0"/>
        <v>0.9375</v>
      </c>
      <c r="J24" s="29">
        <v>147</v>
      </c>
      <c r="K24" s="29">
        <v>150</v>
      </c>
      <c r="L24" s="31">
        <f t="shared" si="1"/>
        <v>8.7542087542087543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120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115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85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3.3333333333333335</v>
      </c>
      <c r="J35" s="29">
        <v>110</v>
      </c>
      <c r="K35" s="29">
        <v>120</v>
      </c>
      <c r="L35" s="31">
        <f t="shared" ref="L35:L50" si="5">((C35+D35)/2-(J35+K35)/2)/((J35+K35)/2)*100</f>
        <v>-32.608695652173914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400</v>
      </c>
      <c r="G40" s="29">
        <v>320</v>
      </c>
      <c r="H40" s="29">
        <v>450</v>
      </c>
      <c r="I40" s="30">
        <f t="shared" si="4"/>
        <v>-9.0909090909090917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180</v>
      </c>
      <c r="D43" s="29">
        <v>200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260</v>
      </c>
      <c r="I44" s="30">
        <f t="shared" si="4"/>
        <v>-2.5641025641025639</v>
      </c>
      <c r="J44" s="29">
        <v>180</v>
      </c>
      <c r="K44" s="29">
        <v>280</v>
      </c>
      <c r="L44" s="31">
        <f t="shared" si="5"/>
        <v>-17.391304347826086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4700</v>
      </c>
      <c r="H48" s="29">
        <v>5500</v>
      </c>
      <c r="I48" s="30">
        <f t="shared" si="4"/>
        <v>0.98039215686274506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280</v>
      </c>
      <c r="L49" s="31">
        <f t="shared" si="5"/>
        <v>0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190</v>
      </c>
      <c r="H50" s="29">
        <v>225</v>
      </c>
      <c r="I50" s="30">
        <f t="shared" si="4"/>
        <v>2.4096385542168677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780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-1.2903225806451613</v>
      </c>
      <c r="J54" s="29">
        <v>650</v>
      </c>
      <c r="K54" s="29">
        <v>800</v>
      </c>
      <c r="L54" s="31">
        <f t="shared" si="7"/>
        <v>5.5172413793103452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170</v>
      </c>
      <c r="D56" s="29">
        <v>185</v>
      </c>
      <c r="E56" s="29">
        <v>160</v>
      </c>
      <c r="F56" s="29">
        <v>185</v>
      </c>
      <c r="G56" s="29">
        <v>170</v>
      </c>
      <c r="H56" s="29">
        <v>185</v>
      </c>
      <c r="I56" s="30">
        <f t="shared" si="6"/>
        <v>0</v>
      </c>
      <c r="J56" s="29">
        <v>190</v>
      </c>
      <c r="K56" s="29">
        <v>210</v>
      </c>
      <c r="L56" s="31">
        <f t="shared" si="7"/>
        <v>-11.25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45946</v>
      </c>
      <c r="D67" s="84"/>
      <c r="E67" s="83">
        <v>45939</v>
      </c>
      <c r="F67" s="84"/>
      <c r="G67" s="83">
        <v>45916</v>
      </c>
      <c r="H67" s="84"/>
      <c r="I67" s="26" t="s">
        <v>12</v>
      </c>
      <c r="J67" s="83">
        <v>45581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115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127</v>
      </c>
      <c r="K69" s="29">
        <v>135</v>
      </c>
      <c r="L69" s="31">
        <f t="shared" ref="L69:L75" si="8">((C69+D69)/2-(J69+K69)/2)/((J69+K69)/2)*100</f>
        <v>-19.847328244274809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450</v>
      </c>
      <c r="L70" s="31">
        <f t="shared" si="8"/>
        <v>10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54</v>
      </c>
      <c r="K72" s="37">
        <v>58</v>
      </c>
      <c r="L72" s="31">
        <f t="shared" si="8"/>
        <v>-15.178571428571427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86500</v>
      </c>
      <c r="K74" s="29">
        <v>93000</v>
      </c>
      <c r="L74" s="31">
        <f t="shared" si="8"/>
        <v>-5.5710306406685239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82500</v>
      </c>
      <c r="K75" s="37">
        <v>85000</v>
      </c>
      <c r="L75" s="31">
        <f t="shared" si="8"/>
        <v>-7.4626865671641784</v>
      </c>
    </row>
    <row r="76" spans="1:12" ht="36" customHeight="1">
      <c r="A76" s="86" t="s">
        <v>121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.75">
      <c r="A84" s="5" t="s">
        <v>29</v>
      </c>
      <c r="B84" s="6" t="s">
        <v>30</v>
      </c>
      <c r="C84" s="29">
        <v>900</v>
      </c>
      <c r="D84" s="29">
        <v>930</v>
      </c>
      <c r="E84" s="29">
        <v>890</v>
      </c>
      <c r="F84" s="29">
        <v>920</v>
      </c>
      <c r="G84" s="7">
        <f t="shared" si="10"/>
        <v>1.1049723756906076</v>
      </c>
      <c r="H84" s="5" t="s">
        <v>126</v>
      </c>
      <c r="I84" s="6"/>
      <c r="J84" s="6"/>
      <c r="K84" s="50"/>
      <c r="L84" s="17"/>
    </row>
    <row r="85" spans="1:12" ht="21.75">
      <c r="A85" s="69" t="s">
        <v>29</v>
      </c>
      <c r="B85" s="6" t="s">
        <v>31</v>
      </c>
      <c r="C85" s="29">
        <v>375</v>
      </c>
      <c r="D85" s="29">
        <v>385</v>
      </c>
      <c r="E85" s="29">
        <v>375</v>
      </c>
      <c r="F85" s="29">
        <v>380</v>
      </c>
      <c r="G85" s="7">
        <f t="shared" si="10"/>
        <v>0.66225165562913912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188</v>
      </c>
      <c r="D86" s="29">
        <v>195</v>
      </c>
      <c r="E86" s="29">
        <v>188</v>
      </c>
      <c r="F86" s="29">
        <v>190</v>
      </c>
      <c r="G86" s="7">
        <f t="shared" si="10"/>
        <v>1.3227513227513228</v>
      </c>
      <c r="H86" s="5" t="s">
        <v>120</v>
      </c>
      <c r="I86" s="6"/>
      <c r="J86" s="6"/>
      <c r="K86" s="11"/>
      <c r="L86" s="11"/>
    </row>
    <row r="87" spans="1:12" ht="21.75">
      <c r="A87" s="69" t="s">
        <v>33</v>
      </c>
      <c r="B87" s="6" t="s">
        <v>28</v>
      </c>
      <c r="C87" s="29">
        <v>153</v>
      </c>
      <c r="D87" s="29">
        <v>162</v>
      </c>
      <c r="E87" s="29">
        <v>153</v>
      </c>
      <c r="F87" s="29">
        <v>160</v>
      </c>
      <c r="G87" s="7">
        <f t="shared" ref="G87:G93" si="11">((C87+D87)/2-(E87+F87)/2)/((E87+F87)/2)*100</f>
        <v>0.63897763578274758</v>
      </c>
      <c r="H87" s="5" t="s">
        <v>119</v>
      </c>
      <c r="I87" s="6"/>
      <c r="J87" s="6"/>
      <c r="K87" s="11"/>
      <c r="L87" s="11"/>
    </row>
    <row r="88" spans="1:12" ht="21.75">
      <c r="A88" s="69" t="s">
        <v>106</v>
      </c>
      <c r="B88" s="6" t="s">
        <v>28</v>
      </c>
      <c r="C88" s="29">
        <v>155</v>
      </c>
      <c r="D88" s="29">
        <v>168</v>
      </c>
      <c r="E88" s="29">
        <v>155</v>
      </c>
      <c r="F88" s="29">
        <v>166</v>
      </c>
      <c r="G88" s="7">
        <f t="shared" si="11"/>
        <v>0.62305295950155759</v>
      </c>
      <c r="H88" s="5" t="s">
        <v>126</v>
      </c>
      <c r="I88" s="6"/>
      <c r="J88" s="6"/>
      <c r="K88" s="11"/>
      <c r="L88" s="11"/>
    </row>
    <row r="89" spans="1:12" ht="21.75">
      <c r="A89" s="69" t="s">
        <v>41</v>
      </c>
      <c r="B89" s="6" t="s">
        <v>18</v>
      </c>
      <c r="C89" s="29">
        <v>100</v>
      </c>
      <c r="D89" s="29">
        <v>110</v>
      </c>
      <c r="E89" s="29">
        <v>100</v>
      </c>
      <c r="F89" s="29">
        <v>115</v>
      </c>
      <c r="G89" s="7">
        <f t="shared" si="11"/>
        <v>-2.3255813953488373</v>
      </c>
      <c r="H89" s="5" t="s">
        <v>122</v>
      </c>
      <c r="I89" s="6"/>
      <c r="J89" s="6"/>
      <c r="K89" s="11"/>
      <c r="L89" s="11"/>
    </row>
    <row r="90" spans="1:12" ht="21.75">
      <c r="A90" s="69" t="s">
        <v>90</v>
      </c>
      <c r="B90" s="6" t="s">
        <v>18</v>
      </c>
      <c r="C90" s="29">
        <v>70</v>
      </c>
      <c r="D90" s="29">
        <v>85</v>
      </c>
      <c r="E90" s="29">
        <v>70</v>
      </c>
      <c r="F90" s="29">
        <v>80</v>
      </c>
      <c r="G90" s="7">
        <f>((C90+D90)/2-(E90+F90)/2)/((E90+F90)/2)*100</f>
        <v>3.3333333333333335</v>
      </c>
      <c r="H90" s="5" t="s">
        <v>126</v>
      </c>
      <c r="I90" s="6"/>
      <c r="J90" s="6"/>
      <c r="K90" s="11"/>
      <c r="L90" s="11"/>
    </row>
    <row r="91" spans="1:12" ht="21.75">
      <c r="A91" s="69" t="s">
        <v>52</v>
      </c>
      <c r="B91" s="6" t="s">
        <v>18</v>
      </c>
      <c r="C91" s="29">
        <v>130</v>
      </c>
      <c r="D91" s="29">
        <v>250</v>
      </c>
      <c r="E91" s="29">
        <v>140</v>
      </c>
      <c r="F91" s="29">
        <v>250</v>
      </c>
      <c r="G91" s="7">
        <f>((C91+D91)/2-(E91+F91)/2)/((E91+F91)/2)*100</f>
        <v>-2.5641025641025639</v>
      </c>
      <c r="H91" s="5" t="s">
        <v>127</v>
      </c>
      <c r="I91" s="6"/>
      <c r="J91" s="6"/>
      <c r="K91" s="11"/>
      <c r="L91" s="11"/>
    </row>
    <row r="92" spans="1:12" ht="21.75">
      <c r="A92" s="69" t="s">
        <v>62</v>
      </c>
      <c r="B92" s="6" t="s">
        <v>18</v>
      </c>
      <c r="C92" s="29">
        <v>170</v>
      </c>
      <c r="D92" s="29">
        <v>185</v>
      </c>
      <c r="E92" s="29">
        <v>160</v>
      </c>
      <c r="F92" s="29">
        <v>185</v>
      </c>
      <c r="G92" s="7">
        <f t="shared" si="11"/>
        <v>2.8985507246376812</v>
      </c>
      <c r="H92" s="5" t="s">
        <v>119</v>
      </c>
      <c r="I92" s="6"/>
      <c r="J92" s="6"/>
      <c r="K92" s="11"/>
      <c r="L92" s="11"/>
    </row>
    <row r="93" spans="1:12" ht="24.75">
      <c r="A93" s="5" t="s">
        <v>71</v>
      </c>
      <c r="B93" s="6" t="s">
        <v>18</v>
      </c>
      <c r="C93" s="37">
        <v>100</v>
      </c>
      <c r="D93" s="37">
        <v>110</v>
      </c>
      <c r="E93" s="26">
        <v>105</v>
      </c>
      <c r="F93" s="37">
        <v>115</v>
      </c>
      <c r="G93" s="7">
        <f t="shared" si="11"/>
        <v>-4.5454545454545459</v>
      </c>
      <c r="H93" s="5" t="s">
        <v>127</v>
      </c>
      <c r="I93" s="6"/>
      <c r="J93" s="6"/>
      <c r="K93" s="40"/>
      <c r="L93" s="11"/>
    </row>
    <row r="94" spans="1:12" ht="24.75">
      <c r="A94" s="93"/>
      <c r="B94" s="94"/>
      <c r="C94" s="82"/>
      <c r="D94" s="82"/>
      <c r="E94" s="95"/>
      <c r="F94" s="82"/>
      <c r="G94" s="9"/>
      <c r="H94" s="93"/>
      <c r="I94" s="94"/>
      <c r="J94" s="94"/>
      <c r="K94" s="40"/>
      <c r="L94" s="11"/>
    </row>
    <row r="95" spans="1:12" ht="24.75">
      <c r="A95" s="1"/>
      <c r="B95" s="3"/>
      <c r="C95" s="82"/>
      <c r="D95" s="82"/>
      <c r="E95" s="8"/>
      <c r="F95" s="82"/>
      <c r="G95" s="38"/>
      <c r="H95" s="39"/>
      <c r="I95" s="40"/>
      <c r="J95" s="40"/>
      <c r="K95" s="40"/>
      <c r="L95" s="11"/>
    </row>
    <row r="96" spans="1:12" ht="24.75">
      <c r="A96" s="1"/>
      <c r="B96" s="13"/>
      <c r="C96" s="14"/>
      <c r="D96" s="14"/>
      <c r="E96" s="13"/>
      <c r="F96" s="14"/>
      <c r="G96" s="38"/>
      <c r="H96" s="39"/>
      <c r="I96" s="40"/>
      <c r="J96" s="40"/>
      <c r="K96" s="40"/>
      <c r="L96" s="11"/>
    </row>
    <row r="97" spans="1:12" ht="24.75">
      <c r="A97" s="1"/>
      <c r="B97" s="41"/>
      <c r="C97" s="42" t="s">
        <v>115</v>
      </c>
      <c r="D97" s="10"/>
      <c r="E97" s="41"/>
      <c r="F97" s="13"/>
      <c r="G97" s="10"/>
      <c r="H97" s="39"/>
      <c r="I97" s="12"/>
      <c r="J97" s="13" t="s">
        <v>117</v>
      </c>
      <c r="K97" s="10"/>
      <c r="L97" s="10"/>
    </row>
    <row r="98" spans="1:12" ht="24.75">
      <c r="A98" s="1"/>
      <c r="B98" s="43"/>
      <c r="C98" s="42" t="s">
        <v>116</v>
      </c>
      <c r="D98" s="13"/>
      <c r="E98" s="41"/>
      <c r="F98" s="44"/>
      <c r="G98" s="46"/>
      <c r="H98" s="46"/>
      <c r="I98" s="76"/>
      <c r="J98" s="13" t="s">
        <v>118</v>
      </c>
      <c r="K98" s="13"/>
      <c r="L98" s="13"/>
    </row>
    <row r="99" spans="1:12" ht="24.75">
      <c r="A99" s="1"/>
      <c r="B99" s="13"/>
      <c r="C99" s="14"/>
      <c r="D99" s="13"/>
      <c r="E99" s="14"/>
      <c r="F99" s="44"/>
      <c r="G99" s="46"/>
      <c r="H99" s="46"/>
      <c r="I99" s="45"/>
      <c r="J99" s="10"/>
      <c r="K99" s="10"/>
      <c r="L99" s="2"/>
    </row>
    <row r="100" spans="1:12" ht="19.5">
      <c r="A100" s="55" t="s">
        <v>93</v>
      </c>
      <c r="B100" s="53"/>
      <c r="C100" s="51"/>
      <c r="D100" s="53"/>
      <c r="E100" s="51"/>
      <c r="F100" s="51"/>
      <c r="G100" s="51"/>
      <c r="H100" s="52"/>
      <c r="I100" s="57"/>
      <c r="J100" s="2"/>
      <c r="K100" s="2"/>
      <c r="L100" s="2"/>
    </row>
    <row r="101" spans="1:12" ht="19.5">
      <c r="A101" s="54" t="s">
        <v>99</v>
      </c>
      <c r="B101" s="53"/>
      <c r="C101" s="51"/>
      <c r="D101" s="53"/>
      <c r="E101" s="51"/>
      <c r="F101" s="51"/>
      <c r="G101" s="53"/>
      <c r="H101" s="52"/>
      <c r="I101" s="57"/>
      <c r="J101" s="2"/>
      <c r="K101" s="2"/>
      <c r="L101" s="2"/>
    </row>
    <row r="102" spans="1:12" ht="19.5">
      <c r="A102" s="54" t="s">
        <v>98</v>
      </c>
      <c r="B102" s="53"/>
      <c r="C102" s="53"/>
      <c r="D102" s="53"/>
      <c r="E102" s="53"/>
      <c r="F102" s="51"/>
      <c r="G102" s="53"/>
      <c r="H102" s="52"/>
      <c r="I102" s="57"/>
      <c r="J102" s="2"/>
      <c r="K102" s="2"/>
      <c r="L102" s="2"/>
    </row>
    <row r="103" spans="1:12" ht="19.5">
      <c r="A103" s="54" t="s">
        <v>85</v>
      </c>
      <c r="B103" s="53"/>
      <c r="C103" s="53"/>
      <c r="D103" s="53"/>
      <c r="E103" s="53"/>
      <c r="F103" s="52"/>
      <c r="G103" s="52"/>
      <c r="H103" s="52"/>
      <c r="I103" s="57"/>
      <c r="J103" s="2"/>
      <c r="K103" s="2"/>
      <c r="L103" s="2"/>
    </row>
    <row r="104" spans="1:12" ht="19.5">
      <c r="A104" s="54" t="s">
        <v>97</v>
      </c>
      <c r="B104" s="53"/>
      <c r="C104" s="53"/>
      <c r="D104" s="53"/>
      <c r="E104" s="53"/>
      <c r="F104" s="53"/>
      <c r="G104" s="52"/>
      <c r="H104" s="52"/>
      <c r="I104" s="57"/>
      <c r="J104" s="2"/>
      <c r="K104" s="2"/>
      <c r="L104" s="2"/>
    </row>
    <row r="105" spans="1:12" ht="19.5">
      <c r="A105" s="54" t="s">
        <v>96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107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95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94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86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100</v>
      </c>
      <c r="B111" s="53"/>
      <c r="C111" s="53"/>
      <c r="D111" s="53"/>
      <c r="E111" s="53"/>
      <c r="F111" s="53"/>
      <c r="G111" s="53"/>
      <c r="H111" s="52"/>
      <c r="I111" s="57"/>
      <c r="J111" s="2"/>
      <c r="K111" s="2"/>
      <c r="L111" s="2"/>
    </row>
    <row r="112" spans="1:12" ht="19.5">
      <c r="A112" s="54" t="s">
        <v>102</v>
      </c>
      <c r="B112" s="53"/>
      <c r="C112" s="53"/>
      <c r="D112" s="53"/>
      <c r="E112" s="53"/>
      <c r="F112" s="53"/>
      <c r="G112" s="53"/>
      <c r="H112" s="52"/>
      <c r="I112" s="57"/>
      <c r="J112" s="2"/>
      <c r="K112" s="2"/>
      <c r="L112" s="2"/>
    </row>
    <row r="113" spans="1:12" ht="19.5">
      <c r="A113" s="54" t="s">
        <v>103</v>
      </c>
      <c r="B113" s="53"/>
      <c r="C113" s="53"/>
      <c r="D113" s="53"/>
      <c r="E113" s="53"/>
      <c r="F113" s="53"/>
      <c r="G113" s="53"/>
      <c r="H113" s="52"/>
      <c r="I113" s="57"/>
      <c r="J113" s="2"/>
      <c r="K113" s="2"/>
      <c r="L113" s="2"/>
    </row>
    <row r="114" spans="1:12" ht="19.5">
      <c r="A114" s="54" t="s">
        <v>87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/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5" t="s">
        <v>88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89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  <row r="118" spans="1:12" ht="19.5">
      <c r="A118" s="54" t="s">
        <v>114</v>
      </c>
      <c r="B118" s="53"/>
      <c r="C118" s="53"/>
      <c r="D118" s="53"/>
      <c r="E118" s="53"/>
      <c r="F118" s="53"/>
      <c r="G118" s="53"/>
      <c r="H118" s="56"/>
      <c r="I118" s="58"/>
      <c r="J118" s="11"/>
      <c r="K118" s="11"/>
      <c r="L118" s="11"/>
    </row>
    <row r="119" spans="1:12" ht="19.5">
      <c r="A119" s="54" t="s">
        <v>113</v>
      </c>
      <c r="B119" s="53"/>
      <c r="C119" s="53"/>
      <c r="D119" s="53"/>
      <c r="E119" s="53"/>
      <c r="F119" s="53"/>
      <c r="G119" s="53"/>
      <c r="H119" s="56"/>
      <c r="I119" s="58"/>
      <c r="J119" s="11"/>
      <c r="K119" s="11"/>
      <c r="L119" s="11"/>
    </row>
    <row r="120" spans="1:12" ht="19.5">
      <c r="A120" s="54" t="s">
        <v>112</v>
      </c>
      <c r="B120" s="53"/>
      <c r="C120" s="53"/>
      <c r="D120" s="53"/>
      <c r="E120" s="53"/>
      <c r="F120" s="53"/>
      <c r="G120" s="53"/>
      <c r="H120" s="56"/>
      <c r="I120" s="58"/>
      <c r="J120" s="11"/>
      <c r="K120" s="11"/>
      <c r="L120" s="11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2025-10-16T08:46:04Z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