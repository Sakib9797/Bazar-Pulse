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703B5191-F7E8-4C2A-826B-7493B10D5A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0" i="4" l="1"/>
  <c r="G87" i="4" l="1"/>
  <c r="G86" i="4"/>
  <c r="G83" i="4"/>
  <c r="G89" i="4"/>
  <c r="G92" i="4"/>
  <c r="G91" i="4"/>
  <c r="G88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<sst xmlns="http://schemas.openxmlformats.org/spreadsheetml/2006/main" count="242" uniqueCount="131">
  <si>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</si>
  <si>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</si>
  <si>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</si>
  <si>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</si>
  <si>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</si>
  <si>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</si>
  <si>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</si>
  <si>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</si>
  <si>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</si>
  <si>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</si>
  <si>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</si>
  <si>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</si>
  <si>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</si>
  <si>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</si>
  <si>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</si>
  <si>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</si>
  <si>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</si>
  <si>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</si>
  <si>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</si>
  <si>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</si>
  <si>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</si>
  <si>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</si>
  <si>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</si>
  <si>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</si>
  <si>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</si>
  <si>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</si>
  <si>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</si>
  <si>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</si>
  <si>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</si>
  <si>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</si>
  <si>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</si>
  <si>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</si>
  <si>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</si>
  <si>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</si>
  <si>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</si>
  <si>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</si>
  <si>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</si>
  <si>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</si>
  <si>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</si>
  <si>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</si>
  <si>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</si>
  <si>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</si>
  <si>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</si>
  <si>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</si>
  <si>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</si>
  <si>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</si>
  <si>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</si>
  <si>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</si>
  <si>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</si>
  <si>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</si>
  <si>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</si>
  <si>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</si>
  <si>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</si>
  <si>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</si>
  <si>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</si>
  <si>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</si>
  <si>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</si>
  <si>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</si>
  <si>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</si>
  <si>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</si>
  <si>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</si>
  <si>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</si>
  <si>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</si>
  <si>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</si>
  <si>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</si>
  <si>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</si>
  <si>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</si>
  <si>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</si>
  <si>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</si>
  <si>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</si>
  <si>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</si>
  <si>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</si>
  <si>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</si>
  <si>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</si>
  <si>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</si>
  <si>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</si>
  <si>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</si>
  <si>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</si>
  <si>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</si>
  <si>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</si>
  <si>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</si>
  <si>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</si>
  <si>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</si>
  <si>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</si>
  <si>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</si>
  <si>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</si>
  <si>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</si>
  <si>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</si>
  <si>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</si>
  <si>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</si>
  <si>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</si>
  <si>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</si>
  <si>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</si>
  <si>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</si>
  <si>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</si>
  <si>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</si>
  <si>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</si>
  <si>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</si>
  <si>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</si>
  <si>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</si>
  <si>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</si>
  <si>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</si>
  <si>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</si>
  <si>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</si>
  <si>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</si>
  <si>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</si>
  <si>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</si>
  <si>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</si>
  <si>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</si>
  <si>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</si>
  <si>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</si>
  <si>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</si>
  <si>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</si>
  <si>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</si>
  <si>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</si>
  <si>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</si>
  <si>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২১-১০-২০২৫ তারিখে মূল্য বৃদ্ধি পেয়েছে।</t>
  </si>
  <si>
    <t>২৩-১০-২০২৫ তারিখে মূল্য হ্রাস পেয়েছে।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</si>
  <si>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</si>
  <si>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</si>
  <si>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২৭-১০-২০২৫ তারিখে মূল্য বৃদ্ধি পেয়েছে।</t>
  </si>
  <si>
    <t>(১)    চাল (সরু), সয়াবিন তেল (১লি:, ৫লি: বোতল), পাম অয়েল (লুজ), মসুর ডাল (মাঝারী), মুরগী ব্রয়লার    এর মূল্য বৃদ্ধি পেয়েছে।</t>
  </si>
  <si>
    <t>(২ )    আটা (খোলা), আদা  (আম), এস রড (৬০,৪০ গ্রেড)    এর মূল্য হ্রাস পেয়েছে।</t>
  </si>
  <si>
    <t xml:space="preserve">   সিরিয়াল নংঃ     ২৬৮</t>
  </si>
  <si>
    <t>স্মারক নং-২৬.০৫.০০০০.০১৭.৩১.০১.২৫-৭৬৯</t>
  </si>
  <si>
    <t>(মো: হুমায়ুন কবির</t>
  </si>
  <si>
    <t>(+)০.৫৫</t>
  </si>
  <si>
    <t xml:space="preserve">মঙ্গলবার ২৮ অক্টোবর ২০২৫ খ্রিঃ, ১২ কার্তিক ১৪৩২ বাংলা, ০৫ জমা-আউ ১৪৪৭ হিজরি </t>
  </si>
  <si>
    <t>যুগ্ম পরিচালক (বাজার তথ্য)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</si>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</sst>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zoomScale="96" zoomScaleNormal="96" workbookViewId="0">
      <selection activeCell="J97" sqref="J97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45958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45958</v>
      </c>
      <c r="D8" s="84"/>
      <c r="E8" s="85">
        <v>45951</v>
      </c>
      <c r="F8" s="84"/>
      <c r="G8" s="85">
        <v>45928</v>
      </c>
      <c r="H8" s="84"/>
      <c r="I8" s="26" t="s">
        <v>12</v>
      </c>
      <c r="J8" s="85">
        <v>45593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75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0</v>
      </c>
      <c r="J10" s="29">
        <v>64</v>
      </c>
      <c r="K10" s="29">
        <v>80</v>
      </c>
      <c r="L10" s="31">
        <f>((C10+D10)/2-(J10+K10)/2)/((J10+K10)/2)*100</f>
        <v>11.111111111111111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55</v>
      </c>
      <c r="K11" s="29">
        <v>62</v>
      </c>
      <c r="L11" s="31">
        <f>((C11+D11)/2-(J11+K11)/2)/((J11+K11)/2)*100</f>
        <v>11.111111111111111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180</v>
      </c>
      <c r="G19" s="29">
        <v>170</v>
      </c>
      <c r="H19" s="29">
        <v>176</v>
      </c>
      <c r="I19" s="30">
        <f t="shared" ref="I19:I25" si="0">((C19+D19)/2-(G19+H19)/2)/((G19+H19)/2)*100</f>
        <v>1.7341040462427744</v>
      </c>
      <c r="J19" s="29">
        <v>155</v>
      </c>
      <c r="K19" s="29">
        <v>160</v>
      </c>
      <c r="L19" s="31">
        <f t="shared" ref="L19:L25" si="1">((C19+D19)/2-(J19+K19)/2)/((J19+K19)/2)*100</f>
        <v>11.746031746031745</v>
      </c>
    </row>
    <row r="20" spans="1:12" ht="21.75">
      <c r="A20" s="69" t="s">
        <v>29</v>
      </c>
      <c r="B20" s="6" t="s">
        <v>30</v>
      </c>
      <c r="C20" s="29">
        <v>910</v>
      </c>
      <c r="D20" s="29">
        <v>930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1.6574585635359116</v>
      </c>
      <c r="J20" s="29">
        <v>800</v>
      </c>
      <c r="K20" s="29">
        <v>810</v>
      </c>
      <c r="L20" s="31">
        <f t="shared" si="1"/>
        <v>14.285714285714285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188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155</v>
      </c>
      <c r="D23" s="29">
        <v>162</v>
      </c>
      <c r="E23" s="29">
        <v>153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147</v>
      </c>
      <c r="K23" s="29">
        <v>149</v>
      </c>
      <c r="L23" s="31">
        <f t="shared" si="1"/>
        <v>7.0945945945945947</v>
      </c>
    </row>
    <row r="24" spans="1:12" ht="21.75">
      <c r="A24" s="69" t="s">
        <v>106</v>
      </c>
      <c r="B24" s="6" t="s">
        <v>28</v>
      </c>
      <c r="C24" s="29">
        <v>158</v>
      </c>
      <c r="D24" s="29">
        <v>165</v>
      </c>
      <c r="E24" s="29">
        <v>155</v>
      </c>
      <c r="F24" s="29">
        <v>168</v>
      </c>
      <c r="G24" s="29">
        <v>155</v>
      </c>
      <c r="H24" s="29">
        <v>166</v>
      </c>
      <c r="I24" s="30">
        <f t="shared" si="0"/>
        <v>0.62305295950155759</v>
      </c>
      <c r="J24" s="29">
        <v>150</v>
      </c>
      <c r="K24" s="29">
        <v>153</v>
      </c>
      <c r="L24" s="31">
        <f t="shared" si="1"/>
        <v>6.6006600660065997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6</v>
      </c>
      <c r="J28" s="29">
        <v>110</v>
      </c>
      <c r="K28" s="29">
        <v>115</v>
      </c>
      <c r="L28" s="31">
        <f t="shared" si="3"/>
        <v>17.777777777777779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115</v>
      </c>
      <c r="K35" s="29">
        <v>135</v>
      </c>
      <c r="L35" s="31">
        <f t="shared" ref="L35:L50" si="5">((C35+D35)/2-(J35+K35)/2)/((J35+K35)/2)*100</f>
        <v>-40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-5.4054054054054053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250</v>
      </c>
      <c r="G44" s="29">
        <v>150</v>
      </c>
      <c r="H44" s="29">
        <v>240</v>
      </c>
      <c r="I44" s="30">
        <f t="shared" si="4"/>
        <v>-10.256410256410255</v>
      </c>
      <c r="J44" s="29">
        <v>180</v>
      </c>
      <c r="K44" s="29">
        <v>300</v>
      </c>
      <c r="L44" s="31">
        <f t="shared" si="5"/>
        <v>-27.083333333333332</v>
      </c>
    </row>
    <row r="45" spans="1:12" ht="21.75">
      <c r="A45" s="69" t="s">
        <v>53</v>
      </c>
      <c r="B45" s="6" t="s">
        <v>18</v>
      </c>
      <c r="C45" s="29">
        <v>600</v>
      </c>
      <c r="D45" s="29">
        <v>720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-2.2222222222222223</v>
      </c>
      <c r="J45" s="29">
        <v>680</v>
      </c>
      <c r="K45" s="29">
        <v>800</v>
      </c>
      <c r="L45" s="31">
        <f t="shared" si="5"/>
        <v>-10.810810810810811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200</v>
      </c>
      <c r="L50" s="31">
        <f t="shared" si="5"/>
        <v>32.8125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180</v>
      </c>
      <c r="D56" s="29">
        <v>185</v>
      </c>
      <c r="E56" s="29">
        <v>160</v>
      </c>
      <c r="F56" s="29">
        <v>190</v>
      </c>
      <c r="G56" s="29">
        <v>160</v>
      </c>
      <c r="H56" s="29">
        <v>185</v>
      </c>
      <c r="I56" s="30">
        <f t="shared" si="6"/>
        <v>5.7971014492753623</v>
      </c>
      <c r="J56" s="29">
        <v>185</v>
      </c>
      <c r="K56" s="29">
        <v>210</v>
      </c>
      <c r="L56" s="31">
        <f t="shared" si="7"/>
        <v>-7.59493670886076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45958</v>
      </c>
      <c r="D67" s="84"/>
      <c r="E67" s="85">
        <v>45951</v>
      </c>
      <c r="F67" s="84"/>
      <c r="G67" s="85">
        <v>45928</v>
      </c>
      <c r="H67" s="84"/>
      <c r="I67" s="26" t="s">
        <v>12</v>
      </c>
      <c r="J67" s="85">
        <v>45593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84000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77000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122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17</v>
      </c>
      <c r="B83" s="6" t="s">
        <v>18</v>
      </c>
      <c r="C83" s="29">
        <v>75</v>
      </c>
      <c r="D83" s="29">
        <v>85</v>
      </c>
      <c r="E83" s="29">
        <v>72</v>
      </c>
      <c r="F83" s="29">
        <v>85</v>
      </c>
      <c r="G83" s="7">
        <f t="shared" ref="G83" si="10">((C83+D83)/2-(E83+F83)/2)/((E83+F83)/2)*100</f>
        <v>1.910828025477707</v>
      </c>
      <c r="H83" s="5" t="s">
        <v>118</v>
      </c>
      <c r="I83" s="6"/>
      <c r="J83" s="6"/>
      <c r="K83" s="50"/>
      <c r="L83" s="17"/>
    </row>
    <row r="84" spans="1:12" ht="21.75">
      <c r="A84" s="5" t="s">
        <v>21</v>
      </c>
      <c r="B84" s="6" t="s">
        <v>18</v>
      </c>
      <c r="C84" s="29">
        <v>45</v>
      </c>
      <c r="D84" s="29">
        <v>50</v>
      </c>
      <c r="E84" s="29">
        <v>45</v>
      </c>
      <c r="F84" s="29">
        <v>52</v>
      </c>
      <c r="G84" s="7">
        <f t="shared" ref="G84" si="11">((C84+D84)/2-(E84+F84)/2)/((E84+F84)/2)*100</f>
        <v>-2.0618556701030926</v>
      </c>
      <c r="H84" s="5" t="s">
        <v>119</v>
      </c>
      <c r="I84" s="6"/>
      <c r="J84" s="6"/>
      <c r="K84" s="50"/>
      <c r="L84" s="17"/>
    </row>
    <row r="85" spans="1:12" ht="21.75">
      <c r="A85" s="69" t="s">
        <v>29</v>
      </c>
      <c r="B85" s="6" t="s">
        <v>30</v>
      </c>
      <c r="C85" s="29">
        <v>910</v>
      </c>
      <c r="D85" s="29">
        <v>930</v>
      </c>
      <c r="E85" s="29">
        <v>900</v>
      </c>
      <c r="F85" s="29">
        <v>930</v>
      </c>
      <c r="G85" s="7" t="s">
        <v>126</v>
      </c>
      <c r="H85" s="5" t="s">
        <v>120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189</v>
      </c>
      <c r="D86" s="29">
        <v>195</v>
      </c>
      <c r="E86" s="29">
        <v>188</v>
      </c>
      <c r="F86" s="29">
        <v>195</v>
      </c>
      <c r="G86" s="7">
        <f>((C86+D86)/2-(E86+F86)/2)/((E86+F86)/2)*100</f>
        <v>0.26109660574412535</v>
      </c>
      <c r="H86" s="5" t="s">
        <v>116</v>
      </c>
      <c r="I86" s="6"/>
      <c r="J86" s="6"/>
      <c r="K86" s="11"/>
      <c r="L86" s="11"/>
    </row>
    <row r="87" spans="1:12" ht="21.75">
      <c r="A87" s="69" t="s">
        <v>33</v>
      </c>
      <c r="B87" s="6" t="s">
        <v>18</v>
      </c>
      <c r="C87" s="29">
        <v>155</v>
      </c>
      <c r="D87" s="29">
        <v>162</v>
      </c>
      <c r="E87" s="29">
        <v>153</v>
      </c>
      <c r="F87" s="29">
        <v>162</v>
      </c>
      <c r="G87" s="7">
        <f>((C87+D87)/2-(E87+F87)/2)/((E87+F87)/2)*100</f>
        <v>0.63492063492063489</v>
      </c>
      <c r="H87" s="5" t="s">
        <v>118</v>
      </c>
      <c r="I87" s="6"/>
      <c r="J87" s="6"/>
      <c r="K87" s="11"/>
      <c r="L87" s="11"/>
    </row>
    <row r="88" spans="1:12" ht="21.75">
      <c r="A88" s="69" t="s">
        <v>110</v>
      </c>
      <c r="B88" s="6" t="s">
        <v>18</v>
      </c>
      <c r="C88" s="29">
        <v>125</v>
      </c>
      <c r="D88" s="29">
        <v>140</v>
      </c>
      <c r="E88" s="29">
        <v>120</v>
      </c>
      <c r="F88" s="29">
        <v>140</v>
      </c>
      <c r="G88" s="7">
        <f t="shared" ref="G88" si="12">((C88+D88)/2-(E88+F88)/2)/((E88+F88)/2)*100</f>
        <v>1.9230769230769231</v>
      </c>
      <c r="H88" s="5" t="s">
        <v>118</v>
      </c>
      <c r="I88" s="6"/>
      <c r="J88" s="6"/>
      <c r="K88" s="11"/>
      <c r="L88" s="11"/>
    </row>
    <row r="89" spans="1:12" ht="24.75">
      <c r="A89" s="69" t="s">
        <v>52</v>
      </c>
      <c r="B89" s="6" t="s">
        <v>18</v>
      </c>
      <c r="C89" s="29">
        <v>150</v>
      </c>
      <c r="D89" s="29">
        <v>220</v>
      </c>
      <c r="E89" s="29">
        <v>130</v>
      </c>
      <c r="F89" s="29">
        <v>250</v>
      </c>
      <c r="G89" s="7">
        <f t="shared" ref="G89:G92" si="13">((C89+D89)/2-(E89+F89)/2)/((E89+F89)/2)*100</f>
        <v>-2.6315789473684208</v>
      </c>
      <c r="H89" s="5" t="s">
        <v>119</v>
      </c>
      <c r="I89" s="6"/>
      <c r="J89" s="6"/>
      <c r="K89" s="40"/>
      <c r="L89" s="11"/>
    </row>
    <row r="90" spans="1:12" ht="24.75">
      <c r="A90" s="69" t="s">
        <v>62</v>
      </c>
      <c r="B90" s="6" t="s">
        <v>18</v>
      </c>
      <c r="C90" s="29">
        <v>180</v>
      </c>
      <c r="D90" s="29">
        <v>185</v>
      </c>
      <c r="E90" s="29">
        <v>160</v>
      </c>
      <c r="F90" s="29">
        <v>190</v>
      </c>
      <c r="G90" s="7">
        <f t="shared" si="13"/>
        <v>4.2857142857142856</v>
      </c>
      <c r="H90" s="5" t="s">
        <v>120</v>
      </c>
      <c r="I90" s="6"/>
      <c r="J90" s="6"/>
      <c r="K90" s="40"/>
      <c r="L90" s="11"/>
    </row>
    <row r="91" spans="1:12" ht="24.75">
      <c r="A91" s="69" t="s">
        <v>77</v>
      </c>
      <c r="B91" s="6" t="s">
        <v>78</v>
      </c>
      <c r="C91" s="29">
        <v>81000</v>
      </c>
      <c r="D91" s="29">
        <v>84000</v>
      </c>
      <c r="E91" s="29">
        <v>83500</v>
      </c>
      <c r="F91" s="29">
        <v>86000</v>
      </c>
      <c r="G91" s="7">
        <f t="shared" si="13"/>
        <v>-2.6548672566371683</v>
      </c>
      <c r="H91" s="5" t="s">
        <v>117</v>
      </c>
      <c r="I91" s="6"/>
      <c r="J91" s="6"/>
      <c r="K91" s="40"/>
      <c r="L91" s="11"/>
    </row>
    <row r="92" spans="1:12" ht="24.75">
      <c r="A92" s="69" t="s">
        <v>79</v>
      </c>
      <c r="B92" s="6" t="s">
        <v>78</v>
      </c>
      <c r="C92" s="29">
        <v>75000</v>
      </c>
      <c r="D92" s="37">
        <v>77000</v>
      </c>
      <c r="E92" s="29">
        <v>76000</v>
      </c>
      <c r="F92" s="37">
        <v>79000</v>
      </c>
      <c r="G92" s="7">
        <f t="shared" si="13"/>
        <v>-1.935483870967742</v>
      </c>
      <c r="H92" s="5" t="s">
        <v>117</v>
      </c>
      <c r="I92" s="6"/>
      <c r="J92" s="6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1"/>
      <c r="B96" s="41"/>
      <c r="C96" s="42" t="s">
        <v>125</v>
      </c>
      <c r="D96" s="10"/>
      <c r="E96" s="41"/>
      <c r="F96" s="13"/>
      <c r="G96" s="10"/>
      <c r="H96" s="39"/>
      <c r="I96" s="12"/>
      <c r="J96" s="13" t="s">
        <v>129</v>
      </c>
      <c r="K96" s="10"/>
      <c r="L96" s="10"/>
    </row>
    <row r="97" spans="1:12" ht="24.75">
      <c r="A97" s="1"/>
      <c r="B97" s="43"/>
      <c r="C97" s="42" t="s">
        <v>128</v>
      </c>
      <c r="D97" s="13"/>
      <c r="E97" s="41"/>
      <c r="F97" s="44"/>
      <c r="G97" s="46"/>
      <c r="H97" s="46"/>
      <c r="I97" s="76"/>
      <c r="J97" s="13" t="s">
        <v>130</v>
      </c>
      <c r="K97" s="13"/>
      <c r="L97" s="13"/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93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99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98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85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97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96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107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94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101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102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89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114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113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112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2025-10-29T04:03:23Z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