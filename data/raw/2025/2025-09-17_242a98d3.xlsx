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761FDD39-48D0-420C-8846-2F6E19E6E72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1" i="4" l="1"/>
  <c r="G83" i="4"/>
  <c r="G84" i="4"/>
  <c r="G87" i="4"/>
  <c r="G86" i="4"/>
  <c r="G92" i="4"/>
  <c r="G90" i="4"/>
  <c r="G89" i="4"/>
  <c r="G88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<sst xmlns="http://schemas.openxmlformats.org/spreadsheetml/2006/main" count="241" uniqueCount="131">
  <si>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</si>
  <si>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</si>
  <si>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</si>
  <si>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</si>
  <si>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</si>
  <si>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</si>
  <si>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</si>
  <si>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</si>
  <si>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</si>
  <si>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</si>
  <si>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</si>
  <si>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</si>
  <si>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</si>
  <si>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</si>
  <si>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</si>
  <si>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</si>
  <si>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</si>
  <si>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</si>
  <si>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</si>
  <si>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</si>
  <si>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</si>
  <si>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</si>
  <si>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</si>
  <si>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</si>
  <si>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</si>
  <si>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</si>
  <si>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</si>
  <si>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</si>
  <si>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</si>
  <si>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</si>
  <si>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</si>
  <si>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</si>
  <si>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</si>
  <si>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</si>
  <si>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</si>
  <si>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</si>
  <si>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</si>
  <si>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</si>
  <si>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</si>
  <si>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</si>
  <si>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</si>
  <si>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</si>
  <si>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</si>
  <si>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</si>
  <si>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</si>
  <si>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</si>
  <si>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</si>
  <si>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</si>
  <si>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</si>
  <si>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</si>
  <si>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</si>
  <si>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</si>
  <si>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</si>
  <si>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</si>
  <si>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</si>
  <si>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</si>
  <si>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</si>
  <si>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</si>
  <si>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</si>
  <si>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</si>
  <si>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</si>
  <si>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</si>
  <si>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</si>
  <si>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</si>
  <si>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</si>
  <si>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</si>
  <si>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</si>
  <si>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</si>
  <si>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</si>
  <si>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</si>
  <si>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</si>
  <si>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</si>
  <si>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</si>
  <si>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</si>
  <si>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</si>
  <si>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</si>
  <si>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</si>
  <si>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</si>
  <si>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</si>
  <si>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</si>
  <si>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</si>
  <si>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</si>
  <si>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</si>
  <si>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</si>
  <si>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</si>
  <si>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</si>
  <si>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</si>
  <si>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</si>
  <si>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</si>
  <si>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</si>
  <si>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</si>
  <si>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</si>
  <si>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</si>
  <si>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</si>
  <si>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</si>
  <si>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</si>
  <si>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</si>
  <si>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</si>
  <si>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</si>
  <si>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</si>
  <si>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</si>
  <si>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</si>
  <si>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</si>
  <si>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</si>
  <si>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</si>
  <si>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</si>
  <si>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</si>
  <si>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</si>
  <si>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</si>
  <si>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</si>
  <si>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</si>
  <si>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</si>
  <si>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</si>
  <si>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</si>
  <si>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</si>
  <si>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</si>
  <si>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</si>
  <si>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</si>
  <si>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</si>
  <si>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</si>
  <si>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১৫-০৯-২০২৫ তারিখে মূল্য বৃদ্ধি পেয়েছে।</t>
  </si>
  <si>
    <t>১৫-০৯-২০২৫ তারিখে মূল্য হ্রাস পেয়েছে।</t>
  </si>
  <si>
    <t>(১)     সয়াবিন তেল লুজ, পাম অয়েল লুজ, সুপার পাম অয়েল (লুজ), ছোলা  এর মূল্য বৃদ্ধি পেয়েছে।</t>
  </si>
  <si>
    <t>১৬-০৯-২০২৫ তারিখে মূল্য হ্রাস পেয়েছে।</t>
  </si>
  <si>
    <t>১৬-০৯-২০২৫ তারিখে মূল্য বৃদ্ধি পেয়েছে।</t>
  </si>
  <si>
    <t>স্মারক নং-২৬.০৫.০০০০.০১৭.৩১.০১.২৫-৬৬০</t>
  </si>
  <si>
    <t xml:space="preserve">বুধবার ১৭ সেপ্টেম্বর ২০২৫ খ্রিঃ, ০২ আশ্বিন ১৪৩২ বাংলা, ২৩ রবিউল আউয়াল ১৪৪৭ হিজরি </t>
  </si>
  <si>
    <t xml:space="preserve">   সিরিয়াল নংঃ     ২৩৪</t>
  </si>
  <si>
    <t>১৭-০৯-২০২৫ তারিখে মূল্য হ্রাস পেয়েছে।</t>
  </si>
  <si>
    <t>(২ )    চাল (মাঝারী), আলু, পেঁয়াজ (দেশী), আদা (আম), ধনে, তেজপাতা    এর মূল্য হ্রাস পেয়েছে।</t>
  </si>
  <si>
    <t>১৭-০৯-২০২৫ তারিখে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</si>
</sst>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0"/>
  <sheetViews>
    <sheetView tabSelected="1" topLeftCell="A73" zoomScale="98" zoomScaleNormal="98" workbookViewId="0">
      <selection activeCell="H85" sqref="H85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127</v>
      </c>
      <c r="L4" s="84"/>
    </row>
    <row r="5" spans="1:12" ht="19.5" customHeight="1">
      <c r="A5" s="18"/>
      <c r="B5" s="8"/>
      <c r="C5" s="8"/>
      <c r="D5" s="18"/>
      <c r="E5" s="8"/>
      <c r="F5" s="8" t="s">
        <v>126</v>
      </c>
      <c r="G5" s="8"/>
      <c r="H5" s="8"/>
      <c r="I5" s="8"/>
      <c r="J5" s="8"/>
      <c r="K5" s="8"/>
      <c r="L5" s="50"/>
    </row>
    <row r="6" spans="1:12" ht="21.75">
      <c r="A6" s="21" t="s">
        <v>125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45917</v>
      </c>
    </row>
    <row r="7" spans="1:12" ht="21.75">
      <c r="A7" s="26" t="s">
        <v>4</v>
      </c>
      <c r="B7" s="27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7" t="s">
        <v>9</v>
      </c>
      <c r="J7" s="85" t="s">
        <v>10</v>
      </c>
      <c r="K7" s="84"/>
      <c r="L7" s="28" t="s">
        <v>11</v>
      </c>
    </row>
    <row r="8" spans="1:12" ht="21.75">
      <c r="A8" s="26"/>
      <c r="B8" s="27"/>
      <c r="C8" s="83">
        <v>45917</v>
      </c>
      <c r="D8" s="84"/>
      <c r="E8" s="83">
        <v>45910</v>
      </c>
      <c r="F8" s="84"/>
      <c r="G8" s="83">
        <v>45886</v>
      </c>
      <c r="H8" s="84"/>
      <c r="I8" s="27" t="s">
        <v>12</v>
      </c>
      <c r="J8" s="83">
        <v>45552</v>
      </c>
      <c r="K8" s="84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70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0</v>
      </c>
      <c r="J11" s="30">
        <v>55</v>
      </c>
      <c r="K11" s="30">
        <v>60</v>
      </c>
      <c r="L11" s="32">
        <f>((C11+D11)/2-(J11+K11)/2)/((J11+K11)/2)*100</f>
        <v>13.043478260869565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42</v>
      </c>
      <c r="H14" s="30">
        <v>45</v>
      </c>
      <c r="I14" s="31">
        <f>((C14+D14)/2-(G14+H14)/2)/((G14+H14)/2)*100</f>
        <v>11.494252873563218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52</v>
      </c>
      <c r="H15" s="30">
        <v>60</v>
      </c>
      <c r="I15" s="31">
        <f>((C15+D15)/2-(G15+H15)/2)/((G15+H15)/2)*100</f>
        <v>7.1428571428571423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170</v>
      </c>
      <c r="D19" s="30">
        <v>175</v>
      </c>
      <c r="E19" s="30">
        <v>168</v>
      </c>
      <c r="F19" s="30">
        <v>172</v>
      </c>
      <c r="G19" s="30">
        <v>165</v>
      </c>
      <c r="H19" s="30">
        <v>172</v>
      </c>
      <c r="I19" s="31">
        <f t="shared" ref="I19:I25" si="0">((C19+D19)/2-(G19+H19)/2)/((G19+H19)/2)*100</f>
        <v>2.3738872403560833</v>
      </c>
      <c r="J19" s="30">
        <v>145</v>
      </c>
      <c r="K19" s="30">
        <v>155</v>
      </c>
      <c r="L19" s="32">
        <f t="shared" ref="L19:L25" si="1">((C19+D19)/2-(J19+K19)/2)/((J19+K19)/2)*100</f>
        <v>15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30">
        <v>330</v>
      </c>
      <c r="K21" s="30">
        <v>335</v>
      </c>
      <c r="L21" s="32">
        <f t="shared" si="1"/>
        <v>13.233082706766917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188</v>
      </c>
      <c r="H22" s="30">
        <v>190</v>
      </c>
      <c r="I22" s="31">
        <f t="shared" si="0"/>
        <v>0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160</v>
      </c>
      <c r="E23" s="30">
        <v>153</v>
      </c>
      <c r="F23" s="30">
        <v>157</v>
      </c>
      <c r="G23" s="30">
        <v>150</v>
      </c>
      <c r="H23" s="30">
        <v>158</v>
      </c>
      <c r="I23" s="31">
        <f t="shared" si="0"/>
        <v>1.6233766233766231</v>
      </c>
      <c r="J23" s="30">
        <v>130</v>
      </c>
      <c r="K23" s="30">
        <v>135</v>
      </c>
      <c r="L23" s="32">
        <f t="shared" si="1"/>
        <v>18.113207547169811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165</v>
      </c>
      <c r="E24" s="30">
        <v>155</v>
      </c>
      <c r="F24" s="30">
        <v>164</v>
      </c>
      <c r="G24" s="30">
        <v>152</v>
      </c>
      <c r="H24" s="30">
        <v>162</v>
      </c>
      <c r="I24" s="31">
        <f t="shared" si="0"/>
        <v>1.910828025477707</v>
      </c>
      <c r="J24" s="30">
        <v>135</v>
      </c>
      <c r="K24" s="30">
        <v>140</v>
      </c>
      <c r="L24" s="32">
        <f t="shared" si="1"/>
        <v>16.363636363636363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155</v>
      </c>
      <c r="I29" s="31">
        <f t="shared" si="2"/>
        <v>1.639344262295082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0" t="s">
        <v>41</v>
      </c>
      <c r="B32" s="6" t="s">
        <v>18</v>
      </c>
      <c r="C32" s="30">
        <v>100</v>
      </c>
      <c r="D32" s="30">
        <v>115</v>
      </c>
      <c r="E32" s="30">
        <v>95</v>
      </c>
      <c r="F32" s="30">
        <v>110</v>
      </c>
      <c r="G32" s="30">
        <v>95</v>
      </c>
      <c r="H32" s="30">
        <v>105</v>
      </c>
      <c r="I32" s="31">
        <f t="shared" si="2"/>
        <v>7.5</v>
      </c>
      <c r="J32" s="30">
        <v>115</v>
      </c>
      <c r="K32" s="30">
        <v>125</v>
      </c>
      <c r="L32" s="32">
        <f t="shared" si="3"/>
        <v>-10.416666666666668</v>
      </c>
    </row>
    <row r="33" spans="1:12" ht="21.75">
      <c r="A33" s="70" t="s">
        <v>42</v>
      </c>
      <c r="B33" s="6" t="s">
        <v>18</v>
      </c>
      <c r="C33" s="30">
        <v>20</v>
      </c>
      <c r="D33" s="30">
        <v>25</v>
      </c>
      <c r="E33" s="30">
        <v>20</v>
      </c>
      <c r="F33" s="30">
        <v>30</v>
      </c>
      <c r="G33" s="30">
        <v>25</v>
      </c>
      <c r="H33" s="30">
        <v>30</v>
      </c>
      <c r="I33" s="31">
        <f t="shared" si="2"/>
        <v>-18.181818181818183</v>
      </c>
      <c r="J33" s="30">
        <v>50</v>
      </c>
      <c r="K33" s="30">
        <v>55</v>
      </c>
      <c r="L33" s="32">
        <f t="shared" si="3"/>
        <v>-57.142857142857139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70</v>
      </c>
      <c r="D35" s="30">
        <v>80</v>
      </c>
      <c r="E35" s="30">
        <v>70</v>
      </c>
      <c r="F35" s="30">
        <v>82</v>
      </c>
      <c r="G35" s="30">
        <v>75</v>
      </c>
      <c r="H35" s="30">
        <v>85</v>
      </c>
      <c r="I35" s="31">
        <f t="shared" ref="I35:I50" si="4">((C35+D35)/2-(G35+H35)/2)/((G35+H35)/2)*100</f>
        <v>-6.25</v>
      </c>
      <c r="J35" s="30">
        <v>110</v>
      </c>
      <c r="K35" s="30">
        <v>115</v>
      </c>
      <c r="L35" s="32">
        <f t="shared" ref="L35:L50" si="5">((C35+D35)/2-(J35+K35)/2)/((J35+K35)/2)*100</f>
        <v>-33.333333333333329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110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80</v>
      </c>
      <c r="H37" s="30">
        <v>160</v>
      </c>
      <c r="I37" s="31">
        <f t="shared" si="4"/>
        <v>0</v>
      </c>
      <c r="J37" s="30">
        <v>200</v>
      </c>
      <c r="K37" s="30">
        <v>250</v>
      </c>
      <c r="L37" s="32">
        <f t="shared" si="5"/>
        <v>-46.666666666666664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130</v>
      </c>
      <c r="F38" s="30">
        <v>200</v>
      </c>
      <c r="G38" s="30">
        <v>160</v>
      </c>
      <c r="H38" s="30">
        <v>180</v>
      </c>
      <c r="I38" s="31">
        <f t="shared" si="4"/>
        <v>-2.9411764705882351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0" t="s">
        <v>47</v>
      </c>
      <c r="B39" s="6" t="s">
        <v>18</v>
      </c>
      <c r="C39" s="30">
        <v>220</v>
      </c>
      <c r="D39" s="30">
        <v>350</v>
      </c>
      <c r="E39" s="30">
        <v>250</v>
      </c>
      <c r="F39" s="30">
        <v>350</v>
      </c>
      <c r="G39" s="30">
        <v>240</v>
      </c>
      <c r="H39" s="30">
        <v>350</v>
      </c>
      <c r="I39" s="31">
        <f t="shared" si="4"/>
        <v>-3.3898305084745761</v>
      </c>
      <c r="J39" s="30">
        <v>300</v>
      </c>
      <c r="K39" s="30">
        <v>350</v>
      </c>
      <c r="L39" s="32">
        <f t="shared" si="5"/>
        <v>-12.307692307692308</v>
      </c>
    </row>
    <row r="40" spans="1:12" ht="21.75">
      <c r="A40" s="70" t="s">
        <v>48</v>
      </c>
      <c r="B40" s="6" t="s">
        <v>18</v>
      </c>
      <c r="C40" s="30">
        <v>320</v>
      </c>
      <c r="D40" s="30">
        <v>430</v>
      </c>
      <c r="E40" s="30">
        <v>320</v>
      </c>
      <c r="F40" s="30">
        <v>430</v>
      </c>
      <c r="G40" s="30">
        <v>300</v>
      </c>
      <c r="H40" s="30">
        <v>450</v>
      </c>
      <c r="I40" s="31">
        <f t="shared" si="4"/>
        <v>0</v>
      </c>
      <c r="J40" s="30">
        <v>400</v>
      </c>
      <c r="K40" s="30">
        <v>450</v>
      </c>
      <c r="L40" s="32">
        <f t="shared" si="5"/>
        <v>-11.76470588235294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130</v>
      </c>
      <c r="D44" s="30">
        <v>240</v>
      </c>
      <c r="E44" s="30">
        <v>140</v>
      </c>
      <c r="F44" s="30">
        <v>260</v>
      </c>
      <c r="G44" s="30">
        <v>220</v>
      </c>
      <c r="H44" s="30">
        <v>280</v>
      </c>
      <c r="I44" s="31">
        <f t="shared" si="4"/>
        <v>-26</v>
      </c>
      <c r="J44" s="30">
        <v>200</v>
      </c>
      <c r="K44" s="30">
        <v>260</v>
      </c>
      <c r="L44" s="32">
        <f t="shared" si="5"/>
        <v>-19.565217391304348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.75">
      <c r="A46" s="70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450</v>
      </c>
      <c r="K46" s="30">
        <v>500</v>
      </c>
      <c r="L46" s="32">
        <f t="shared" si="5"/>
        <v>15.789473684210526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1400</v>
      </c>
      <c r="H47" s="30">
        <v>1600</v>
      </c>
      <c r="I47" s="31">
        <f t="shared" si="4"/>
        <v>-1.6666666666666667</v>
      </c>
      <c r="J47" s="30">
        <v>1200</v>
      </c>
      <c r="K47" s="30">
        <v>1500</v>
      </c>
      <c r="L47" s="32">
        <f t="shared" si="5"/>
        <v>9.2592592592592595</v>
      </c>
    </row>
    <row r="48" spans="1:12" ht="21.75">
      <c r="A48" s="70" t="s">
        <v>56</v>
      </c>
      <c r="B48" s="6" t="s">
        <v>18</v>
      </c>
      <c r="C48" s="30">
        <v>4700</v>
      </c>
      <c r="D48" s="30">
        <v>5500</v>
      </c>
      <c r="E48" s="30">
        <v>4700</v>
      </c>
      <c r="F48" s="30">
        <v>5500</v>
      </c>
      <c r="G48" s="30">
        <v>4700</v>
      </c>
      <c r="H48" s="30">
        <v>5200</v>
      </c>
      <c r="I48" s="31">
        <f t="shared" si="4"/>
        <v>3.0303030303030303</v>
      </c>
      <c r="J48" s="30">
        <v>3200</v>
      </c>
      <c r="K48" s="30">
        <v>3600</v>
      </c>
      <c r="L48" s="32">
        <f t="shared" si="5"/>
        <v>50</v>
      </c>
    </row>
    <row r="49" spans="1:12" ht="21.75">
      <c r="A49" s="70" t="s">
        <v>57</v>
      </c>
      <c r="B49" s="6" t="s">
        <v>18</v>
      </c>
      <c r="C49" s="30">
        <v>200</v>
      </c>
      <c r="D49" s="30">
        <v>280</v>
      </c>
      <c r="E49" s="30">
        <v>220</v>
      </c>
      <c r="F49" s="30">
        <v>280</v>
      </c>
      <c r="G49" s="30">
        <v>220</v>
      </c>
      <c r="H49" s="30">
        <v>280</v>
      </c>
      <c r="I49" s="31">
        <f t="shared" si="4"/>
        <v>-4</v>
      </c>
      <c r="J49" s="30">
        <v>200</v>
      </c>
      <c r="K49" s="30">
        <v>250</v>
      </c>
      <c r="L49" s="32">
        <f t="shared" si="5"/>
        <v>6.666666666666667</v>
      </c>
    </row>
    <row r="50" spans="1:12" ht="21.75">
      <c r="A50" s="70" t="s">
        <v>58</v>
      </c>
      <c r="B50" s="6" t="s">
        <v>18</v>
      </c>
      <c r="C50" s="30">
        <v>190</v>
      </c>
      <c r="D50" s="30">
        <v>225</v>
      </c>
      <c r="E50" s="30">
        <v>200</v>
      </c>
      <c r="F50" s="30">
        <v>225</v>
      </c>
      <c r="G50" s="30">
        <v>200</v>
      </c>
      <c r="H50" s="30">
        <v>220</v>
      </c>
      <c r="I50" s="31">
        <f t="shared" si="4"/>
        <v>-1.1904761904761905</v>
      </c>
      <c r="J50" s="30">
        <v>120</v>
      </c>
      <c r="K50" s="30">
        <v>200</v>
      </c>
      <c r="L50" s="32">
        <f t="shared" si="5"/>
        <v>29.6875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800</v>
      </c>
      <c r="H53" s="30">
        <v>2000</v>
      </c>
      <c r="I53" s="31">
        <f t="shared" si="6"/>
        <v>10.714285714285714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1000</v>
      </c>
      <c r="K55" s="30">
        <v>1100</v>
      </c>
      <c r="L55" s="32">
        <f t="shared" si="7"/>
        <v>7.1428571428571423</v>
      </c>
    </row>
    <row r="56" spans="1:12" ht="21.75">
      <c r="A56" s="70" t="s">
        <v>62</v>
      </c>
      <c r="B56" s="6" t="s">
        <v>18</v>
      </c>
      <c r="C56" s="30">
        <v>170</v>
      </c>
      <c r="D56" s="30">
        <v>185</v>
      </c>
      <c r="E56" s="30">
        <v>170</v>
      </c>
      <c r="F56" s="30">
        <v>185</v>
      </c>
      <c r="G56" s="30">
        <v>160</v>
      </c>
      <c r="H56" s="30">
        <v>175</v>
      </c>
      <c r="I56" s="31">
        <f t="shared" si="6"/>
        <v>5.9701492537313428</v>
      </c>
      <c r="J56" s="30">
        <v>170</v>
      </c>
      <c r="K56" s="30">
        <v>180</v>
      </c>
      <c r="L56" s="32">
        <f t="shared" si="7"/>
        <v>1.4285714285714286</v>
      </c>
    </row>
    <row r="57" spans="1:12" ht="21.75">
      <c r="A57" s="70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7" t="s">
        <v>9</v>
      </c>
      <c r="J66" s="85" t="s">
        <v>10</v>
      </c>
      <c r="K66" s="84"/>
      <c r="L66" s="27" t="s">
        <v>11</v>
      </c>
    </row>
    <row r="67" spans="1:12" ht="18" customHeight="1">
      <c r="A67" s="74"/>
      <c r="B67" s="65"/>
      <c r="C67" s="83">
        <v>45917</v>
      </c>
      <c r="D67" s="84"/>
      <c r="E67" s="83">
        <v>45910</v>
      </c>
      <c r="F67" s="84"/>
      <c r="G67" s="83">
        <v>45886</v>
      </c>
      <c r="H67" s="84"/>
      <c r="I67" s="27" t="s">
        <v>12</v>
      </c>
      <c r="J67" s="83">
        <v>45552</v>
      </c>
      <c r="K67" s="84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110</v>
      </c>
      <c r="I69" s="31">
        <f>((C69+D69)/2-(G69+H69)/2)/((G69+H69)/2)*100</f>
        <v>2.3255813953488373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45</v>
      </c>
      <c r="H72" s="38">
        <v>50</v>
      </c>
      <c r="I72" s="31">
        <f t="shared" si="9"/>
        <v>0</v>
      </c>
      <c r="J72" s="38">
        <v>53</v>
      </c>
      <c r="K72" s="38">
        <v>55</v>
      </c>
      <c r="L72" s="32">
        <f t="shared" si="8"/>
        <v>-12.037037037037036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122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.75">
      <c r="A83" s="70" t="s">
        <v>105</v>
      </c>
      <c r="B83" s="6" t="s">
        <v>18</v>
      </c>
      <c r="C83" s="30">
        <v>60</v>
      </c>
      <c r="D83" s="30">
        <v>70</v>
      </c>
      <c r="E83" s="30">
        <v>60</v>
      </c>
      <c r="F83" s="30">
        <v>75</v>
      </c>
      <c r="G83" s="7">
        <f t="shared" ref="G83:G84" si="10">((C83+D83)/2-(E83+F83)/2)/((E83+F83)/2)*100</f>
        <v>-3.7037037037037033</v>
      </c>
      <c r="H83" s="5" t="s">
        <v>123</v>
      </c>
      <c r="I83" s="6"/>
      <c r="J83" s="6"/>
      <c r="K83" s="51"/>
      <c r="L83" s="18"/>
    </row>
    <row r="84" spans="1:12" ht="21.75">
      <c r="A84" s="5" t="s">
        <v>27</v>
      </c>
      <c r="B84" s="6" t="s">
        <v>28</v>
      </c>
      <c r="C84" s="30">
        <v>170</v>
      </c>
      <c r="D84" s="30">
        <v>175</v>
      </c>
      <c r="E84" s="30">
        <v>168</v>
      </c>
      <c r="F84" s="30">
        <v>172</v>
      </c>
      <c r="G84" s="7">
        <f t="shared" si="10"/>
        <v>1.4705882352941175</v>
      </c>
      <c r="H84" s="5" t="s">
        <v>130</v>
      </c>
      <c r="I84" s="6"/>
      <c r="J84" s="6"/>
      <c r="K84" s="51"/>
      <c r="L84" s="18"/>
    </row>
    <row r="85" spans="1:12" ht="21.75">
      <c r="A85" s="70" t="s">
        <v>33</v>
      </c>
      <c r="B85" s="6" t="s">
        <v>28</v>
      </c>
      <c r="C85" s="30">
        <v>153</v>
      </c>
      <c r="D85" s="30">
        <v>160</v>
      </c>
      <c r="E85" s="30">
        <v>153</v>
      </c>
      <c r="F85" s="30">
        <v>157</v>
      </c>
      <c r="G85" s="7">
        <f t="shared" ref="G85:G89" si="11">((C85+D85)/2-(E85+F85)/2)/((E85+F85)/2)*100</f>
        <v>0.967741935483871</v>
      </c>
      <c r="H85" s="5" t="s">
        <v>130</v>
      </c>
      <c r="I85" s="6"/>
      <c r="J85" s="6"/>
      <c r="K85" s="51"/>
      <c r="L85" s="18"/>
    </row>
    <row r="86" spans="1:12" ht="21.75">
      <c r="A86" s="70" t="s">
        <v>106</v>
      </c>
      <c r="B86" s="6" t="s">
        <v>28</v>
      </c>
      <c r="C86" s="30">
        <v>155</v>
      </c>
      <c r="D86" s="30">
        <v>165</v>
      </c>
      <c r="E86" s="30">
        <v>155</v>
      </c>
      <c r="F86" s="30">
        <v>164</v>
      </c>
      <c r="G86" s="7">
        <f t="shared" si="11"/>
        <v>0.31347962382445138</v>
      </c>
      <c r="H86" s="5" t="s">
        <v>120</v>
      </c>
      <c r="I86" s="6"/>
      <c r="J86" s="6"/>
      <c r="K86" s="51"/>
      <c r="L86" s="18"/>
    </row>
    <row r="87" spans="1:12" ht="21.75">
      <c r="A87" s="70" t="s">
        <v>41</v>
      </c>
      <c r="B87" s="6" t="s">
        <v>18</v>
      </c>
      <c r="C87" s="30">
        <v>100</v>
      </c>
      <c r="D87" s="30">
        <v>115</v>
      </c>
      <c r="E87" s="30">
        <v>95</v>
      </c>
      <c r="F87" s="30">
        <v>110</v>
      </c>
      <c r="G87" s="7">
        <f t="shared" si="11"/>
        <v>4.8780487804878048</v>
      </c>
      <c r="H87" s="5" t="s">
        <v>124</v>
      </c>
      <c r="I87" s="6"/>
      <c r="J87" s="6"/>
      <c r="K87" s="51"/>
      <c r="L87" s="18"/>
    </row>
    <row r="88" spans="1:12" ht="21.75">
      <c r="A88" s="70" t="s">
        <v>42</v>
      </c>
      <c r="B88" s="6" t="s">
        <v>18</v>
      </c>
      <c r="C88" s="30">
        <v>20</v>
      </c>
      <c r="D88" s="30">
        <v>25</v>
      </c>
      <c r="E88" s="30">
        <v>20</v>
      </c>
      <c r="F88" s="30">
        <v>30</v>
      </c>
      <c r="G88" s="7">
        <f t="shared" si="11"/>
        <v>-10</v>
      </c>
      <c r="H88" s="5" t="s">
        <v>121</v>
      </c>
      <c r="I88" s="6"/>
      <c r="J88" s="6"/>
      <c r="K88" s="51"/>
      <c r="L88" s="18"/>
    </row>
    <row r="89" spans="1:12" ht="21.75">
      <c r="A89" s="70" t="s">
        <v>90</v>
      </c>
      <c r="B89" s="6" t="s">
        <v>18</v>
      </c>
      <c r="C89" s="30">
        <v>70</v>
      </c>
      <c r="D89" s="30">
        <v>80</v>
      </c>
      <c r="E89" s="30">
        <v>70</v>
      </c>
      <c r="F89" s="30">
        <v>82</v>
      </c>
      <c r="G89" s="7">
        <f t="shared" si="11"/>
        <v>-1.3157894736842104</v>
      </c>
      <c r="H89" s="5" t="s">
        <v>121</v>
      </c>
      <c r="I89" s="6"/>
      <c r="J89" s="6"/>
      <c r="K89" s="51"/>
      <c r="L89" s="18"/>
    </row>
    <row r="90" spans="1:12" ht="21.75">
      <c r="A90" s="70" t="s">
        <v>52</v>
      </c>
      <c r="B90" s="6" t="s">
        <v>18</v>
      </c>
      <c r="C90" s="30">
        <v>130</v>
      </c>
      <c r="D90" s="30">
        <v>240</v>
      </c>
      <c r="E90" s="30">
        <v>140</v>
      </c>
      <c r="F90" s="30">
        <v>260</v>
      </c>
      <c r="G90" s="7">
        <f t="shared" ref="G90:G92" si="12">((C90+D90)/2-(E90+F90)/2)/((E90+F90)/2)*100</f>
        <v>-7.5</v>
      </c>
      <c r="H90" s="5" t="s">
        <v>121</v>
      </c>
      <c r="I90" s="6"/>
      <c r="J90" s="6"/>
      <c r="K90" s="51"/>
      <c r="L90" s="18"/>
    </row>
    <row r="91" spans="1:12" ht="21.75">
      <c r="A91" s="70" t="s">
        <v>57</v>
      </c>
      <c r="B91" s="6" t="s">
        <v>18</v>
      </c>
      <c r="C91" s="30">
        <v>200</v>
      </c>
      <c r="D91" s="30">
        <v>280</v>
      </c>
      <c r="E91" s="30">
        <v>220</v>
      </c>
      <c r="F91" s="30">
        <v>280</v>
      </c>
      <c r="G91" s="7">
        <f t="shared" si="12"/>
        <v>-4</v>
      </c>
      <c r="H91" s="5" t="s">
        <v>128</v>
      </c>
      <c r="I91" s="6"/>
      <c r="J91" s="6"/>
      <c r="K91" s="51"/>
      <c r="L91" s="18"/>
    </row>
    <row r="92" spans="1:12" ht="21.75">
      <c r="A92" s="70" t="s">
        <v>58</v>
      </c>
      <c r="B92" s="6" t="s">
        <v>18</v>
      </c>
      <c r="C92" s="30">
        <v>190</v>
      </c>
      <c r="D92" s="30">
        <v>225</v>
      </c>
      <c r="E92" s="30">
        <v>200</v>
      </c>
      <c r="F92" s="30">
        <v>225</v>
      </c>
      <c r="G92" s="7">
        <f t="shared" si="12"/>
        <v>-2.3529411764705883</v>
      </c>
      <c r="H92" s="5" t="s">
        <v>121</v>
      </c>
      <c r="I92" s="6"/>
      <c r="J92" s="6"/>
      <c r="K92" s="51"/>
      <c r="L92" s="18"/>
    </row>
    <row r="93" spans="1:12" ht="21.75">
      <c r="A93" s="73"/>
      <c r="B93" s="3"/>
      <c r="C93" s="79"/>
      <c r="D93" s="79"/>
      <c r="E93" s="79"/>
      <c r="F93" s="79"/>
      <c r="G93" s="10"/>
      <c r="H93" s="1"/>
      <c r="I93" s="3"/>
      <c r="J93" s="3"/>
      <c r="K93" s="51"/>
      <c r="L93" s="18"/>
    </row>
    <row r="94" spans="1:12" ht="24.75">
      <c r="A94" s="1"/>
      <c r="B94" s="3"/>
      <c r="C94" s="9"/>
      <c r="D94" s="9"/>
      <c r="E94" s="9"/>
      <c r="F94" s="9"/>
      <c r="G94" s="10"/>
      <c r="H94" s="1"/>
      <c r="I94" s="3"/>
      <c r="J94" s="3"/>
      <c r="K94" s="12"/>
      <c r="L94" s="12"/>
    </row>
    <row r="95" spans="1:12" ht="24.75">
      <c r="A95" s="1"/>
      <c r="B95" s="3"/>
      <c r="C95" s="9"/>
      <c r="D95" s="9"/>
      <c r="E95" s="9"/>
      <c r="F95" s="9"/>
      <c r="G95" s="10"/>
      <c r="H95" s="1"/>
      <c r="I95" s="3"/>
      <c r="J95" s="3"/>
      <c r="K95" s="12"/>
      <c r="L95" s="12"/>
    </row>
    <row r="96" spans="1:12" ht="24.75">
      <c r="A96" s="1"/>
      <c r="B96" s="14"/>
      <c r="C96" s="15"/>
      <c r="D96" s="15"/>
      <c r="E96" s="14"/>
      <c r="F96" s="15"/>
      <c r="G96" s="39"/>
      <c r="H96" s="40"/>
      <c r="I96" s="41"/>
      <c r="J96" s="41"/>
      <c r="K96" s="41"/>
      <c r="L96" s="12"/>
    </row>
    <row r="97" spans="1:12" ht="24.75">
      <c r="A97" s="1"/>
      <c r="B97" s="42"/>
      <c r="C97" s="43" t="s">
        <v>116</v>
      </c>
      <c r="D97" s="11"/>
      <c r="E97" s="42"/>
      <c r="F97" s="14"/>
      <c r="G97" s="11"/>
      <c r="H97" s="40"/>
      <c r="I97" s="13"/>
      <c r="J97" s="14" t="s">
        <v>118</v>
      </c>
      <c r="K97" s="11"/>
      <c r="L97" s="11"/>
    </row>
    <row r="98" spans="1:12" ht="24.75">
      <c r="A98" s="1"/>
      <c r="B98" s="44"/>
      <c r="C98" s="43" t="s">
        <v>117</v>
      </c>
      <c r="D98" s="14"/>
      <c r="E98" s="42"/>
      <c r="F98" s="45"/>
      <c r="G98" s="47"/>
      <c r="H98" s="47"/>
      <c r="I98" s="77"/>
      <c r="J98" s="14" t="s">
        <v>119</v>
      </c>
      <c r="K98" s="14"/>
      <c r="L98" s="14"/>
    </row>
    <row r="99" spans="1:12" ht="24.75">
      <c r="A99" s="1"/>
      <c r="B99" s="14"/>
      <c r="C99" s="15"/>
      <c r="D99" s="14"/>
      <c r="E99" s="15"/>
      <c r="F99" s="45"/>
      <c r="G99" s="47"/>
      <c r="H99" s="47"/>
      <c r="I99" s="46"/>
      <c r="J99" s="11"/>
      <c r="K99" s="11"/>
      <c r="L99" s="2"/>
    </row>
    <row r="100" spans="1:12" ht="19.5">
      <c r="A100" s="56" t="s">
        <v>93</v>
      </c>
      <c r="B100" s="54"/>
      <c r="C100" s="52"/>
      <c r="D100" s="54"/>
      <c r="E100" s="52"/>
      <c r="F100" s="52"/>
      <c r="G100" s="52"/>
      <c r="H100" s="53"/>
      <c r="I100" s="58"/>
      <c r="J100" s="2"/>
      <c r="K100" s="2"/>
      <c r="L100" s="2"/>
    </row>
    <row r="101" spans="1:12" ht="19.5">
      <c r="A101" s="55" t="s">
        <v>99</v>
      </c>
      <c r="B101" s="54"/>
      <c r="C101" s="52"/>
      <c r="D101" s="54"/>
      <c r="E101" s="52"/>
      <c r="F101" s="52"/>
      <c r="G101" s="54"/>
      <c r="H101" s="53"/>
      <c r="I101" s="58"/>
      <c r="J101" s="2"/>
      <c r="K101" s="2"/>
      <c r="L101" s="2"/>
    </row>
    <row r="102" spans="1:12" ht="19.5">
      <c r="A102" s="55" t="s">
        <v>98</v>
      </c>
      <c r="B102" s="54"/>
      <c r="C102" s="54"/>
      <c r="D102" s="54"/>
      <c r="E102" s="54"/>
      <c r="F102" s="52"/>
      <c r="G102" s="54"/>
      <c r="H102" s="53"/>
      <c r="I102" s="58"/>
      <c r="J102" s="2"/>
      <c r="K102" s="2"/>
      <c r="L102" s="2"/>
    </row>
    <row r="103" spans="1:12" ht="19.5">
      <c r="A103" s="55" t="s">
        <v>85</v>
      </c>
      <c r="B103" s="54"/>
      <c r="C103" s="54"/>
      <c r="D103" s="54"/>
      <c r="E103" s="54"/>
      <c r="F103" s="53"/>
      <c r="G103" s="53"/>
      <c r="H103" s="53"/>
      <c r="I103" s="58"/>
      <c r="J103" s="2"/>
      <c r="K103" s="2"/>
      <c r="L103" s="2"/>
    </row>
    <row r="104" spans="1:12" ht="19.5">
      <c r="A104" s="55" t="s">
        <v>97</v>
      </c>
      <c r="B104" s="54"/>
      <c r="C104" s="54"/>
      <c r="D104" s="54"/>
      <c r="E104" s="54"/>
      <c r="F104" s="54"/>
      <c r="G104" s="53"/>
      <c r="H104" s="53"/>
      <c r="I104" s="58"/>
      <c r="J104" s="2"/>
      <c r="K104" s="2"/>
      <c r="L104" s="2"/>
    </row>
    <row r="105" spans="1:12" ht="19.5">
      <c r="A105" s="55" t="s">
        <v>96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107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95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94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86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101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100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102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103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87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/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6" t="s">
        <v>88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 t="s">
        <v>89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115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114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 t="s">
        <v>113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2025-09-17T08:55:40Z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