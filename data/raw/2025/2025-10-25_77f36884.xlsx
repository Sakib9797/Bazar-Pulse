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B0C0C8CD-709F-224A-9EE8-8D154F344A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89" i="4"/>
  <c r="G88" i="4"/>
  <c r="G84" i="4"/>
  <c r="G85" i="4"/>
  <c r="G86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<sst xmlns="http://schemas.openxmlformats.org/spreadsheetml/2006/main" count="232" uniqueCount="130">
  <si>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</si>
  <si>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</si>
  <si>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</si>
  <si>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</si>
  <si>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</si>
  <si>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</si>
  <si>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</si>
  <si>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</si>
  <si>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</si>
  <si>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</si>
  <si>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</si>
  <si>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</si>
  <si>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</si>
  <si>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</si>
  <si>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</si>
  <si>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</si>
  <si>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</si>
  <si>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</si>
  <si>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</si>
  <si>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</si>
  <si>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</si>
  <si>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</si>
  <si>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</si>
  <si>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</si>
  <si>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</si>
  <si>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</si>
  <si>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</si>
  <si>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</si>
  <si>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</si>
  <si>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</si>
  <si>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</si>
  <si>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</si>
  <si>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</si>
  <si>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</si>
  <si>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</si>
  <si>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</si>
  <si>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</si>
  <si>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</si>
  <si>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</si>
  <si>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</si>
  <si>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</si>
  <si>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</si>
  <si>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</si>
  <si>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</si>
  <si>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</si>
  <si>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</si>
  <si>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</si>
  <si>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</si>
  <si>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</si>
  <si>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</si>
  <si>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</si>
  <si>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</si>
  <si>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</si>
  <si>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</si>
  <si>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</si>
  <si>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</si>
  <si>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</si>
  <si>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</si>
  <si>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</si>
  <si>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</si>
  <si>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</si>
  <si>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</si>
  <si>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</si>
  <si>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</si>
  <si>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</si>
  <si>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</si>
  <si>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</si>
  <si>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</si>
  <si>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</si>
  <si>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</si>
  <si>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</si>
  <si>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</si>
  <si>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</si>
  <si>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</si>
  <si>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</si>
  <si>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</si>
  <si>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</si>
  <si>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</si>
  <si>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</si>
  <si>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</si>
  <si>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</si>
  <si>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</si>
  <si>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</si>
  <si>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</si>
  <si>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</si>
  <si>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</si>
  <si>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</si>
  <si>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</si>
  <si>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</si>
  <si>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</si>
  <si>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</si>
  <si>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</si>
  <si>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</si>
  <si>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</si>
  <si>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</si>
  <si>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</si>
  <si>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</si>
  <si>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</si>
  <si>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</si>
  <si>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</si>
  <si>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</si>
  <si>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</si>
  <si>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</si>
  <si>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</si>
  <si>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</si>
  <si>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</si>
  <si>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</si>
  <si>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</si>
  <si>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</si>
  <si>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</si>
  <si>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</si>
  <si>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</si>
  <si>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</si>
  <si>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</si>
  <si>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</si>
  <si>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</si>
  <si>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</si>
  <si>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</si>
  <si>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</si>
  <si>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</si>
  <si>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২১-১০-২০২৫ তারিখে মূল্য বৃদ্ধি পেয়েছে।</t>
  </si>
  <si>
    <t>২৩-১০-২০২৫ তারিখে মূল্য হ্রাস পেয়েছে।</t>
  </si>
  <si>
    <t>২৩-১০-২০২৫ তারিখে মূল্য বৃদ্ধি পেয়েছে।</t>
  </si>
  <si>
    <t>(১)    সয়াবিন তেল (১লি:, ৫লি: বোতল), পাম অয়েল (লুজ)    এর মূল্য বৃদ্ধি পেয়েছে।</t>
  </si>
  <si>
    <t>স্মারক নং-২৬.০৫.০০০০.০১৭.৩১.০১.২৫-৭৬১</t>
  </si>
  <si>
    <t xml:space="preserve">শনিবার ২৫ অক্টোবর ২০২৫ খ্রিঃ, ০৯ কার্তিক ১৪৩২ বাংলা, ৩০ রবিউল সানি ১৪৪৭ হিজরি </t>
  </si>
  <si>
    <t xml:space="preserve">   সিরিয়াল নংঃ     ২৬৫</t>
  </si>
  <si>
    <t>২৫-১০-২০২৫ তারিখে মূল্য হ্রাস পেয়েছে।</t>
  </si>
  <si>
    <t>(২ )    পেঁয়াজ (দেশী), আদা  (আম), এস রড (৬০,৪০ গ্রেড)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</si>
</sst>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165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F1" zoomScale="96" zoomScaleNormal="96" workbookViewId="0">
      <selection activeCell="B79" sqref="B79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126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" x14ac:dyDescent="0.2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45955</v>
      </c>
    </row>
    <row r="7" spans="1:12" ht="21" x14ac:dyDescent="0.2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" x14ac:dyDescent="0.25">
      <c r="A8" s="25"/>
      <c r="B8" s="26"/>
      <c r="C8" s="83">
        <v>45955</v>
      </c>
      <c r="D8" s="84"/>
      <c r="E8" s="83">
        <v>45948</v>
      </c>
      <c r="F8" s="84"/>
      <c r="G8" s="83">
        <v>45925</v>
      </c>
      <c r="H8" s="84"/>
      <c r="I8" s="26" t="s">
        <v>12</v>
      </c>
      <c r="J8" s="83">
        <v>45590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" x14ac:dyDescent="0.3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62</v>
      </c>
      <c r="L11" s="31">
        <f>((C11+D11)/2-(J11+K11)/2)/((J11+K11)/2)*100</f>
        <v>11.111111111111111</v>
      </c>
    </row>
    <row r="12" spans="1:12" ht="21" x14ac:dyDescent="0.3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180</v>
      </c>
      <c r="G19" s="29">
        <v>170</v>
      </c>
      <c r="H19" s="29">
        <v>176</v>
      </c>
      <c r="I19" s="30">
        <f t="shared" ref="I19:I25" si="0">((C19+D19)/2-(G19+H19)/2)/((G19+H19)/2)*100</f>
        <v>1.7341040462427744</v>
      </c>
      <c r="J19" s="29">
        <v>155</v>
      </c>
      <c r="K19" s="29">
        <v>160</v>
      </c>
      <c r="L19" s="31">
        <f t="shared" ref="L19:L25" si="1">((C19+D19)/2-(J19+K19)/2)/((J19+K19)/2)*100</f>
        <v>11.746031746031745</v>
      </c>
    </row>
    <row r="20" spans="1:12" ht="21" x14ac:dyDescent="0.3">
      <c r="A20" s="69" t="s">
        <v>29</v>
      </c>
      <c r="B20" s="6" t="s">
        <v>30</v>
      </c>
      <c r="C20" s="29">
        <v>910</v>
      </c>
      <c r="D20" s="29">
        <v>930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1.6574585635359116</v>
      </c>
      <c r="J20" s="29">
        <v>800</v>
      </c>
      <c r="K20" s="29">
        <v>810</v>
      </c>
      <c r="L20" s="31">
        <f t="shared" si="1"/>
        <v>14.285714285714285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" x14ac:dyDescent="0.3">
      <c r="A23" s="69" t="s">
        <v>33</v>
      </c>
      <c r="B23" s="6" t="s">
        <v>28</v>
      </c>
      <c r="C23" s="29">
        <v>155</v>
      </c>
      <c r="D23" s="29">
        <v>162</v>
      </c>
      <c r="E23" s="29">
        <v>153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147</v>
      </c>
      <c r="K23" s="29">
        <v>149</v>
      </c>
      <c r="L23" s="31">
        <f t="shared" si="1"/>
        <v>7.0945945945945947</v>
      </c>
    </row>
    <row r="24" spans="1:12" ht="21" x14ac:dyDescent="0.3">
      <c r="A24" s="69" t="s">
        <v>106</v>
      </c>
      <c r="B24" s="6" t="s">
        <v>28</v>
      </c>
      <c r="C24" s="29">
        <v>158</v>
      </c>
      <c r="D24" s="29">
        <v>165</v>
      </c>
      <c r="E24" s="29">
        <v>155</v>
      </c>
      <c r="F24" s="29">
        <v>168</v>
      </c>
      <c r="G24" s="29">
        <v>155</v>
      </c>
      <c r="H24" s="29">
        <v>166</v>
      </c>
      <c r="I24" s="30">
        <f t="shared" si="0"/>
        <v>0.62305295950155759</v>
      </c>
      <c r="J24" s="29">
        <v>150</v>
      </c>
      <c r="K24" s="29">
        <v>153</v>
      </c>
      <c r="L24" s="31">
        <f t="shared" si="1"/>
        <v>6.6006600660065997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" x14ac:dyDescent="0.3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85</v>
      </c>
      <c r="G35" s="29">
        <v>70</v>
      </c>
      <c r="H35" s="29">
        <v>80</v>
      </c>
      <c r="I35" s="30">
        <f t="shared" ref="I35:I50" si="4">((C35+D35)/2-(G35+H35)/2)/((G35+H35)/2)*100</f>
        <v>0</v>
      </c>
      <c r="J35" s="29">
        <v>115</v>
      </c>
      <c r="K35" s="29">
        <v>135</v>
      </c>
      <c r="L35" s="31">
        <f t="shared" ref="L35:L50" si="5">((C35+D35)/2-(J35+K35)/2)/((J35+K35)/2)*100</f>
        <v>-40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110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" x14ac:dyDescent="0.3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-5.4054054054054053</v>
      </c>
      <c r="J40" s="29">
        <v>350</v>
      </c>
      <c r="K40" s="29">
        <v>450</v>
      </c>
      <c r="L40" s="31">
        <f t="shared" si="5"/>
        <v>-12.5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" x14ac:dyDescent="0.3">
      <c r="A43" s="69" t="s">
        <v>51</v>
      </c>
      <c r="B43" s="6" t="s">
        <v>18</v>
      </c>
      <c r="C43" s="29">
        <v>0</v>
      </c>
      <c r="D43" s="29">
        <v>0</v>
      </c>
      <c r="E43" s="29">
        <v>180</v>
      </c>
      <c r="F43" s="29">
        <v>200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52</v>
      </c>
      <c r="B44" s="6" t="s">
        <v>18</v>
      </c>
      <c r="C44" s="29">
        <v>130</v>
      </c>
      <c r="D44" s="29">
        <v>220</v>
      </c>
      <c r="E44" s="29">
        <v>130</v>
      </c>
      <c r="F44" s="29">
        <v>250</v>
      </c>
      <c r="G44" s="29">
        <v>140</v>
      </c>
      <c r="H44" s="29">
        <v>240</v>
      </c>
      <c r="I44" s="30">
        <f t="shared" si="4"/>
        <v>-7.8947368421052628</v>
      </c>
      <c r="J44" s="29">
        <v>180</v>
      </c>
      <c r="K44" s="29">
        <v>300</v>
      </c>
      <c r="L44" s="31">
        <f t="shared" si="5"/>
        <v>-27.083333333333332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" x14ac:dyDescent="0.3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" x14ac:dyDescent="0.3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780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185</v>
      </c>
      <c r="K56" s="29">
        <v>210</v>
      </c>
      <c r="L56" s="31">
        <f t="shared" si="7"/>
        <v>-10.126582278481013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3">
        <v>45955</v>
      </c>
      <c r="D67" s="84"/>
      <c r="E67" s="83">
        <v>45948</v>
      </c>
      <c r="F67" s="84"/>
      <c r="G67" s="83">
        <v>45925</v>
      </c>
      <c r="H67" s="84"/>
      <c r="I67" s="26" t="s">
        <v>12</v>
      </c>
      <c r="J67" s="83">
        <v>45590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" x14ac:dyDescent="0.3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84000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77000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 x14ac:dyDescent="0.25">
      <c r="A76" s="86" t="s">
        <v>119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5" t="s">
        <v>29</v>
      </c>
      <c r="B83" s="6" t="s">
        <v>30</v>
      </c>
      <c r="C83" s="29">
        <v>910</v>
      </c>
      <c r="D83" s="29">
        <v>930</v>
      </c>
      <c r="E83" s="29">
        <v>900</v>
      </c>
      <c r="F83" s="29">
        <v>930</v>
      </c>
      <c r="G83" s="7">
        <f t="shared" ref="G83" si="10">((C83+D83)/2-(E83+F83)/2)/((E83+F83)/2)*100</f>
        <v>0.54644808743169404</v>
      </c>
      <c r="H83" s="5" t="s">
        <v>122</v>
      </c>
      <c r="I83" s="6"/>
      <c r="J83" s="6"/>
      <c r="K83" s="50"/>
      <c r="L83" s="17"/>
    </row>
    <row r="84" spans="1:12" ht="21" x14ac:dyDescent="0.3">
      <c r="A84" s="69" t="s">
        <v>29</v>
      </c>
      <c r="B84" s="6" t="s">
        <v>32</v>
      </c>
      <c r="C84" s="29">
        <v>189</v>
      </c>
      <c r="D84" s="29">
        <v>195</v>
      </c>
      <c r="E84" s="29">
        <v>188</v>
      </c>
      <c r="F84" s="29">
        <v>195</v>
      </c>
      <c r="G84" s="7">
        <f>((C84+D84)/2-(E84+F84)/2)/((E84+F84)/2)*100</f>
        <v>0.26109660574412535</v>
      </c>
      <c r="H84" s="5" t="s">
        <v>122</v>
      </c>
      <c r="I84" s="6"/>
      <c r="J84" s="6"/>
      <c r="K84" s="50"/>
      <c r="L84" s="17"/>
    </row>
    <row r="85" spans="1:12" ht="21" x14ac:dyDescent="0.3">
      <c r="A85" s="69" t="s">
        <v>33</v>
      </c>
      <c r="B85" s="6" t="s">
        <v>28</v>
      </c>
      <c r="C85" s="29">
        <v>155</v>
      </c>
      <c r="D85" s="29">
        <v>162</v>
      </c>
      <c r="E85" s="29">
        <v>153</v>
      </c>
      <c r="F85" s="29">
        <v>162</v>
      </c>
      <c r="G85" s="7">
        <f>((C85+D85)/2-(E85+F85)/2)/((E85+F85)/2)*100</f>
        <v>0.63492063492063489</v>
      </c>
      <c r="H85" s="5" t="s">
        <v>120</v>
      </c>
      <c r="I85" s="6"/>
      <c r="J85" s="6"/>
      <c r="K85" s="11"/>
      <c r="L85" s="11"/>
    </row>
    <row r="86" spans="1:12" ht="21" x14ac:dyDescent="0.3">
      <c r="A86" s="69" t="s">
        <v>90</v>
      </c>
      <c r="B86" s="6" t="s">
        <v>18</v>
      </c>
      <c r="C86" s="29">
        <v>70</v>
      </c>
      <c r="D86" s="29">
        <v>80</v>
      </c>
      <c r="E86" s="29">
        <v>70</v>
      </c>
      <c r="F86" s="29">
        <v>85</v>
      </c>
      <c r="G86" s="7">
        <f t="shared" ref="G86" si="11">((C86+D86)/2-(E86+F86)/2)/((E86+F86)/2)*100</f>
        <v>-3.225806451612903</v>
      </c>
      <c r="H86" s="5" t="s">
        <v>121</v>
      </c>
      <c r="I86" s="6"/>
      <c r="J86" s="6"/>
      <c r="K86" s="11"/>
      <c r="L86" s="11"/>
    </row>
    <row r="87" spans="1:12" ht="23.25" x14ac:dyDescent="0.3">
      <c r="A87" s="69" t="s">
        <v>52</v>
      </c>
      <c r="B87" s="6" t="s">
        <v>18</v>
      </c>
      <c r="C87" s="29">
        <v>130</v>
      </c>
      <c r="D87" s="29">
        <v>220</v>
      </c>
      <c r="E87" s="29">
        <v>130</v>
      </c>
      <c r="F87" s="29">
        <v>250</v>
      </c>
      <c r="G87" s="7">
        <f t="shared" ref="G87:G89" si="12">((C87+D87)/2-(E87+F87)/2)/((E87+F87)/2)*100</f>
        <v>-7.8947368421052628</v>
      </c>
      <c r="H87" s="5" t="s">
        <v>127</v>
      </c>
      <c r="I87" s="6"/>
      <c r="J87" s="6"/>
      <c r="K87" s="40"/>
      <c r="L87" s="11"/>
    </row>
    <row r="88" spans="1:12" ht="23.25" x14ac:dyDescent="0.3">
      <c r="A88" s="69" t="s">
        <v>77</v>
      </c>
      <c r="B88" s="6" t="s">
        <v>78</v>
      </c>
      <c r="C88" s="29">
        <v>81000</v>
      </c>
      <c r="D88" s="29">
        <v>84000</v>
      </c>
      <c r="E88" s="29">
        <v>83500</v>
      </c>
      <c r="F88" s="29">
        <v>86000</v>
      </c>
      <c r="G88" s="7">
        <f t="shared" si="12"/>
        <v>-2.6548672566371683</v>
      </c>
      <c r="H88" s="5" t="s">
        <v>121</v>
      </c>
      <c r="I88" s="6"/>
      <c r="J88" s="6"/>
      <c r="K88" s="40"/>
      <c r="L88" s="11"/>
    </row>
    <row r="89" spans="1:12" ht="23.25" x14ac:dyDescent="0.3">
      <c r="A89" s="69" t="s">
        <v>79</v>
      </c>
      <c r="B89" s="6" t="s">
        <v>78</v>
      </c>
      <c r="C89" s="29">
        <v>75000</v>
      </c>
      <c r="D89" s="37">
        <v>77000</v>
      </c>
      <c r="E89" s="29">
        <v>76000</v>
      </c>
      <c r="F89" s="37">
        <v>79000</v>
      </c>
      <c r="G89" s="7">
        <f t="shared" si="12"/>
        <v>-1.935483870967742</v>
      </c>
      <c r="H89" s="5" t="s">
        <v>121</v>
      </c>
      <c r="I89" s="6"/>
      <c r="J89" s="6"/>
      <c r="K89" s="40"/>
      <c r="L89" s="11"/>
    </row>
    <row r="90" spans="1:12" ht="23.25" x14ac:dyDescent="0.3">
      <c r="A90" s="1"/>
      <c r="B90" s="3"/>
      <c r="C90" s="82"/>
      <c r="D90" s="82"/>
      <c r="E90" s="8"/>
      <c r="F90" s="82"/>
      <c r="G90" s="9"/>
      <c r="H90" s="1"/>
      <c r="I90" s="3"/>
      <c r="J90" s="3"/>
      <c r="K90" s="40"/>
      <c r="L90" s="11"/>
    </row>
    <row r="91" spans="1:12" ht="23.25" x14ac:dyDescent="0.3">
      <c r="A91" s="1"/>
      <c r="B91" s="3"/>
      <c r="C91" s="82"/>
      <c r="D91" s="82"/>
      <c r="E91" s="8"/>
      <c r="F91" s="82"/>
      <c r="G91" s="38"/>
      <c r="H91" s="39"/>
      <c r="I91" s="40"/>
      <c r="J91" s="40"/>
      <c r="K91" s="40"/>
      <c r="L91" s="11"/>
    </row>
    <row r="92" spans="1:12" ht="23.25" x14ac:dyDescent="0.3">
      <c r="A92" s="1"/>
      <c r="B92" s="13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3.25" x14ac:dyDescent="0.3">
      <c r="A93" s="1"/>
      <c r="B93" s="41"/>
      <c r="C93" s="42" t="s">
        <v>115</v>
      </c>
      <c r="D93" s="10"/>
      <c r="E93" s="41"/>
      <c r="F93" s="13"/>
      <c r="G93" s="10"/>
      <c r="H93" s="39"/>
      <c r="I93" s="12"/>
      <c r="J93" s="13" t="s">
        <v>117</v>
      </c>
      <c r="K93" s="10"/>
      <c r="L93" s="10"/>
    </row>
    <row r="94" spans="1:12" ht="23.25" x14ac:dyDescent="0.3">
      <c r="A94" s="1"/>
      <c r="B94" s="43"/>
      <c r="C94" s="42" t="s">
        <v>116</v>
      </c>
      <c r="D94" s="13"/>
      <c r="E94" s="41"/>
      <c r="F94" s="44"/>
      <c r="G94" s="46"/>
      <c r="H94" s="46"/>
      <c r="I94" s="76"/>
      <c r="J94" s="13" t="s">
        <v>118</v>
      </c>
      <c r="K94" s="13"/>
      <c r="L94" s="13"/>
    </row>
    <row r="95" spans="1:12" ht="23.25" x14ac:dyDescent="0.3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8.75" x14ac:dyDescent="0.25">
      <c r="A96" s="55" t="s">
        <v>93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8.75" x14ac:dyDescent="0.25">
      <c r="A97" s="54" t="s">
        <v>99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8.75" x14ac:dyDescent="0.25">
      <c r="A98" s="54" t="s">
        <v>98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85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8.75" x14ac:dyDescent="0.25">
      <c r="A100" s="54" t="s">
        <v>97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107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95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86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102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103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5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89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114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113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112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2025-10-23T10:37:58Z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