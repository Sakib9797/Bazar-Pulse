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42A5814B-B0AE-0D4D-9661-E8F2CD3DE2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0" i="4"/>
  <c r="G88" i="4"/>
  <c r="G92" i="4"/>
  <c r="G84" i="4"/>
  <c r="G89" i="4"/>
  <c r="G87" i="4"/>
  <c r="G86" i="4"/>
  <c r="G85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<sst xmlns="http://schemas.openxmlformats.org/spreadsheetml/2006/main" count="241" uniqueCount="133">
  <si>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</si>
  <si>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</si>
  <si>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</si>
  <si>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</si>
  <si>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</si>
  <si>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</si>
  <si>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</si>
  <si>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</si>
  <si>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</si>
  <si>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</si>
  <si>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</si>
  <si>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</si>
  <si>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</si>
  <si>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</si>
  <si>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</si>
  <si>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</si>
  <si>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</si>
  <si>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</si>
  <si>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</si>
  <si>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</si>
  <si>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</si>
  <si>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</si>
  <si>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</si>
  <si>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</si>
  <si>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</si>
  <si>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</si>
  <si>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</si>
  <si>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</si>
  <si>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</si>
  <si>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</si>
  <si>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</si>
  <si>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</si>
  <si>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</si>
  <si>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</si>
  <si>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</si>
  <si>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</si>
  <si>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</si>
  <si>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</si>
  <si>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</si>
  <si>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</si>
  <si>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</si>
  <si>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</si>
  <si>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</si>
  <si>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</si>
  <si>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</si>
  <si>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</si>
  <si>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</si>
  <si>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</si>
  <si>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</si>
  <si>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</si>
  <si>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</si>
  <si>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</si>
  <si>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</si>
  <si>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</si>
  <si>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</si>
  <si>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</si>
  <si>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</si>
  <si>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</si>
  <si>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</si>
  <si>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</si>
  <si>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</si>
  <si>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</si>
  <si>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</si>
  <si>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</si>
  <si>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</si>
  <si>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</si>
  <si>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</si>
  <si>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</si>
  <si>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</si>
  <si>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</si>
  <si>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</si>
  <si>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</si>
  <si>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</si>
  <si>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</si>
  <si>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</si>
  <si>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</si>
  <si>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</si>
  <si>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</si>
  <si>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</si>
  <si>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</si>
  <si>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</si>
  <si>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</si>
  <si>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</si>
  <si>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</si>
  <si>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</si>
  <si>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</si>
  <si>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</si>
  <si>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</si>
  <si>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</si>
  <si>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</si>
  <si>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</si>
  <si>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</si>
  <si>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</si>
  <si>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</si>
  <si>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</si>
  <si>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</si>
  <si>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</si>
  <si>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</si>
  <si>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</si>
  <si>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</si>
  <si>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</si>
  <si>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</si>
  <si>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</si>
  <si>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</si>
  <si>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</si>
  <si>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</si>
  <si>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</si>
  <si>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</si>
  <si>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</si>
  <si>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</si>
  <si>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</si>
  <si>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</si>
  <si>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</si>
  <si>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</si>
  <si>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</si>
  <si>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</si>
  <si>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</si>
  <si>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</si>
  <si>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</si>
  <si>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</si>
  <si>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</si>
  <si>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</si>
  <si>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১৫-১০-২০২৫ তারিখে মূল্য হ্রাস পেয়েছে।</t>
  </si>
  <si>
    <t>১৬-১০-২০২৫ তারিখে মূল্য বৃদ্ধি পেয়েছে।</t>
  </si>
  <si>
    <t>১৬-১০-২০২৫ তারিখে মূল্য হ্রাস পেয়েছে।</t>
  </si>
  <si>
    <t>স্মারক নং-২৬.০৫.০০০০.০১৭.৩১.০১.২৫-৭৪০</t>
  </si>
  <si>
    <t xml:space="preserve">শনিবার ১৮ অক্টোবর ২০২৫ খ্রিঃ, ০২ কার্তিক ১৪৩২ বাংলা, ২৩ রবিউল সানি ১৪৪৭ হিজরি </t>
  </si>
  <si>
    <t xml:space="preserve">   সিরিয়াল নংঃ     ২৫৮</t>
  </si>
  <si>
    <t>১৭-১০-২০২৫ তারিখে মূল্য হ্রাস পেয়েছে।</t>
  </si>
  <si>
    <t>(১)     সয়াবিন তেল (লুজ, ১লি:,২লি:,৫লি: বোতল), পাম অয়েল (লুজ, সুপার)    এর মূল্য বৃদ্ধি পেয়েছে।</t>
  </si>
  <si>
    <t>(২ )    ছোলা, আদা (আম), ডিম, 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</si>
</sst>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J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45948</v>
      </c>
    </row>
    <row r="7" spans="1:12" ht="21" x14ac:dyDescent="0.2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" x14ac:dyDescent="0.25">
      <c r="A8" s="25"/>
      <c r="B8" s="26"/>
      <c r="C8" s="83">
        <v>45948</v>
      </c>
      <c r="D8" s="84"/>
      <c r="E8" s="83">
        <v>45941</v>
      </c>
      <c r="F8" s="84"/>
      <c r="G8" s="83">
        <v>45918</v>
      </c>
      <c r="H8" s="84"/>
      <c r="I8" s="26" t="s">
        <v>12</v>
      </c>
      <c r="J8" s="83">
        <v>45583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54</v>
      </c>
      <c r="K11" s="29">
        <v>62</v>
      </c>
      <c r="L11" s="31">
        <f>((C11+D11)/2-(J11+K11)/2)/((J11+K11)/2)*100</f>
        <v>12.068965517241379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48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52</v>
      </c>
      <c r="K16" s="29">
        <v>60</v>
      </c>
      <c r="L16" s="31">
        <f>((C16+D16)/2-(J16+K16)/2)/((J16+K16)/2)*100</f>
        <v>7.1428571428571423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170</v>
      </c>
      <c r="H19" s="29">
        <v>175</v>
      </c>
      <c r="I19" s="30">
        <f t="shared" ref="I19:I25" si="0">((C19+D19)/2-(G19+H19)/2)/((G19+H19)/2)*100</f>
        <v>2.0289855072463765</v>
      </c>
      <c r="J19" s="29">
        <v>152</v>
      </c>
      <c r="K19" s="29">
        <v>156</v>
      </c>
      <c r="L19" s="31">
        <f t="shared" ref="L19:L25" si="1">((C19+D19)/2-(J19+K19)/2)/((J19+K19)/2)*100</f>
        <v>14.285714285714285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930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" x14ac:dyDescent="0.3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167</v>
      </c>
      <c r="L22" s="31">
        <f t="shared" si="1"/>
        <v>15.361445783132529</v>
      </c>
    </row>
    <row r="23" spans="1:12" ht="21" x14ac:dyDescent="0.3">
      <c r="A23" s="69" t="s">
        <v>33</v>
      </c>
      <c r="B23" s="6" t="s">
        <v>28</v>
      </c>
      <c r="C23" s="29">
        <v>153</v>
      </c>
      <c r="D23" s="29">
        <v>162</v>
      </c>
      <c r="E23" s="29">
        <v>153</v>
      </c>
      <c r="F23" s="29">
        <v>160</v>
      </c>
      <c r="G23" s="29">
        <v>153</v>
      </c>
      <c r="H23" s="29">
        <v>160</v>
      </c>
      <c r="I23" s="30">
        <f t="shared" si="0"/>
        <v>0.63897763578274758</v>
      </c>
      <c r="J23" s="29">
        <v>145</v>
      </c>
      <c r="K23" s="29">
        <v>146</v>
      </c>
      <c r="L23" s="31">
        <f t="shared" si="1"/>
        <v>8.2474226804123703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168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0.9375</v>
      </c>
      <c r="J24" s="29">
        <v>147</v>
      </c>
      <c r="K24" s="29">
        <v>151</v>
      </c>
      <c r="L24" s="31">
        <f t="shared" si="1"/>
        <v>8.3892617449664435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" x14ac:dyDescent="0.3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70</v>
      </c>
      <c r="D35" s="29">
        <v>85</v>
      </c>
      <c r="E35" s="29">
        <v>75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3.3333333333333335</v>
      </c>
      <c r="J35" s="29">
        <v>110</v>
      </c>
      <c r="K35" s="29">
        <v>120</v>
      </c>
      <c r="L35" s="31">
        <f t="shared" ref="L35:L50" si="5">((C35+D35)/2-(J35+K35)/2)/((J35+K35)/2)*100</f>
        <v>-32.608695652173914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95</v>
      </c>
      <c r="K36" s="29">
        <v>105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135</v>
      </c>
      <c r="I37" s="30">
        <f t="shared" si="4"/>
        <v>2.1276595744680851</v>
      </c>
      <c r="J37" s="29">
        <v>220</v>
      </c>
      <c r="K37" s="29">
        <v>240</v>
      </c>
      <c r="L37" s="31">
        <f t="shared" si="5"/>
        <v>-47.826086956521742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" x14ac:dyDescent="0.3">
      <c r="A43" s="69" t="s">
        <v>51</v>
      </c>
      <c r="B43" s="6" t="s">
        <v>18</v>
      </c>
      <c r="C43" s="29">
        <v>180</v>
      </c>
      <c r="D43" s="29">
        <v>200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-60</v>
      </c>
    </row>
    <row r="44" spans="1:12" ht="21" x14ac:dyDescent="0.3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220</v>
      </c>
      <c r="I44" s="30">
        <f t="shared" si="4"/>
        <v>8.5714285714285712</v>
      </c>
      <c r="J44" s="29">
        <v>200</v>
      </c>
      <c r="K44" s="29">
        <v>280</v>
      </c>
      <c r="L44" s="31">
        <f t="shared" si="5"/>
        <v>-20.833333333333336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540</v>
      </c>
      <c r="L46" s="31">
        <f t="shared" si="5"/>
        <v>5.8823529411764701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260</v>
      </c>
      <c r="L49" s="31">
        <f t="shared" si="5"/>
        <v>4.3478260869565215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" x14ac:dyDescent="0.3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780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-1.2903225806451613</v>
      </c>
      <c r="J54" s="29">
        <v>650</v>
      </c>
      <c r="K54" s="29">
        <v>800</v>
      </c>
      <c r="L54" s="31">
        <f t="shared" si="7"/>
        <v>5.5172413793103452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3">
        <v>45948</v>
      </c>
      <c r="D67" s="84"/>
      <c r="E67" s="83">
        <v>45941</v>
      </c>
      <c r="F67" s="84"/>
      <c r="G67" s="83">
        <v>45918</v>
      </c>
      <c r="H67" s="84"/>
      <c r="I67" s="26" t="s">
        <v>12</v>
      </c>
      <c r="J67" s="83">
        <v>45583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127</v>
      </c>
      <c r="K69" s="29">
        <v>135</v>
      </c>
      <c r="L69" s="31">
        <f t="shared" ref="L69:L75" si="8">((C69+D69)/2-(J69+K69)/2)/((J69+K69)/2)*100</f>
        <v>-19.847328244274809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45</v>
      </c>
      <c r="D72" s="37">
        <v>50</v>
      </c>
      <c r="E72" s="37">
        <v>48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50</v>
      </c>
      <c r="K72" s="37">
        <v>55</v>
      </c>
      <c r="L72" s="31">
        <f t="shared" si="8"/>
        <v>-9.5238095238095237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" x14ac:dyDescent="0.3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36" customHeight="1" x14ac:dyDescent="0.25">
      <c r="A76" s="86" t="s">
        <v>121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119</v>
      </c>
      <c r="I83" s="6"/>
      <c r="J83" s="6"/>
      <c r="K83" s="50"/>
      <c r="L83" s="17"/>
    </row>
    <row r="84" spans="1:12" ht="21" x14ac:dyDescent="0.3">
      <c r="A84" s="5" t="s">
        <v>29</v>
      </c>
      <c r="B84" s="6" t="s">
        <v>30</v>
      </c>
      <c r="C84" s="29">
        <v>900</v>
      </c>
      <c r="D84" s="29">
        <v>930</v>
      </c>
      <c r="E84" s="29">
        <v>890</v>
      </c>
      <c r="F84" s="29">
        <v>920</v>
      </c>
      <c r="G84" s="7">
        <f t="shared" si="10"/>
        <v>1.1049723756906076</v>
      </c>
      <c r="H84" s="5" t="s">
        <v>123</v>
      </c>
      <c r="I84" s="6"/>
      <c r="J84" s="6"/>
      <c r="K84" s="50"/>
      <c r="L84" s="17"/>
    </row>
    <row r="85" spans="1:12" ht="21" x14ac:dyDescent="0.3">
      <c r="A85" s="69" t="s">
        <v>29</v>
      </c>
      <c r="B85" s="6" t="s">
        <v>31</v>
      </c>
      <c r="C85" s="29">
        <v>375</v>
      </c>
      <c r="D85" s="29">
        <v>385</v>
      </c>
      <c r="E85" s="29">
        <v>375</v>
      </c>
      <c r="F85" s="29">
        <v>380</v>
      </c>
      <c r="G85" s="7">
        <f t="shared" si="10"/>
        <v>0.66225165562913912</v>
      </c>
      <c r="H85" s="5" t="s">
        <v>119</v>
      </c>
      <c r="I85" s="6"/>
      <c r="J85" s="6"/>
      <c r="K85" s="50"/>
      <c r="L85" s="17"/>
    </row>
    <row r="86" spans="1:12" ht="21" x14ac:dyDescent="0.3">
      <c r="A86" s="69" t="s">
        <v>29</v>
      </c>
      <c r="B86" s="6" t="s">
        <v>32</v>
      </c>
      <c r="C86" s="29">
        <v>188</v>
      </c>
      <c r="D86" s="29">
        <v>195</v>
      </c>
      <c r="E86" s="29">
        <v>188</v>
      </c>
      <c r="F86" s="29">
        <v>190</v>
      </c>
      <c r="G86" s="7">
        <f t="shared" si="10"/>
        <v>1.3227513227513228</v>
      </c>
      <c r="H86" s="5" t="s">
        <v>120</v>
      </c>
      <c r="I86" s="6"/>
      <c r="J86" s="6"/>
      <c r="K86" s="11"/>
      <c r="L86" s="11"/>
    </row>
    <row r="87" spans="1:12" ht="21" x14ac:dyDescent="0.3">
      <c r="A87" s="69" t="s">
        <v>33</v>
      </c>
      <c r="B87" s="6" t="s">
        <v>28</v>
      </c>
      <c r="C87" s="29">
        <v>153</v>
      </c>
      <c r="D87" s="29">
        <v>162</v>
      </c>
      <c r="E87" s="29">
        <v>153</v>
      </c>
      <c r="F87" s="29">
        <v>160</v>
      </c>
      <c r="G87" s="7">
        <f t="shared" ref="G87:G92" si="11">((C87+D87)/2-(E87+F87)/2)/((E87+F87)/2)*100</f>
        <v>0.63897763578274758</v>
      </c>
      <c r="H87" s="5" t="s">
        <v>119</v>
      </c>
      <c r="I87" s="6"/>
      <c r="J87" s="6"/>
      <c r="K87" s="11"/>
      <c r="L87" s="11"/>
    </row>
    <row r="88" spans="1:12" ht="21" x14ac:dyDescent="0.3">
      <c r="A88" s="69" t="s">
        <v>106</v>
      </c>
      <c r="B88" s="6" t="s">
        <v>28</v>
      </c>
      <c r="C88" s="29">
        <v>155</v>
      </c>
      <c r="D88" s="29">
        <v>168</v>
      </c>
      <c r="E88" s="29">
        <v>155</v>
      </c>
      <c r="F88" s="29">
        <v>166</v>
      </c>
      <c r="G88" s="7">
        <f t="shared" si="11"/>
        <v>0.62305295950155759</v>
      </c>
      <c r="H88" s="5" t="s">
        <v>123</v>
      </c>
      <c r="I88" s="6"/>
      <c r="J88" s="6"/>
      <c r="K88" s="11"/>
      <c r="L88" s="11"/>
    </row>
    <row r="89" spans="1:12" ht="21" x14ac:dyDescent="0.3">
      <c r="A89" s="69" t="s">
        <v>41</v>
      </c>
      <c r="B89" s="6" t="s">
        <v>18</v>
      </c>
      <c r="C89" s="29">
        <v>100</v>
      </c>
      <c r="D89" s="29">
        <v>110</v>
      </c>
      <c r="E89" s="29">
        <v>100</v>
      </c>
      <c r="F89" s="29">
        <v>115</v>
      </c>
      <c r="G89" s="7">
        <f t="shared" si="11"/>
        <v>-2.3255813953488373</v>
      </c>
      <c r="H89" s="5" t="s">
        <v>122</v>
      </c>
      <c r="I89" s="6"/>
      <c r="J89" s="6"/>
      <c r="K89" s="11"/>
      <c r="L89" s="11"/>
    </row>
    <row r="90" spans="1:12" ht="21" x14ac:dyDescent="0.3">
      <c r="A90" s="69" t="s">
        <v>52</v>
      </c>
      <c r="B90" s="6" t="s">
        <v>18</v>
      </c>
      <c r="C90" s="29">
        <v>130</v>
      </c>
      <c r="D90" s="29">
        <v>250</v>
      </c>
      <c r="E90" s="29">
        <v>140</v>
      </c>
      <c r="F90" s="29">
        <v>250</v>
      </c>
      <c r="G90" s="7">
        <f>((C90+D90)/2-(E90+F90)/2)/((E90+F90)/2)*100</f>
        <v>-2.5641025641025639</v>
      </c>
      <c r="H90" s="5" t="s">
        <v>124</v>
      </c>
      <c r="I90" s="6"/>
      <c r="J90" s="6"/>
      <c r="K90" s="11"/>
      <c r="L90" s="11"/>
    </row>
    <row r="91" spans="1:12" ht="23.25" x14ac:dyDescent="0.3">
      <c r="A91" s="69" t="s">
        <v>73</v>
      </c>
      <c r="B91" s="6" t="s">
        <v>74</v>
      </c>
      <c r="C91" s="37">
        <v>45</v>
      </c>
      <c r="D91" s="37">
        <v>50</v>
      </c>
      <c r="E91" s="37">
        <v>48</v>
      </c>
      <c r="F91" s="37">
        <v>50</v>
      </c>
      <c r="G91" s="7">
        <f t="shared" si="11"/>
        <v>-3.0612244897959182</v>
      </c>
      <c r="H91" s="5" t="s">
        <v>128</v>
      </c>
      <c r="I91" s="6"/>
      <c r="J91" s="6"/>
      <c r="K91" s="40"/>
      <c r="L91" s="11"/>
    </row>
    <row r="92" spans="1:12" ht="23.25" x14ac:dyDescent="0.3">
      <c r="A92" s="5" t="s">
        <v>71</v>
      </c>
      <c r="B92" s="6" t="s">
        <v>18</v>
      </c>
      <c r="C92" s="29">
        <v>100</v>
      </c>
      <c r="D92" s="29">
        <v>110</v>
      </c>
      <c r="E92" s="29">
        <v>105</v>
      </c>
      <c r="F92" s="29">
        <v>115</v>
      </c>
      <c r="G92" s="7">
        <f t="shared" si="11"/>
        <v>-4.5454545454545459</v>
      </c>
      <c r="H92" s="5" t="s">
        <v>124</v>
      </c>
      <c r="I92" s="6"/>
      <c r="J92" s="6"/>
      <c r="K92" s="40"/>
      <c r="L92" s="11"/>
    </row>
    <row r="93" spans="1:12" ht="23.25" x14ac:dyDescent="0.3">
      <c r="A93" s="1"/>
      <c r="B93" s="3"/>
      <c r="C93" s="82"/>
      <c r="D93" s="82"/>
      <c r="E93" s="8"/>
      <c r="F93" s="82"/>
      <c r="G93" s="9"/>
      <c r="H93" s="1"/>
      <c r="I93" s="3"/>
      <c r="J93" s="3"/>
      <c r="K93" s="40"/>
      <c r="L93" s="11"/>
    </row>
    <row r="94" spans="1:12" ht="23.25" x14ac:dyDescent="0.3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3.25" x14ac:dyDescent="0.3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3.25" x14ac:dyDescent="0.3">
      <c r="A96" s="1"/>
      <c r="B96" s="41"/>
      <c r="C96" s="42" t="s">
        <v>115</v>
      </c>
      <c r="D96" s="10"/>
      <c r="E96" s="41"/>
      <c r="F96" s="13"/>
      <c r="G96" s="10"/>
      <c r="H96" s="39"/>
      <c r="I96" s="12"/>
      <c r="J96" s="13" t="s">
        <v>117</v>
      </c>
      <c r="K96" s="10"/>
      <c r="L96" s="10"/>
    </row>
    <row r="97" spans="1:12" ht="23.25" x14ac:dyDescent="0.3">
      <c r="A97" s="1"/>
      <c r="B97" s="43"/>
      <c r="C97" s="42" t="s">
        <v>116</v>
      </c>
      <c r="D97" s="13"/>
      <c r="E97" s="41"/>
      <c r="F97" s="44"/>
      <c r="G97" s="46"/>
      <c r="H97" s="46"/>
      <c r="I97" s="76"/>
      <c r="J97" s="13" t="s">
        <v>118</v>
      </c>
      <c r="K97" s="13"/>
      <c r="L97" s="13"/>
    </row>
    <row r="98" spans="1:12" ht="23.25" x14ac:dyDescent="0.3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8.75" x14ac:dyDescent="0.25">
      <c r="A99" s="55" t="s">
        <v>93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8.75" x14ac:dyDescent="0.25">
      <c r="A100" s="54" t="s">
        <v>99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98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85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97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8.75" x14ac:dyDescent="0.25">
      <c r="A104" s="54" t="s">
        <v>96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107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94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86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103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5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89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114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113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8.75" x14ac:dyDescent="0.25">
      <c r="A119" s="54" t="s">
        <v>112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2025-10-16T09:32:25Z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