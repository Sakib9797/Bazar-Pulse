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7996F9EE-3359-4F0B-9194-E42150729E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5" i="4"/>
  <c r="G84" i="4"/>
  <c r="G91" i="4"/>
  <c r="G94" i="4"/>
  <c r="G93" i="4"/>
  <c r="G92" i="4"/>
  <c r="G90" i="4"/>
  <c r="G89" i="4"/>
  <c r="G83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<sst xmlns="http://schemas.openxmlformats.org/spreadsheetml/2006/main" count="247" uniqueCount="130">
  <si>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</si>
  <si>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</si>
  <si>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</si>
  <si>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</si>
  <si>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</si>
  <si>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</si>
  <si>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</si>
  <si>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</si>
  <si>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</si>
  <si>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</si>
  <si>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</si>
  <si>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</si>
  <si>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</si>
  <si>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</si>
  <si>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</si>
  <si>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</si>
  <si>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</si>
  <si>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</si>
  <si>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</si>
  <si>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</si>
  <si>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</si>
  <si>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</si>
  <si>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</si>
  <si>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</si>
  <si>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</si>
  <si>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</si>
  <si>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</si>
  <si>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</si>
  <si>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</si>
  <si>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</si>
  <si>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</si>
  <si>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</si>
  <si>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</si>
  <si>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</si>
  <si>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</si>
  <si>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</si>
  <si>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</si>
  <si>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</si>
  <si>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</si>
  <si>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</si>
  <si>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</si>
  <si>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</si>
  <si>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</si>
  <si>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</si>
  <si>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</si>
  <si>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</si>
  <si>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</si>
  <si>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</si>
  <si>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</si>
  <si>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</si>
  <si>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</si>
  <si>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</si>
  <si>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</si>
  <si>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</si>
  <si>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</si>
  <si>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</si>
  <si>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</si>
  <si>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</si>
  <si>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</si>
  <si>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</si>
  <si>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</si>
  <si>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</si>
  <si>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</si>
  <si>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</si>
  <si>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</si>
  <si>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</si>
  <si>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</si>
  <si>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</si>
  <si>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</si>
  <si>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</si>
  <si>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</si>
  <si>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</si>
  <si>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</si>
  <si>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</si>
  <si>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</si>
  <si>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</si>
  <si>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</si>
  <si>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</si>
  <si>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</si>
  <si>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</si>
  <si>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</si>
  <si>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</si>
  <si>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</si>
  <si>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</si>
  <si>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</si>
  <si>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</si>
  <si>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</si>
  <si>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</si>
  <si>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</si>
  <si>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</si>
  <si>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</si>
  <si>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</si>
  <si>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</si>
  <si>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</si>
  <si>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</si>
  <si>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</si>
  <si>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</si>
  <si>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</si>
  <si>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</si>
  <si>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</si>
  <si>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</si>
  <si>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</si>
  <si>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</si>
  <si>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</si>
  <si>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</si>
  <si>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</si>
  <si>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</si>
  <si>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</si>
  <si>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</si>
  <si>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</si>
  <si>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</si>
  <si>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</si>
  <si>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</si>
  <si>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</si>
  <si>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</si>
  <si>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</si>
  <si>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</si>
  <si>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</si>
  <si>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</si>
  <si>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</si>
  <si>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</si>
  <si>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০২-১১-২০২৫ তারিখে মূল্য বৃদ্ধি পেয়েছে।</t>
  </si>
  <si>
    <t>০২-১১-২০২৫ তারিখে মূল্য হ্রাস পেয়েছে।</t>
  </si>
  <si>
    <t>স্মারক নং-২৬.০৫.০০০০.০১৭.৩১.০১.২৫-৭৮৫</t>
  </si>
  <si>
    <t xml:space="preserve">সোমবার ০৩ নভেম্বর ২০২৫ খ্রিঃ, ১৮ কার্তিক ১৪৩২ বাংলা, ১১ জমা-আউ ১৪৪৭ হিজরি </t>
  </si>
  <si>
    <t xml:space="preserve">   সিরিয়াল নংঃ     ২৭৪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</si>
  <si>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</si>
  <si>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</si>
  <si>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(১)    পেঁয়াজ (দেশী), রশুন (আম), এমএস রড (৬০,৪০ গ্রেড)    এর মূল্য বৃদ্ধি পেয়েছে।</t>
  </si>
  <si>
    <t>(২ )   চাল (সরু,মাঝারী, মোটা), আটা (প্যা:), সয়াবিন তেল (লুজ, ৫লি: বোতল), মুরগী ব্রয়লার,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</si>
</sst>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="96" zoomScaleNormal="96" workbookViewId="0">
      <selection activeCell="B96" sqref="B9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45964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45964</v>
      </c>
      <c r="D8" s="84"/>
      <c r="E8" s="83">
        <v>45957</v>
      </c>
      <c r="F8" s="84"/>
      <c r="G8" s="83">
        <v>45933</v>
      </c>
      <c r="H8" s="84"/>
      <c r="I8" s="26" t="s">
        <v>12</v>
      </c>
      <c r="J8" s="83">
        <v>45599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158</v>
      </c>
      <c r="K19" s="29">
        <v>160</v>
      </c>
      <c r="L19" s="31">
        <f t="shared" ref="L19:L25" si="1">((C19+D19)/2-(J19+K19)/2)/((J19+K19)/2)*100</f>
        <v>10.062893081761008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910</v>
      </c>
      <c r="F20" s="29">
        <v>925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150</v>
      </c>
      <c r="L23" s="31">
        <f t="shared" si="1"/>
        <v>6.375838926174497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154</v>
      </c>
      <c r="L24" s="31">
        <f t="shared" si="1"/>
        <v>5.9016393442622954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60</v>
      </c>
      <c r="K33" s="29">
        <v>65</v>
      </c>
      <c r="L33" s="31">
        <f t="shared" si="3"/>
        <v>-64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95</v>
      </c>
      <c r="D35" s="29">
        <v>105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37.931034482758619</v>
      </c>
      <c r="J35" s="29">
        <v>130</v>
      </c>
      <c r="K35" s="29">
        <v>150</v>
      </c>
      <c r="L35" s="31">
        <f t="shared" ref="L35:L50" si="5">((C35+D35)/2-(J35+K35)/2)/((J35+K35)/2)*100</f>
        <v>-28.571428571428569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150</v>
      </c>
      <c r="D38" s="29">
        <v>200</v>
      </c>
      <c r="E38" s="29">
        <v>130</v>
      </c>
      <c r="F38" s="29">
        <v>200</v>
      </c>
      <c r="G38" s="29">
        <v>150</v>
      </c>
      <c r="H38" s="29">
        <v>200</v>
      </c>
      <c r="I38" s="30">
        <f t="shared" si="4"/>
        <v>0</v>
      </c>
      <c r="J38" s="29">
        <v>200</v>
      </c>
      <c r="K38" s="29">
        <v>230</v>
      </c>
      <c r="L38" s="31">
        <f t="shared" si="5"/>
        <v>-18.604651162790699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240</v>
      </c>
      <c r="I44" s="30">
        <f t="shared" si="4"/>
        <v>-5.1282051282051277</v>
      </c>
      <c r="J44" s="29">
        <v>150</v>
      </c>
      <c r="K44" s="29">
        <v>300</v>
      </c>
      <c r="L44" s="31">
        <f t="shared" si="5"/>
        <v>-17.777777777777779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-16.129032258064516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180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45964</v>
      </c>
      <c r="D67" s="84"/>
      <c r="E67" s="83">
        <v>45957</v>
      </c>
      <c r="F67" s="84"/>
      <c r="G67" s="83">
        <v>45933</v>
      </c>
      <c r="H67" s="84"/>
      <c r="I67" s="26" t="s">
        <v>12</v>
      </c>
      <c r="J67" s="83">
        <v>45599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52</v>
      </c>
      <c r="L72" s="31">
        <f t="shared" si="8"/>
        <v>-7.0000000000000009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0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6" si="10">((C83+D83)/2-(E83+F83)/2)/((E83+F83)/2)*100</f>
        <v>-1.875</v>
      </c>
      <c r="H83" s="5" t="s">
        <v>122</v>
      </c>
      <c r="I83" s="6"/>
      <c r="J83" s="6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si="10"/>
        <v>-1.5384615384615385</v>
      </c>
      <c r="H84" s="5" t="s">
        <v>126</v>
      </c>
      <c r="I84" s="6"/>
      <c r="J84" s="6"/>
      <c r="K84" s="50"/>
      <c r="L84" s="17"/>
    </row>
    <row r="85" spans="1:12" ht="21.75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126</v>
      </c>
      <c r="I85" s="6"/>
      <c r="J85" s="6"/>
      <c r="K85" s="50"/>
      <c r="L85" s="17"/>
    </row>
    <row r="86" spans="1:12" ht="21.75">
      <c r="A86" s="69" t="s">
        <v>22</v>
      </c>
      <c r="B86" s="6" t="s">
        <v>23</v>
      </c>
      <c r="C86" s="29">
        <v>55</v>
      </c>
      <c r="D86" s="29">
        <v>62</v>
      </c>
      <c r="E86" s="29">
        <v>55</v>
      </c>
      <c r="F86" s="29">
        <v>65</v>
      </c>
      <c r="G86" s="7">
        <f t="shared" si="10"/>
        <v>-2.5</v>
      </c>
      <c r="H86" s="5" t="s">
        <v>117</v>
      </c>
      <c r="I86" s="6"/>
      <c r="J86" s="6"/>
      <c r="K86" s="50"/>
      <c r="L86" s="17"/>
    </row>
    <row r="87" spans="1:12" ht="21.75">
      <c r="A87" s="69" t="s">
        <v>27</v>
      </c>
      <c r="B87" s="6" t="s">
        <v>28</v>
      </c>
      <c r="C87" s="29">
        <v>170</v>
      </c>
      <c r="D87" s="29">
        <v>180</v>
      </c>
      <c r="E87" s="29">
        <v>172</v>
      </c>
      <c r="F87" s="29">
        <v>180</v>
      </c>
      <c r="G87" s="7">
        <f t="shared" ref="G87:G94" si="11">((C87+D87)/2-(E87+F87)/2)/((E87+F87)/2)*100</f>
        <v>-0.56818181818181823</v>
      </c>
      <c r="H87" s="5" t="s">
        <v>117</v>
      </c>
      <c r="I87" s="6"/>
      <c r="J87" s="6"/>
      <c r="K87" s="50"/>
      <c r="L87" s="17"/>
    </row>
    <row r="88" spans="1:12" ht="21.75">
      <c r="A88" s="69" t="s">
        <v>29</v>
      </c>
      <c r="B88" s="6" t="s">
        <v>30</v>
      </c>
      <c r="C88" s="29">
        <v>900</v>
      </c>
      <c r="D88" s="29">
        <v>930</v>
      </c>
      <c r="E88" s="29">
        <v>910</v>
      </c>
      <c r="F88" s="29">
        <v>925</v>
      </c>
      <c r="G88" s="7">
        <f>((C88+D88)/2-(E88+F88)/2)/((E88+F88)/2)*100</f>
        <v>-0.27247956403269752</v>
      </c>
      <c r="H88" s="5" t="s">
        <v>126</v>
      </c>
      <c r="I88" s="6"/>
      <c r="J88" s="6"/>
      <c r="K88" s="50"/>
      <c r="L88" s="17"/>
    </row>
    <row r="89" spans="1:12" ht="21.75">
      <c r="A89" s="69" t="s">
        <v>90</v>
      </c>
      <c r="B89" s="6" t="s">
        <v>18</v>
      </c>
      <c r="C89" s="29">
        <v>95</v>
      </c>
      <c r="D89" s="29">
        <v>105</v>
      </c>
      <c r="E89" s="29">
        <v>70</v>
      </c>
      <c r="F89" s="29">
        <v>80</v>
      </c>
      <c r="G89" s="7">
        <f t="shared" si="11"/>
        <v>33.333333333333329</v>
      </c>
      <c r="H89" s="5" t="s">
        <v>121</v>
      </c>
      <c r="I89" s="6"/>
      <c r="J89" s="6"/>
      <c r="K89" s="11"/>
      <c r="L89" s="11"/>
    </row>
    <row r="90" spans="1:12" ht="21.75">
      <c r="A90" s="69" t="s">
        <v>46</v>
      </c>
      <c r="B90" s="6" t="s">
        <v>18</v>
      </c>
      <c r="C90" s="29">
        <v>150</v>
      </c>
      <c r="D90" s="29">
        <v>200</v>
      </c>
      <c r="E90" s="29">
        <v>130</v>
      </c>
      <c r="F90" s="29">
        <v>200</v>
      </c>
      <c r="G90" s="7">
        <f t="shared" si="11"/>
        <v>6.0606060606060606</v>
      </c>
      <c r="H90" s="5" t="s">
        <v>121</v>
      </c>
      <c r="I90" s="6"/>
      <c r="J90" s="6"/>
      <c r="K90" s="11"/>
      <c r="L90" s="11"/>
    </row>
    <row r="91" spans="1:12" ht="21.75">
      <c r="A91" s="69" t="s">
        <v>62</v>
      </c>
      <c r="B91" s="6" t="s">
        <v>18</v>
      </c>
      <c r="C91" s="29">
        <v>170</v>
      </c>
      <c r="D91" s="29">
        <v>185</v>
      </c>
      <c r="E91" s="29">
        <v>180</v>
      </c>
      <c r="F91" s="29">
        <v>185</v>
      </c>
      <c r="G91" s="7">
        <f t="shared" si="11"/>
        <v>-2.7397260273972601</v>
      </c>
      <c r="H91" s="5" t="s">
        <v>126</v>
      </c>
      <c r="I91" s="6"/>
      <c r="J91" s="6"/>
      <c r="K91" s="11"/>
      <c r="L91" s="11"/>
    </row>
    <row r="92" spans="1:12" ht="24.75">
      <c r="A92" s="5" t="s">
        <v>73</v>
      </c>
      <c r="B92" s="6" t="s">
        <v>74</v>
      </c>
      <c r="C92" s="37">
        <v>43</v>
      </c>
      <c r="D92" s="37">
        <v>50</v>
      </c>
      <c r="E92" s="26">
        <v>45</v>
      </c>
      <c r="F92" s="37">
        <v>50</v>
      </c>
      <c r="G92" s="7">
        <f t="shared" si="11"/>
        <v>-2.1052631578947367</v>
      </c>
      <c r="H92" s="5" t="s">
        <v>122</v>
      </c>
      <c r="I92" s="6"/>
      <c r="J92" s="6"/>
      <c r="K92" s="40"/>
      <c r="L92" s="11"/>
    </row>
    <row r="93" spans="1:12" ht="24.75">
      <c r="A93" s="5" t="s">
        <v>77</v>
      </c>
      <c r="B93" s="6" t="s">
        <v>78</v>
      </c>
      <c r="C93" s="37">
        <v>81000</v>
      </c>
      <c r="D93" s="37">
        <v>86000</v>
      </c>
      <c r="E93" s="26">
        <v>81000</v>
      </c>
      <c r="F93" s="37">
        <v>84000</v>
      </c>
      <c r="G93" s="7">
        <f t="shared" si="11"/>
        <v>1.2121212121212122</v>
      </c>
      <c r="H93" s="5" t="s">
        <v>127</v>
      </c>
      <c r="I93" s="6"/>
      <c r="J93" s="6"/>
      <c r="K93" s="40"/>
      <c r="L93" s="11"/>
    </row>
    <row r="94" spans="1:12" ht="24.75">
      <c r="A94" s="5" t="s">
        <v>79</v>
      </c>
      <c r="B94" s="6" t="s">
        <v>78</v>
      </c>
      <c r="C94" s="37">
        <v>75000</v>
      </c>
      <c r="D94" s="37">
        <v>79000</v>
      </c>
      <c r="E94" s="26">
        <v>75000</v>
      </c>
      <c r="F94" s="37">
        <v>77000</v>
      </c>
      <c r="G94" s="7">
        <f t="shared" si="11"/>
        <v>1.3157894736842104</v>
      </c>
      <c r="H94" s="5" t="s">
        <v>127</v>
      </c>
      <c r="I94" s="6"/>
      <c r="J94" s="6"/>
      <c r="K94" s="40"/>
      <c r="L94" s="11"/>
    </row>
    <row r="95" spans="1:12" ht="24.75">
      <c r="A95" s="93"/>
      <c r="B95" s="94"/>
      <c r="C95" s="82"/>
      <c r="D95" s="82"/>
      <c r="E95" s="95"/>
      <c r="F95" s="82"/>
      <c r="G95" s="9"/>
      <c r="H95" s="93"/>
      <c r="I95" s="94"/>
      <c r="J95" s="94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4.75">
      <c r="A97" s="1"/>
      <c r="B97" s="13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1"/>
      <c r="B98" s="41"/>
      <c r="C98" s="42" t="s">
        <v>120</v>
      </c>
      <c r="D98" s="10"/>
      <c r="E98" s="41"/>
      <c r="F98" s="13"/>
      <c r="G98" s="10"/>
      <c r="H98" s="39"/>
      <c r="I98" s="12"/>
      <c r="J98" s="13" t="s">
        <v>118</v>
      </c>
      <c r="K98" s="10"/>
      <c r="L98" s="10"/>
    </row>
    <row r="99" spans="1:12" ht="24.75">
      <c r="A99" s="1"/>
      <c r="B99" s="43"/>
      <c r="C99" s="42" t="s">
        <v>116</v>
      </c>
      <c r="D99" s="13"/>
      <c r="E99" s="41"/>
      <c r="F99" s="44"/>
      <c r="G99" s="46"/>
      <c r="H99" s="46"/>
      <c r="I99" s="76"/>
      <c r="J99" s="13" t="s">
        <v>119</v>
      </c>
      <c r="K99" s="13"/>
      <c r="L99" s="13"/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93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99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98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97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107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94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86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100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102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88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114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2025-11-03T07:32:41Z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