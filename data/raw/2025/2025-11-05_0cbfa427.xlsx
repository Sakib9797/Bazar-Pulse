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30EBC8DE-49A8-4DA6-84A3-9C471D7EF68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90" i="4"/>
  <c r="G95" i="4"/>
  <c r="G91" i="4"/>
  <c r="G89" i="4"/>
  <c r="G88" i="4"/>
  <c r="G96" i="4"/>
  <c r="G99" i="4"/>
  <c r="G98" i="4"/>
  <c r="G100" i="4"/>
  <c r="G85" i="4"/>
  <c r="G84" i="4"/>
  <c r="G94" i="4"/>
  <c r="G97" i="4"/>
  <c r="G93" i="4"/>
  <c r="G92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<sst xmlns="http://schemas.openxmlformats.org/spreadsheetml/2006/main" count="263" uniqueCount="132">
  <si>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</si>
  <si>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</si>
  <si>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</si>
  <si>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</si>
  <si>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</si>
  <si>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</si>
  <si>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</si>
  <si>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</si>
  <si>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</si>
  <si>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</si>
  <si>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</si>
  <si>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</si>
  <si>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</si>
  <si>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</si>
  <si>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</si>
  <si>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</si>
  <si>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</si>
  <si>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</si>
  <si>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</si>
  <si>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</si>
  <si>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</si>
  <si>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</si>
  <si>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</si>
  <si>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</si>
  <si>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</si>
  <si>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</si>
  <si>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</si>
  <si>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</si>
  <si>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</si>
  <si>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</si>
  <si>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</si>
  <si>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</si>
  <si>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</si>
  <si>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</si>
  <si>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</si>
  <si>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</si>
  <si>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</si>
  <si>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</si>
  <si>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</si>
  <si>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</si>
  <si>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</si>
  <si>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</si>
  <si>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</si>
  <si>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</si>
  <si>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</si>
  <si>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</si>
  <si>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</si>
  <si>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</si>
  <si>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</si>
  <si>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</si>
  <si>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</si>
  <si>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</si>
  <si>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</si>
  <si>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</si>
  <si>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</si>
  <si>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</si>
  <si>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</si>
  <si>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</si>
  <si>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</si>
  <si>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</si>
  <si>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</si>
  <si>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</si>
  <si>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</si>
  <si>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</si>
  <si>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</si>
  <si>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</si>
  <si>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</si>
  <si>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</si>
  <si>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</si>
  <si>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</si>
  <si>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</si>
  <si>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</si>
  <si>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</si>
  <si>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</si>
  <si>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</si>
  <si>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</si>
  <si>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</si>
  <si>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</si>
  <si>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</si>
  <si>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</si>
  <si>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</si>
  <si>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</si>
  <si>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</si>
  <si>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</si>
  <si>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</si>
  <si>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</si>
  <si>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</si>
  <si>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</si>
  <si>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</si>
  <si>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</si>
  <si>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</si>
  <si>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</si>
  <si>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</si>
  <si>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</si>
  <si>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</si>
  <si>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</si>
  <si>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</si>
  <si>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</si>
  <si>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</si>
  <si>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</si>
  <si>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</si>
  <si>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</si>
  <si>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</si>
  <si>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</si>
  <si>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</si>
  <si>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</si>
  <si>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</si>
  <si>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</si>
  <si>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</si>
  <si>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</si>
  <si>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</si>
  <si>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</si>
  <si>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</si>
  <si>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</si>
  <si>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</si>
  <si>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</si>
  <si>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</si>
  <si>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</si>
  <si>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</si>
  <si>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</si>
  <si>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</si>
  <si>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০৩-১১-২০২৫ তারিখে মূল্য হ্রাস পেয়েছে।</t>
  </si>
  <si>
    <t>০৩-১১-২০২৫ তারিখে মূল্য বৃদ্ধি পেয়েছে।</t>
  </si>
  <si>
    <t>০৪-১১-২০২৫ তারিখে মূল্য হ্রাস পেয়েছে।</t>
  </si>
  <si>
    <t>০৪-১১-২০২৫ তারিখে মূল্য বৃদ্ধি পেয়েছে।</t>
  </si>
  <si>
    <t>(১)    পেঁয়াজ (দেশী), রশুন (আম), আদা (আম), এমএস রড (৬০,৪০ গ্রেড)    এর মূল্য বৃদ্ধি পেয়েছে।</t>
  </si>
  <si>
    <t>স্মারক নং-২৬.০৫.০০০০.০১৭.৩১.০১.২৫-৭৯৪</t>
  </si>
  <si>
    <t xml:space="preserve">বুধবার ০৫ নভেম্বর ২০২৫ খ্রিঃ, ২০ কার্তিক ১৪৩২ বাংলা, ১৩ জমা-আউ ১৪৪৭ হিজরি </t>
  </si>
  <si>
    <t xml:space="preserve">   সিরিয়াল নংঃ     ২৭৬</t>
  </si>
  <si>
    <t>০৫-১১-২০২৫ তারিখে মূল্য হ্রাস পেয়েছে।</t>
  </si>
  <si>
    <t>(২ )   চাল (সরু,মাঝারী, মোটা), আটা (খোলা, প্যা:), পাম অয়েল (লুজ,সুপার), মসুর ডাল (বড়),</t>
  </si>
  <si>
    <t xml:space="preserve">       আলু, ধনে, তেজপাতা, খেজুর,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</si>
</sst>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4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1" xfId="3" applyFont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7"/>
  <sheetViews>
    <sheetView tabSelected="1" topLeftCell="A97" zoomScale="96" zoomScaleNormal="96" workbookViewId="0">
      <selection activeCell="B80" sqref="B8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4" t="s">
        <v>128</v>
      </c>
      <c r="L4" s="85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45966</v>
      </c>
    </row>
    <row r="7" spans="1:12" ht="21.75">
      <c r="A7" s="25" t="s">
        <v>4</v>
      </c>
      <c r="B7" s="26" t="s">
        <v>5</v>
      </c>
      <c r="C7" s="84" t="s">
        <v>6</v>
      </c>
      <c r="D7" s="85"/>
      <c r="E7" s="84" t="s">
        <v>7</v>
      </c>
      <c r="F7" s="85"/>
      <c r="G7" s="84" t="s">
        <v>8</v>
      </c>
      <c r="H7" s="85"/>
      <c r="I7" s="26" t="s">
        <v>9</v>
      </c>
      <c r="J7" s="84" t="s">
        <v>10</v>
      </c>
      <c r="K7" s="85"/>
      <c r="L7" s="27" t="s">
        <v>11</v>
      </c>
    </row>
    <row r="8" spans="1:12" ht="21.75">
      <c r="A8" s="25"/>
      <c r="B8" s="26"/>
      <c r="C8" s="86">
        <v>45966</v>
      </c>
      <c r="D8" s="85"/>
      <c r="E8" s="86">
        <v>45959</v>
      </c>
      <c r="F8" s="85"/>
      <c r="G8" s="86">
        <v>45935</v>
      </c>
      <c r="H8" s="85"/>
      <c r="I8" s="26" t="s">
        <v>12</v>
      </c>
      <c r="J8" s="86">
        <v>45601</v>
      </c>
      <c r="K8" s="85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58</v>
      </c>
      <c r="K11" s="29">
        <v>65</v>
      </c>
      <c r="L11" s="31">
        <f>((C11+D11)/2-(J11+K11)/2)/((J11+K11)/2)*100</f>
        <v>4.0650406504065035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162</v>
      </c>
      <c r="K19" s="29">
        <v>163</v>
      </c>
      <c r="L19" s="31">
        <f t="shared" ref="L19:L25" si="1">((C19+D19)/2-(J19+K19)/2)/((J19+K19)/2)*100</f>
        <v>7.6923076923076925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0.31948881789137379</v>
      </c>
      <c r="J23" s="29">
        <v>154</v>
      </c>
      <c r="K23" s="29">
        <v>155</v>
      </c>
      <c r="L23" s="31">
        <f t="shared" si="1"/>
        <v>1.6181229773462782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156</v>
      </c>
      <c r="K24" s="29">
        <v>157</v>
      </c>
      <c r="L24" s="31">
        <f t="shared" si="1"/>
        <v>2.2364217252396164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18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0</v>
      </c>
      <c r="J33" s="29">
        <v>65</v>
      </c>
      <c r="K33" s="29">
        <v>70</v>
      </c>
      <c r="L33" s="31">
        <f t="shared" si="3"/>
        <v>-68.148148148148152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51.724137931034484</v>
      </c>
      <c r="J35" s="29">
        <v>130</v>
      </c>
      <c r="K35" s="29">
        <v>150</v>
      </c>
      <c r="L35" s="31">
        <f t="shared" ref="L35:L50" si="5">((C35+D35)/2-(J35+K35)/2)/((J35+K35)/2)*100</f>
        <v>-21.428571428571427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200</v>
      </c>
      <c r="K38" s="29">
        <v>230</v>
      </c>
      <c r="L38" s="31">
        <f t="shared" si="5"/>
        <v>-16.279069767441861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-8.7719298245614024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-12.162162162162163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130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720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200</v>
      </c>
      <c r="K49" s="29">
        <v>260</v>
      </c>
      <c r="L49" s="31">
        <f t="shared" si="5"/>
        <v>2.1739130434782608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1000</v>
      </c>
      <c r="F53" s="29">
        <v>1600</v>
      </c>
      <c r="G53" s="29">
        <v>900</v>
      </c>
      <c r="H53" s="29">
        <v>2200</v>
      </c>
      <c r="I53" s="30">
        <f t="shared" si="6"/>
        <v>-16.129032258064516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190</v>
      </c>
      <c r="K56" s="29">
        <v>210</v>
      </c>
      <c r="L56" s="31">
        <f t="shared" si="7"/>
        <v>-11.25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4" t="s">
        <v>6</v>
      </c>
      <c r="D66" s="85"/>
      <c r="E66" s="84" t="s">
        <v>7</v>
      </c>
      <c r="F66" s="85"/>
      <c r="G66" s="84" t="s">
        <v>8</v>
      </c>
      <c r="H66" s="85"/>
      <c r="I66" s="26" t="s">
        <v>9</v>
      </c>
      <c r="J66" s="84" t="s">
        <v>10</v>
      </c>
      <c r="K66" s="85"/>
      <c r="L66" s="26" t="s">
        <v>11</v>
      </c>
    </row>
    <row r="67" spans="1:12" ht="18" customHeight="1">
      <c r="A67" s="73"/>
      <c r="B67" s="64"/>
      <c r="C67" s="86">
        <v>45966</v>
      </c>
      <c r="D67" s="85"/>
      <c r="E67" s="86">
        <v>45959</v>
      </c>
      <c r="F67" s="85"/>
      <c r="G67" s="86">
        <v>45935</v>
      </c>
      <c r="H67" s="85"/>
      <c r="I67" s="26" t="s">
        <v>12</v>
      </c>
      <c r="J67" s="86">
        <v>45601</v>
      </c>
      <c r="K67" s="85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0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7" t="s">
        <v>115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131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111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4" t="s">
        <v>80</v>
      </c>
      <c r="B82" s="45"/>
      <c r="C82" s="46"/>
      <c r="D82" s="46"/>
      <c r="E82" s="46"/>
      <c r="F82" s="46"/>
      <c r="G82" s="47"/>
      <c r="H82" s="47"/>
      <c r="I82" s="46"/>
      <c r="J82" s="46"/>
      <c r="K82" s="46"/>
      <c r="L82" s="8"/>
    </row>
    <row r="83" spans="1:12" ht="21.75">
      <c r="A83" s="5" t="s">
        <v>81</v>
      </c>
      <c r="B83" s="6" t="s">
        <v>82</v>
      </c>
      <c r="C83" s="89" t="s">
        <v>6</v>
      </c>
      <c r="D83" s="90"/>
      <c r="E83" s="91" t="s">
        <v>83</v>
      </c>
      <c r="F83" s="92"/>
      <c r="G83" s="77" t="s">
        <v>12</v>
      </c>
      <c r="H83" s="89" t="s">
        <v>84</v>
      </c>
      <c r="I83" s="93"/>
      <c r="J83" s="90"/>
      <c r="K83" s="50"/>
      <c r="L83" s="17"/>
    </row>
    <row r="84" spans="1:12" ht="21.75">
      <c r="A84" s="69" t="s">
        <v>105</v>
      </c>
      <c r="B84" s="6" t="s">
        <v>18</v>
      </c>
      <c r="C84" s="29">
        <v>58</v>
      </c>
      <c r="D84" s="29">
        <v>70</v>
      </c>
      <c r="E84" s="29">
        <v>60</v>
      </c>
      <c r="F84" s="29">
        <v>70</v>
      </c>
      <c r="G84" s="7">
        <f t="shared" ref="G84:G87" si="10">((C84+D84)/2-(E84+F84)/2)/((E84+F84)/2)*100</f>
        <v>-1.5384615384615385</v>
      </c>
      <c r="H84" s="5" t="s">
        <v>121</v>
      </c>
      <c r="I84" s="6"/>
      <c r="J84" s="6"/>
      <c r="K84" s="50"/>
      <c r="L84" s="17"/>
    </row>
    <row r="85" spans="1:12" ht="21.75">
      <c r="A85" s="69" t="s">
        <v>19</v>
      </c>
      <c r="B85" s="6" t="s">
        <v>18</v>
      </c>
      <c r="C85" s="29">
        <v>54</v>
      </c>
      <c r="D85" s="29">
        <v>60</v>
      </c>
      <c r="E85" s="29">
        <v>55</v>
      </c>
      <c r="F85" s="29">
        <v>60</v>
      </c>
      <c r="G85" s="7">
        <f t="shared" si="10"/>
        <v>-0.86956521739130432</v>
      </c>
      <c r="H85" s="5" t="s">
        <v>121</v>
      </c>
      <c r="I85" s="6"/>
      <c r="J85" s="6"/>
      <c r="K85" s="50"/>
      <c r="L85" s="17"/>
    </row>
    <row r="86" spans="1:12" ht="21.75">
      <c r="A86" s="69" t="s">
        <v>21</v>
      </c>
      <c r="B86" s="6" t="s">
        <v>18</v>
      </c>
      <c r="C86" s="29">
        <v>45</v>
      </c>
      <c r="D86" s="29">
        <v>50</v>
      </c>
      <c r="E86" s="29">
        <v>45</v>
      </c>
      <c r="F86" s="29">
        <v>52</v>
      </c>
      <c r="G86" s="7">
        <f t="shared" si="10"/>
        <v>-2.0618556701030926</v>
      </c>
      <c r="H86" s="5" t="s">
        <v>129</v>
      </c>
      <c r="I86" s="6"/>
      <c r="J86" s="6"/>
      <c r="K86" s="50"/>
      <c r="L86" s="17"/>
    </row>
    <row r="87" spans="1:12" ht="21.75">
      <c r="A87" s="69" t="s">
        <v>22</v>
      </c>
      <c r="B87" s="6" t="s">
        <v>23</v>
      </c>
      <c r="C87" s="29">
        <v>55</v>
      </c>
      <c r="D87" s="29">
        <v>62</v>
      </c>
      <c r="E87" s="29">
        <v>55</v>
      </c>
      <c r="F87" s="29">
        <v>65</v>
      </c>
      <c r="G87" s="7">
        <f t="shared" si="10"/>
        <v>-2.5</v>
      </c>
      <c r="H87" s="5" t="s">
        <v>117</v>
      </c>
      <c r="I87" s="6"/>
      <c r="J87" s="6"/>
      <c r="K87" s="50"/>
      <c r="L87" s="17"/>
    </row>
    <row r="88" spans="1:12" ht="21.75">
      <c r="A88" s="69" t="s">
        <v>33</v>
      </c>
      <c r="B88" s="6" t="s">
        <v>28</v>
      </c>
      <c r="C88" s="29">
        <v>152</v>
      </c>
      <c r="D88" s="29">
        <v>162</v>
      </c>
      <c r="E88" s="29">
        <v>155</v>
      </c>
      <c r="F88" s="29">
        <v>162</v>
      </c>
      <c r="G88" s="7">
        <f t="shared" ref="G88:G91" si="11">((C88+D88)/2-(E88+F88)/2)/((E88+F88)/2)*100</f>
        <v>-0.94637223974763407</v>
      </c>
      <c r="H88" s="5" t="s">
        <v>123</v>
      </c>
      <c r="I88" s="6"/>
      <c r="J88" s="6"/>
      <c r="K88" s="50"/>
      <c r="L88" s="17"/>
    </row>
    <row r="89" spans="1:12" ht="21.75">
      <c r="A89" s="69" t="s">
        <v>106</v>
      </c>
      <c r="B89" s="6" t="s">
        <v>28</v>
      </c>
      <c r="C89" s="29">
        <v>155</v>
      </c>
      <c r="D89" s="29">
        <v>165</v>
      </c>
      <c r="E89" s="29">
        <v>158</v>
      </c>
      <c r="F89" s="29">
        <v>165</v>
      </c>
      <c r="G89" s="7">
        <f t="shared" si="11"/>
        <v>-0.92879256965944268</v>
      </c>
      <c r="H89" s="5" t="s">
        <v>123</v>
      </c>
      <c r="I89" s="6"/>
      <c r="J89" s="6"/>
      <c r="K89" s="50"/>
      <c r="L89" s="17"/>
    </row>
    <row r="90" spans="1:12" ht="21.75">
      <c r="A90" s="69" t="s">
        <v>37</v>
      </c>
      <c r="B90" s="6" t="s">
        <v>18</v>
      </c>
      <c r="C90" s="29">
        <v>90</v>
      </c>
      <c r="D90" s="29">
        <v>110</v>
      </c>
      <c r="E90" s="29">
        <v>95</v>
      </c>
      <c r="F90" s="29">
        <v>110</v>
      </c>
      <c r="G90" s="7">
        <f t="shared" si="11"/>
        <v>-2.4390243902439024</v>
      </c>
      <c r="H90" s="5" t="s">
        <v>129</v>
      </c>
      <c r="I90" s="6"/>
      <c r="J90" s="6"/>
      <c r="K90" s="50"/>
      <c r="L90" s="17"/>
    </row>
    <row r="91" spans="1:12" ht="21.75">
      <c r="A91" s="69" t="s">
        <v>42</v>
      </c>
      <c r="B91" s="6" t="s">
        <v>18</v>
      </c>
      <c r="C91" s="29">
        <v>18</v>
      </c>
      <c r="D91" s="29">
        <v>25</v>
      </c>
      <c r="E91" s="29">
        <v>20</v>
      </c>
      <c r="F91" s="29">
        <v>25</v>
      </c>
      <c r="G91" s="7">
        <f t="shared" si="11"/>
        <v>-4.4444444444444446</v>
      </c>
      <c r="H91" s="5" t="s">
        <v>123</v>
      </c>
      <c r="I91" s="6"/>
      <c r="J91" s="6"/>
      <c r="K91" s="50"/>
      <c r="L91" s="17"/>
    </row>
    <row r="92" spans="1:12" ht="21.75">
      <c r="A92" s="69" t="s">
        <v>90</v>
      </c>
      <c r="B92" s="6" t="s">
        <v>18</v>
      </c>
      <c r="C92" s="29">
        <v>100</v>
      </c>
      <c r="D92" s="29">
        <v>120</v>
      </c>
      <c r="E92" s="29">
        <v>70</v>
      </c>
      <c r="F92" s="29">
        <v>80</v>
      </c>
      <c r="G92" s="7">
        <f t="shared" ref="G92:G99" si="12">((C92+D92)/2-(E92+F92)/2)/((E92+F92)/2)*100</f>
        <v>46.666666666666664</v>
      </c>
      <c r="H92" s="5" t="s">
        <v>124</v>
      </c>
      <c r="I92" s="6"/>
      <c r="J92" s="6"/>
      <c r="K92" s="11"/>
      <c r="L92" s="11"/>
    </row>
    <row r="93" spans="1:12" ht="21.75">
      <c r="A93" s="69" t="s">
        <v>46</v>
      </c>
      <c r="B93" s="6" t="s">
        <v>18</v>
      </c>
      <c r="C93" s="29">
        <v>160</v>
      </c>
      <c r="D93" s="29">
        <v>200</v>
      </c>
      <c r="E93" s="29">
        <v>130</v>
      </c>
      <c r="F93" s="29">
        <v>200</v>
      </c>
      <c r="G93" s="7">
        <f t="shared" si="12"/>
        <v>9.0909090909090917</v>
      </c>
      <c r="H93" s="5" t="s">
        <v>124</v>
      </c>
      <c r="I93" s="6"/>
      <c r="J93" s="6"/>
      <c r="K93" s="11"/>
      <c r="L93" s="11"/>
    </row>
    <row r="94" spans="1:12" ht="21.75">
      <c r="A94" s="69" t="s">
        <v>52</v>
      </c>
      <c r="B94" s="6" t="s">
        <v>18</v>
      </c>
      <c r="C94" s="29">
        <v>150</v>
      </c>
      <c r="D94" s="29">
        <v>220</v>
      </c>
      <c r="E94" s="29">
        <v>130</v>
      </c>
      <c r="F94" s="29">
        <v>220</v>
      </c>
      <c r="G94" s="7">
        <f t="shared" si="12"/>
        <v>5.7142857142857144</v>
      </c>
      <c r="H94" s="5" t="s">
        <v>124</v>
      </c>
      <c r="I94" s="6"/>
      <c r="J94" s="6"/>
      <c r="K94" s="11"/>
      <c r="L94" s="11"/>
    </row>
    <row r="95" spans="1:12" ht="21.75">
      <c r="A95" s="69" t="s">
        <v>57</v>
      </c>
      <c r="B95" s="6" t="s">
        <v>18</v>
      </c>
      <c r="C95" s="29">
        <v>190</v>
      </c>
      <c r="D95" s="29">
        <v>280</v>
      </c>
      <c r="E95" s="29">
        <v>200</v>
      </c>
      <c r="F95" s="29">
        <v>280</v>
      </c>
      <c r="G95" s="7">
        <f>((C95+D95)/2-(E95+F95)/2)/((E95+F95)/2)*100</f>
        <v>-2.083333333333333</v>
      </c>
      <c r="H95" s="5" t="s">
        <v>129</v>
      </c>
      <c r="I95" s="6"/>
      <c r="J95" s="6"/>
      <c r="K95" s="11"/>
      <c r="L95" s="11"/>
    </row>
    <row r="96" spans="1:12" ht="21.75">
      <c r="A96" s="69" t="s">
        <v>58</v>
      </c>
      <c r="B96" s="6" t="s">
        <v>18</v>
      </c>
      <c r="C96" s="29">
        <v>160</v>
      </c>
      <c r="D96" s="29">
        <v>225</v>
      </c>
      <c r="E96" s="29">
        <v>200</v>
      </c>
      <c r="F96" s="29">
        <v>225</v>
      </c>
      <c r="G96" s="7">
        <f>((C96+D96)/2-(E96+F96)/2)/((E96+F96)/2)*100</f>
        <v>-9.4117647058823533</v>
      </c>
      <c r="H96" s="5" t="s">
        <v>123</v>
      </c>
      <c r="I96" s="6"/>
      <c r="J96" s="6"/>
      <c r="K96" s="11"/>
      <c r="L96" s="11"/>
    </row>
    <row r="97" spans="1:12" ht="24.75">
      <c r="A97" s="5" t="s">
        <v>72</v>
      </c>
      <c r="B97" s="6" t="s">
        <v>18</v>
      </c>
      <c r="C97" s="37">
        <v>200</v>
      </c>
      <c r="D97" s="37">
        <v>550</v>
      </c>
      <c r="E97" s="83">
        <v>220</v>
      </c>
      <c r="F97" s="37">
        <v>550</v>
      </c>
      <c r="G97" s="7">
        <f t="shared" si="12"/>
        <v>-2.5974025974025974</v>
      </c>
      <c r="H97" s="5" t="s">
        <v>123</v>
      </c>
      <c r="I97" s="6"/>
      <c r="J97" s="6"/>
      <c r="K97" s="40"/>
      <c r="L97" s="11"/>
    </row>
    <row r="98" spans="1:12" ht="24.75">
      <c r="A98" s="5" t="s">
        <v>73</v>
      </c>
      <c r="B98" s="6" t="s">
        <v>74</v>
      </c>
      <c r="C98" s="37">
        <v>43</v>
      </c>
      <c r="D98" s="37">
        <v>50</v>
      </c>
      <c r="E98" s="83">
        <v>45</v>
      </c>
      <c r="F98" s="37">
        <v>50</v>
      </c>
      <c r="G98" s="7">
        <f t="shared" si="12"/>
        <v>-2.1052631578947367</v>
      </c>
      <c r="H98" s="5" t="s">
        <v>121</v>
      </c>
      <c r="I98" s="6"/>
      <c r="J98" s="6"/>
      <c r="K98" s="40"/>
      <c r="L98" s="11"/>
    </row>
    <row r="99" spans="1:12" ht="24.75">
      <c r="A99" s="5" t="s">
        <v>77</v>
      </c>
      <c r="B99" s="6" t="s">
        <v>78</v>
      </c>
      <c r="C99" s="37">
        <v>81000</v>
      </c>
      <c r="D99" s="37">
        <v>86000</v>
      </c>
      <c r="E99" s="26">
        <v>81000</v>
      </c>
      <c r="F99" s="37">
        <v>84000</v>
      </c>
      <c r="G99" s="7">
        <f t="shared" si="12"/>
        <v>1.2121212121212122</v>
      </c>
      <c r="H99" s="5" t="s">
        <v>122</v>
      </c>
      <c r="I99" s="6"/>
      <c r="J99" s="6"/>
      <c r="K99" s="40"/>
      <c r="L99" s="11"/>
    </row>
    <row r="100" spans="1:12" ht="24.75">
      <c r="A100" s="5" t="s">
        <v>79</v>
      </c>
      <c r="B100" s="6" t="s">
        <v>78</v>
      </c>
      <c r="C100" s="37">
        <v>75000</v>
      </c>
      <c r="D100" s="37">
        <v>79000</v>
      </c>
      <c r="E100" s="26">
        <v>75000</v>
      </c>
      <c r="F100" s="37">
        <v>77000</v>
      </c>
      <c r="G100" s="7">
        <f>((C100+D100)/2-(E100+F100)/2)/((E100+F100)/2)*100</f>
        <v>1.3157894736842104</v>
      </c>
      <c r="H100" s="5" t="s">
        <v>122</v>
      </c>
      <c r="I100" s="6"/>
      <c r="J100" s="6"/>
      <c r="K100" s="40"/>
      <c r="L100" s="11"/>
    </row>
    <row r="101" spans="1:12" ht="24.75">
      <c r="A101" s="1"/>
      <c r="B101" s="3"/>
      <c r="C101" s="82"/>
      <c r="D101" s="82"/>
      <c r="E101" s="8"/>
      <c r="F101" s="82"/>
      <c r="G101" s="9"/>
      <c r="H101" s="1"/>
      <c r="I101" s="3"/>
      <c r="J101" s="3"/>
      <c r="K101" s="40"/>
      <c r="L101" s="11"/>
    </row>
    <row r="102" spans="1:12" ht="24.75">
      <c r="A102" s="1"/>
      <c r="B102" s="3"/>
      <c r="C102" s="82"/>
      <c r="D102" s="82"/>
      <c r="E102" s="8"/>
      <c r="F102" s="82"/>
      <c r="G102" s="38"/>
      <c r="H102" s="39"/>
      <c r="I102" s="40"/>
      <c r="J102" s="40"/>
      <c r="K102" s="40"/>
      <c r="L102" s="11"/>
    </row>
    <row r="103" spans="1:12" ht="24.75">
      <c r="A103" s="1"/>
      <c r="B103" s="13"/>
      <c r="C103" s="14"/>
      <c r="D103" s="14"/>
      <c r="E103" s="13"/>
      <c r="F103" s="14"/>
      <c r="G103" s="38"/>
      <c r="H103" s="39"/>
      <c r="I103" s="40"/>
      <c r="J103" s="40"/>
      <c r="K103" s="40"/>
      <c r="L103" s="11"/>
    </row>
    <row r="104" spans="1:12" ht="24.75">
      <c r="A104" s="1"/>
      <c r="B104" s="41"/>
      <c r="C104" s="42" t="s">
        <v>120</v>
      </c>
      <c r="D104" s="10"/>
      <c r="E104" s="41"/>
      <c r="F104" s="13"/>
      <c r="G104" s="10"/>
      <c r="H104" s="39"/>
      <c r="I104" s="12"/>
      <c r="J104" s="13" t="s">
        <v>118</v>
      </c>
      <c r="K104" s="10"/>
      <c r="L104" s="10"/>
    </row>
    <row r="105" spans="1:12" ht="24.75">
      <c r="A105" s="1"/>
      <c r="B105" s="43"/>
      <c r="C105" s="42" t="s">
        <v>116</v>
      </c>
      <c r="D105" s="13"/>
      <c r="E105" s="41"/>
      <c r="F105" s="44"/>
      <c r="G105" s="46"/>
      <c r="H105" s="46"/>
      <c r="I105" s="76"/>
      <c r="J105" s="13" t="s">
        <v>119</v>
      </c>
      <c r="K105" s="13"/>
      <c r="L105" s="13"/>
    </row>
    <row r="106" spans="1:12" ht="24.75">
      <c r="A106" s="1"/>
      <c r="B106" s="13"/>
      <c r="C106" s="14"/>
      <c r="D106" s="13"/>
      <c r="E106" s="14"/>
      <c r="F106" s="44"/>
      <c r="G106" s="46"/>
      <c r="H106" s="46"/>
      <c r="I106" s="45"/>
      <c r="J106" s="10"/>
      <c r="K106" s="10"/>
      <c r="L106" s="2"/>
    </row>
    <row r="107" spans="1:12" ht="19.5">
      <c r="A107" s="55" t="s">
        <v>93</v>
      </c>
      <c r="B107" s="53"/>
      <c r="C107" s="51"/>
      <c r="D107" s="53"/>
      <c r="E107" s="51"/>
      <c r="F107" s="51"/>
      <c r="G107" s="51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1"/>
      <c r="D108" s="53"/>
      <c r="E108" s="51"/>
      <c r="F108" s="51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1"/>
      <c r="G109" s="53"/>
      <c r="H109" s="52"/>
      <c r="I109" s="57"/>
      <c r="J109" s="2"/>
      <c r="K109" s="2"/>
      <c r="L109" s="2"/>
    </row>
    <row r="110" spans="1:12" ht="19.5">
      <c r="A110" s="54" t="s">
        <v>85</v>
      </c>
      <c r="B110" s="53"/>
      <c r="C110" s="53"/>
      <c r="D110" s="53"/>
      <c r="E110" s="53"/>
      <c r="F110" s="52"/>
      <c r="G110" s="52"/>
      <c r="H110" s="52"/>
      <c r="I110" s="57"/>
      <c r="J110" s="2"/>
      <c r="K110" s="2"/>
      <c r="L110" s="2"/>
    </row>
    <row r="111" spans="1:12" ht="19.5">
      <c r="A111" s="54" t="s">
        <v>97</v>
      </c>
      <c r="B111" s="53"/>
      <c r="C111" s="53"/>
      <c r="D111" s="53"/>
      <c r="E111" s="53"/>
      <c r="F111" s="53"/>
      <c r="G111" s="52"/>
      <c r="H111" s="52"/>
      <c r="I111" s="57"/>
      <c r="J111" s="2"/>
      <c r="K111" s="2"/>
      <c r="L111" s="2"/>
    </row>
    <row r="112" spans="1:12" ht="19.5">
      <c r="A112" s="54" t="s">
        <v>96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107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95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94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86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100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102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103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87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/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5" t="s">
        <v>88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89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114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113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112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2025-11-05T07:01:55Z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