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September-2025\"/>
    </mc:Choice>
  </mc:AlternateContent>
  <xr:revisionPtr revIDLastSave="0" documentId="8_{7717BAD4-0E45-F041-914D-B09712FD1277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4" l="1"/>
  <c r="G86" i="4"/>
  <c r="G85" i="4"/>
  <c r="G88" i="4"/>
  <c r="G89" i="4"/>
  <c r="G83" i="4"/>
  <c r="G87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<sst xmlns="http://schemas.openxmlformats.org/spreadsheetml/2006/main" count="232" uniqueCount="135">
  <si>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</si>
  <si>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</si>
  <si>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</si>
  <si>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</si>
  <si>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</si>
  <si>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</si>
  <si>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</si>
  <si>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</si>
  <si>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</si>
  <si>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</si>
  <si>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</si>
  <si>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</si>
  <si>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</si>
  <si>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</si>
  <si>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</si>
  <si>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</si>
  <si>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</si>
  <si>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</si>
  <si>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</si>
  <si>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</si>
  <si>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</si>
  <si>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</si>
  <si>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</si>
  <si>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</si>
  <si>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</si>
  <si>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</si>
  <si>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</si>
  <si>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</si>
  <si>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</si>
  <si>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</si>
  <si>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</si>
  <si>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</si>
  <si>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</si>
  <si>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</si>
  <si>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</si>
  <si>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</si>
  <si>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</si>
  <si>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</si>
  <si>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</si>
  <si>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</si>
  <si>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</si>
  <si>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</si>
  <si>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</si>
  <si>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</si>
  <si>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</si>
  <si>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</si>
  <si>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</si>
  <si>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</si>
  <si>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</si>
  <si>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</si>
  <si>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</si>
  <si>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</si>
  <si>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</si>
  <si>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</si>
  <si>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</si>
  <si>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</si>
  <si>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</si>
  <si>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</si>
  <si>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</si>
  <si>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</si>
  <si>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</si>
  <si>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</si>
  <si>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</si>
  <si>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</si>
  <si>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</si>
  <si>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</si>
  <si>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</si>
  <si>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</si>
  <si>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</si>
  <si>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</si>
  <si>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</si>
  <si>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</si>
  <si>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</si>
  <si>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</si>
  <si>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</si>
  <si>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</si>
  <si>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</si>
  <si>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</si>
  <si>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</si>
  <si>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</si>
  <si>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</si>
  <si>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</si>
  <si>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</si>
  <si>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</si>
  <si>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</si>
  <si>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</si>
  <si>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</si>
  <si>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</si>
  <si>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</si>
  <si>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</si>
  <si>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</si>
  <si>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</si>
  <si>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</si>
  <si>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</si>
  <si>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</si>
  <si>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</si>
  <si>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</si>
  <si>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</si>
  <si>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</si>
  <si>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</si>
  <si>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</si>
  <si>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</si>
  <si>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</si>
  <si>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</si>
  <si>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</si>
  <si>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</si>
  <si>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</si>
  <si>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</si>
  <si>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</si>
  <si>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</si>
  <si>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</si>
  <si>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</si>
  <si>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</si>
  <si>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</si>
  <si>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</si>
  <si>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</si>
  <si>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(মোঃ হুমায়ুন কবির)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</si>
  <si>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</si>
  <si>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</si>
  <si>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</si>
  <si>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০৮-০৯-২০২৫ তারিখে মূল্য বৃদ্ধি পেয়েছে।</t>
  </si>
  <si>
    <t>১০-০৯-২০২৫ তারিখে মূল্য হ্রাস পেয়েছে।</t>
  </si>
  <si>
    <t>স্মারক নং-২৬.০৫.০০০০.০১৭.৩১.০১.২৫-৬৪৪</t>
  </si>
  <si>
    <t xml:space="preserve">শুক্রবার ১২ সেপ্টেম্বর ২০২৫ খ্রিঃ, ২৮ ভাদ্র ১৪৩২ বাংলা, ১৮ রবিউল আউয়াল ১৪৪৭ হিজরি </t>
  </si>
  <si>
    <t xml:space="preserve">   সিরিয়াল নংঃ     ২২৮</t>
  </si>
  <si>
    <t>১২-০৯-২০২৫ তারিখে মূল্য বৃদ্ধি পেয়েছে।</t>
  </si>
  <si>
    <t>১২-০৯-২০২৫ তারিখে মূল্য হ্রাস পেয়েছে।</t>
  </si>
  <si>
    <t>(১)     পাম অয়েল (লুজ), আদা (আম), রশুন (আম),  মুরগী ব্রয়লার  এর মূল্য বৃদ্ধি পেয়েছে।</t>
  </si>
  <si>
    <t>(২ )    সয়াবিন তেল লুজ, আলু, পেঁয়াজ (দেশী) 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</si>
</sst>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27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7" fillId="0" borderId="0" xfId="1" applyNumberFormat="1" applyFont="1" applyFill="1" applyBorder="1" applyAlignment="1">
      <alignment horizont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7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168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7" fontId="7" fillId="0" borderId="0" xfId="1" applyNumberFormat="1" applyFont="1" applyBorder="1" applyAlignment="1">
      <alignment horizontal="center"/>
    </xf>
    <xf numFmtId="166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8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7"/>
  <sheetViews>
    <sheetView tabSelected="1" topLeftCell="E3" zoomScale="98" zoomScaleNormal="98" workbookViewId="0">
      <selection activeCell="L6" sqref="L6"/>
    </sheetView>
  </sheetViews>
  <sheetFormatPr defaultRowHeight="16.5" x14ac:dyDescent="0.25"/>
  <cols>
    <col min="1" max="1" width="16.0078125" customWidth="1"/>
    <col min="2" max="2" width="8.875" customWidth="1"/>
    <col min="3" max="4" width="10.625" customWidth="1"/>
    <col min="5" max="5" width="10.89453125" customWidth="1"/>
    <col min="6" max="7" width="9.55078125" customWidth="1"/>
    <col min="8" max="8" width="9.953125" customWidth="1"/>
    <col min="9" max="9" width="9.28125" customWidth="1"/>
    <col min="10" max="10" width="8.33984375" customWidth="1"/>
    <col min="11" max="11" width="9.4140625" customWidth="1"/>
    <col min="12" max="12" width="9.81640625" customWidth="1"/>
  </cols>
  <sheetData>
    <row r="2" spans="1:12" ht="21" x14ac:dyDescent="0.2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" x14ac:dyDescent="0.25">
      <c r="A3" s="19"/>
      <c r="B3" s="20"/>
      <c r="C3" s="20"/>
      <c r="D3" s="18"/>
      <c r="E3" s="20"/>
      <c r="F3" s="20" t="s">
        <v>104</v>
      </c>
      <c r="G3" s="20"/>
      <c r="H3" s="20"/>
      <c r="I3" s="20"/>
      <c r="J3" s="20"/>
      <c r="K3" s="49"/>
      <c r="L3" s="20"/>
    </row>
    <row r="4" spans="1:12" ht="21" x14ac:dyDescent="0.2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3" t="s">
        <v>124</v>
      </c>
      <c r="L4" s="84"/>
    </row>
    <row r="5" spans="1:12" ht="19.5" customHeight="1" x14ac:dyDescent="0.25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" x14ac:dyDescent="0.25">
      <c r="A6" s="21" t="s">
        <v>122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45912</v>
      </c>
    </row>
    <row r="7" spans="1:12" ht="21" x14ac:dyDescent="0.25">
      <c r="A7" s="26" t="s">
        <v>4</v>
      </c>
      <c r="B7" s="27" t="s">
        <v>5</v>
      </c>
      <c r="C7" s="83" t="s">
        <v>6</v>
      </c>
      <c r="D7" s="84"/>
      <c r="E7" s="83" t="s">
        <v>7</v>
      </c>
      <c r="F7" s="84"/>
      <c r="G7" s="83" t="s">
        <v>8</v>
      </c>
      <c r="H7" s="84"/>
      <c r="I7" s="27" t="s">
        <v>9</v>
      </c>
      <c r="J7" s="83" t="s">
        <v>10</v>
      </c>
      <c r="K7" s="84"/>
      <c r="L7" s="28" t="s">
        <v>11</v>
      </c>
    </row>
    <row r="8" spans="1:12" ht="21" x14ac:dyDescent="0.25">
      <c r="A8" s="26"/>
      <c r="B8" s="27"/>
      <c r="C8" s="85">
        <v>45912</v>
      </c>
      <c r="D8" s="84"/>
      <c r="E8" s="85">
        <v>45905</v>
      </c>
      <c r="F8" s="84"/>
      <c r="G8" s="85">
        <v>45881</v>
      </c>
      <c r="H8" s="84"/>
      <c r="I8" s="27" t="s">
        <v>12</v>
      </c>
      <c r="J8" s="85">
        <v>45547</v>
      </c>
      <c r="K8" s="84"/>
      <c r="L8" s="27" t="s">
        <v>12</v>
      </c>
    </row>
    <row r="9" spans="1:12" ht="21" x14ac:dyDescent="0.25">
      <c r="A9" s="68" t="s">
        <v>13</v>
      </c>
      <c r="B9" s="69"/>
      <c r="C9" s="69" t="s">
        <v>14</v>
      </c>
      <c r="D9" s="69" t="s">
        <v>15</v>
      </c>
      <c r="E9" s="69" t="s">
        <v>14</v>
      </c>
      <c r="F9" s="69" t="s">
        <v>15</v>
      </c>
      <c r="G9" s="69" t="s">
        <v>14</v>
      </c>
      <c r="H9" s="69" t="s">
        <v>15</v>
      </c>
      <c r="I9" s="69" t="s">
        <v>16</v>
      </c>
      <c r="J9" s="29" t="s">
        <v>14</v>
      </c>
      <c r="K9" s="29" t="s">
        <v>15</v>
      </c>
      <c r="L9" s="69" t="s">
        <v>16</v>
      </c>
    </row>
    <row r="10" spans="1:12" ht="21" x14ac:dyDescent="0.3">
      <c r="A10" s="70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" x14ac:dyDescent="0.3">
      <c r="A11" s="70" t="s">
        <v>105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72</v>
      </c>
      <c r="I11" s="31">
        <f>((C11+D11)/2-(G11+H11)/2)/((G11+H11)/2)*100</f>
        <v>2.2727272727272729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" x14ac:dyDescent="0.3">
      <c r="A12" s="70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 x14ac:dyDescent="0.3">
      <c r="A13" s="71" t="s">
        <v>20</v>
      </c>
      <c r="B13" s="60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" x14ac:dyDescent="0.3">
      <c r="A14" s="70" t="s">
        <v>21</v>
      </c>
      <c r="B14" s="6" t="s">
        <v>18</v>
      </c>
      <c r="C14" s="30">
        <v>45</v>
      </c>
      <c r="D14" s="30">
        <v>52</v>
      </c>
      <c r="E14" s="30">
        <v>45</v>
      </c>
      <c r="F14" s="30">
        <v>52</v>
      </c>
      <c r="G14" s="30">
        <v>42</v>
      </c>
      <c r="H14" s="30">
        <v>45</v>
      </c>
      <c r="I14" s="31">
        <f>((C14+D14)/2-(G14+H14)/2)/((G14+H14)/2)*100</f>
        <v>11.494252873563218</v>
      </c>
      <c r="J14" s="30">
        <v>38</v>
      </c>
      <c r="K14" s="30">
        <v>45</v>
      </c>
      <c r="L14" s="32">
        <f>((C14+D14)/2-(J14+K14)/2)/((J14+K14)/2)*100</f>
        <v>16.867469879518072</v>
      </c>
    </row>
    <row r="15" spans="1:12" ht="21" x14ac:dyDescent="0.3">
      <c r="A15" s="70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52</v>
      </c>
      <c r="H15" s="30">
        <v>60</v>
      </c>
      <c r="I15" s="31">
        <f>((C15+D15)/2-(G15+H15)/2)/((G15+H15)/2)*100</f>
        <v>7.1428571428571423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" x14ac:dyDescent="0.3">
      <c r="A16" s="70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55</v>
      </c>
      <c r="H16" s="30">
        <v>65</v>
      </c>
      <c r="I16" s="31">
        <f>((C16+D16)/2-(G16+H16)/2)/((G16+H16)/2)*100</f>
        <v>0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" x14ac:dyDescent="0.3">
      <c r="A17" s="70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75</v>
      </c>
      <c r="I17" s="31">
        <f>((C17+D17)/2-(G17+H17)/2)/((G17+H17)/2)*100</f>
        <v>0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 x14ac:dyDescent="0.3">
      <c r="A18" s="71" t="s">
        <v>26</v>
      </c>
      <c r="B18" s="60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" x14ac:dyDescent="0.3">
      <c r="A19" s="70" t="s">
        <v>27</v>
      </c>
      <c r="B19" s="6" t="s">
        <v>28</v>
      </c>
      <c r="C19" s="30">
        <v>168</v>
      </c>
      <c r="D19" s="30">
        <v>174</v>
      </c>
      <c r="E19" s="30">
        <v>170</v>
      </c>
      <c r="F19" s="30">
        <v>174</v>
      </c>
      <c r="G19" s="30">
        <v>162</v>
      </c>
      <c r="H19" s="30">
        <v>172</v>
      </c>
      <c r="I19" s="31">
        <f t="shared" ref="I19:I25" si="0">((C19+D19)/2-(G19+H19)/2)/((G19+H19)/2)*100</f>
        <v>2.3952095808383236</v>
      </c>
      <c r="J19" s="30">
        <v>148</v>
      </c>
      <c r="K19" s="30">
        <v>158</v>
      </c>
      <c r="L19" s="32">
        <f t="shared" ref="L19:L25" si="1">((C19+D19)/2-(J19+K19)/2)/((J19+K19)/2)*100</f>
        <v>11.76470588235294</v>
      </c>
    </row>
    <row r="20" spans="1:12" ht="21" x14ac:dyDescent="0.3">
      <c r="A20" s="70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" x14ac:dyDescent="0.3">
      <c r="A21" s="70" t="s">
        <v>29</v>
      </c>
      <c r="B21" s="6" t="s">
        <v>31</v>
      </c>
      <c r="C21" s="30">
        <v>375</v>
      </c>
      <c r="D21" s="30">
        <v>378</v>
      </c>
      <c r="E21" s="30">
        <v>375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325</v>
      </c>
      <c r="K21" s="30">
        <v>330</v>
      </c>
      <c r="L21" s="32">
        <f t="shared" si="1"/>
        <v>14.961832061068703</v>
      </c>
    </row>
    <row r="22" spans="1:12" ht="21" x14ac:dyDescent="0.3">
      <c r="A22" s="70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" x14ac:dyDescent="0.3">
      <c r="A23" s="70" t="s">
        <v>33</v>
      </c>
      <c r="B23" s="6" t="s">
        <v>28</v>
      </c>
      <c r="C23" s="30">
        <v>153</v>
      </c>
      <c r="D23" s="30">
        <v>158</v>
      </c>
      <c r="E23" s="30">
        <v>153</v>
      </c>
      <c r="F23" s="30">
        <v>158</v>
      </c>
      <c r="G23" s="30">
        <v>150</v>
      </c>
      <c r="H23" s="30">
        <v>160</v>
      </c>
      <c r="I23" s="31">
        <f t="shared" si="0"/>
        <v>0.32258064516129031</v>
      </c>
      <c r="J23" s="30">
        <v>130</v>
      </c>
      <c r="K23" s="30">
        <v>135</v>
      </c>
      <c r="L23" s="32">
        <f t="shared" si="1"/>
        <v>17.358490566037734</v>
      </c>
    </row>
    <row r="24" spans="1:12" ht="21" x14ac:dyDescent="0.3">
      <c r="A24" s="70" t="s">
        <v>106</v>
      </c>
      <c r="B24" s="6" t="s">
        <v>28</v>
      </c>
      <c r="C24" s="30">
        <v>155</v>
      </c>
      <c r="D24" s="30">
        <v>165</v>
      </c>
      <c r="E24" s="30">
        <v>155</v>
      </c>
      <c r="F24" s="30">
        <v>164</v>
      </c>
      <c r="G24" s="30">
        <v>152</v>
      </c>
      <c r="H24" s="30">
        <v>163</v>
      </c>
      <c r="I24" s="31">
        <f t="shared" si="0"/>
        <v>1.5873015873015872</v>
      </c>
      <c r="J24" s="30">
        <v>135</v>
      </c>
      <c r="K24" s="30">
        <v>140</v>
      </c>
      <c r="L24" s="32">
        <f t="shared" si="1"/>
        <v>16.363636363636363</v>
      </c>
    </row>
    <row r="25" spans="1:12" ht="21" x14ac:dyDescent="0.3">
      <c r="A25" s="70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" x14ac:dyDescent="0.3">
      <c r="A26" s="71" t="s">
        <v>35</v>
      </c>
      <c r="B26" s="60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" x14ac:dyDescent="0.3">
      <c r="A27" s="70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" x14ac:dyDescent="0.3">
      <c r="A28" s="70" t="s">
        <v>110</v>
      </c>
      <c r="B28" s="6" t="s">
        <v>18</v>
      </c>
      <c r="C28" s="30">
        <v>110</v>
      </c>
      <c r="D28" s="30">
        <v>140</v>
      </c>
      <c r="E28" s="30">
        <v>110</v>
      </c>
      <c r="F28" s="30">
        <v>140</v>
      </c>
      <c r="G28" s="30">
        <v>110</v>
      </c>
      <c r="H28" s="30">
        <v>135</v>
      </c>
      <c r="I28" s="31">
        <f t="shared" si="2"/>
        <v>2.0408163265306123</v>
      </c>
      <c r="J28" s="30">
        <v>115</v>
      </c>
      <c r="K28" s="30">
        <v>120</v>
      </c>
      <c r="L28" s="32">
        <f t="shared" si="3"/>
        <v>6.3829787234042552</v>
      </c>
    </row>
    <row r="29" spans="1:12" ht="21" x14ac:dyDescent="0.3">
      <c r="A29" s="70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160</v>
      </c>
      <c r="G29" s="30">
        <v>150</v>
      </c>
      <c r="H29" s="30">
        <v>155</v>
      </c>
      <c r="I29" s="31">
        <f t="shared" si="2"/>
        <v>1.639344262295082</v>
      </c>
      <c r="J29" s="30">
        <v>130</v>
      </c>
      <c r="K29" s="30">
        <v>135</v>
      </c>
      <c r="L29" s="32">
        <f t="shared" si="3"/>
        <v>16.981132075471699</v>
      </c>
    </row>
    <row r="30" spans="1:12" ht="21" x14ac:dyDescent="0.3">
      <c r="A30" s="70" t="s">
        <v>39</v>
      </c>
      <c r="B30" s="6" t="s">
        <v>18</v>
      </c>
      <c r="C30" s="30">
        <v>120</v>
      </c>
      <c r="D30" s="30">
        <v>180</v>
      </c>
      <c r="E30" s="30">
        <v>120</v>
      </c>
      <c r="F30" s="30">
        <v>180</v>
      </c>
      <c r="G30" s="30">
        <v>120</v>
      </c>
      <c r="H30" s="30">
        <v>180</v>
      </c>
      <c r="I30" s="31">
        <f t="shared" si="2"/>
        <v>0</v>
      </c>
      <c r="J30" s="30">
        <v>160</v>
      </c>
      <c r="K30" s="30">
        <v>185</v>
      </c>
      <c r="L30" s="32">
        <f t="shared" si="3"/>
        <v>-13.043478260869565</v>
      </c>
    </row>
    <row r="31" spans="1:12" ht="21" x14ac:dyDescent="0.3">
      <c r="A31" s="70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60</v>
      </c>
      <c r="H31" s="30">
        <v>80</v>
      </c>
      <c r="I31" s="31">
        <f t="shared" si="2"/>
        <v>0</v>
      </c>
      <c r="J31" s="30">
        <v>80</v>
      </c>
      <c r="K31" s="30">
        <v>90</v>
      </c>
      <c r="L31" s="32">
        <f t="shared" si="3"/>
        <v>-17.647058823529413</v>
      </c>
    </row>
    <row r="32" spans="1:12" ht="21" x14ac:dyDescent="0.3">
      <c r="A32" s="70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95</v>
      </c>
      <c r="H32" s="30">
        <v>110</v>
      </c>
      <c r="I32" s="31">
        <f t="shared" si="2"/>
        <v>0</v>
      </c>
      <c r="J32" s="30">
        <v>110</v>
      </c>
      <c r="K32" s="30">
        <v>120</v>
      </c>
      <c r="L32" s="32">
        <f t="shared" si="3"/>
        <v>-10.869565217391305</v>
      </c>
    </row>
    <row r="33" spans="1:12" ht="21" x14ac:dyDescent="0.3">
      <c r="A33" s="70" t="s">
        <v>42</v>
      </c>
      <c r="B33" s="6" t="s">
        <v>18</v>
      </c>
      <c r="C33" s="30">
        <v>20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-9.0909090909090917</v>
      </c>
      <c r="J33" s="30">
        <v>52</v>
      </c>
      <c r="K33" s="30">
        <v>60</v>
      </c>
      <c r="L33" s="32">
        <f t="shared" si="3"/>
        <v>-55.357142857142861</v>
      </c>
    </row>
    <row r="34" spans="1:12" ht="21" x14ac:dyDescent="0.3">
      <c r="A34" s="71" t="s">
        <v>43</v>
      </c>
      <c r="B34" s="60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" x14ac:dyDescent="0.3">
      <c r="A35" s="70" t="s">
        <v>90</v>
      </c>
      <c r="B35" s="6" t="s">
        <v>18</v>
      </c>
      <c r="C35" s="30">
        <v>70</v>
      </c>
      <c r="D35" s="30">
        <v>82</v>
      </c>
      <c r="E35" s="30">
        <v>75</v>
      </c>
      <c r="F35" s="30">
        <v>85</v>
      </c>
      <c r="G35" s="30">
        <v>75</v>
      </c>
      <c r="H35" s="30">
        <v>85</v>
      </c>
      <c r="I35" s="31">
        <f t="shared" ref="I35:I50" si="4">((C35+D35)/2-(G35+H35)/2)/((G35+H35)/2)*100</f>
        <v>-5</v>
      </c>
      <c r="J35" s="30">
        <v>110</v>
      </c>
      <c r="K35" s="30">
        <v>120</v>
      </c>
      <c r="L35" s="32">
        <f t="shared" ref="L35:L50" si="5">((C35+D35)/2-(J35+K35)/2)/((J35+K35)/2)*100</f>
        <v>-33.913043478260867</v>
      </c>
    </row>
    <row r="36" spans="1:12" ht="21" x14ac:dyDescent="0.3">
      <c r="A36" s="70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" x14ac:dyDescent="0.3">
      <c r="A37" s="70" t="s">
        <v>45</v>
      </c>
      <c r="B37" s="6" t="s">
        <v>18</v>
      </c>
      <c r="C37" s="30">
        <v>100</v>
      </c>
      <c r="D37" s="30">
        <v>140</v>
      </c>
      <c r="E37" s="30">
        <v>100</v>
      </c>
      <c r="F37" s="30">
        <v>135</v>
      </c>
      <c r="G37" s="30">
        <v>80</v>
      </c>
      <c r="H37" s="30">
        <v>160</v>
      </c>
      <c r="I37" s="31">
        <f t="shared" si="4"/>
        <v>0</v>
      </c>
      <c r="J37" s="30">
        <v>200</v>
      </c>
      <c r="K37" s="30">
        <v>240</v>
      </c>
      <c r="L37" s="32">
        <f t="shared" si="5"/>
        <v>-45.454545454545453</v>
      </c>
    </row>
    <row r="38" spans="1:12" ht="21" x14ac:dyDescent="0.3">
      <c r="A38" s="70" t="s">
        <v>46</v>
      </c>
      <c r="B38" s="6" t="s">
        <v>18</v>
      </c>
      <c r="C38" s="30">
        <v>140</v>
      </c>
      <c r="D38" s="30">
        <v>200</v>
      </c>
      <c r="E38" s="30">
        <v>130</v>
      </c>
      <c r="F38" s="30">
        <v>200</v>
      </c>
      <c r="G38" s="30">
        <v>160</v>
      </c>
      <c r="H38" s="30">
        <v>200</v>
      </c>
      <c r="I38" s="31">
        <f t="shared" si="4"/>
        <v>-5.5555555555555554</v>
      </c>
      <c r="J38" s="30">
        <v>200</v>
      </c>
      <c r="K38" s="30">
        <v>220</v>
      </c>
      <c r="L38" s="32">
        <f t="shared" si="5"/>
        <v>-19.047619047619047</v>
      </c>
    </row>
    <row r="39" spans="1:12" ht="21" x14ac:dyDescent="0.3">
      <c r="A39" s="70" t="s">
        <v>47</v>
      </c>
      <c r="B39" s="6" t="s">
        <v>18</v>
      </c>
      <c r="C39" s="30">
        <v>250</v>
      </c>
      <c r="D39" s="30">
        <v>350</v>
      </c>
      <c r="E39" s="30">
        <v>270</v>
      </c>
      <c r="F39" s="30">
        <v>350</v>
      </c>
      <c r="G39" s="30">
        <v>240</v>
      </c>
      <c r="H39" s="30">
        <v>350</v>
      </c>
      <c r="I39" s="31">
        <f t="shared" si="4"/>
        <v>1.6949152542372881</v>
      </c>
      <c r="J39" s="30">
        <v>300</v>
      </c>
      <c r="K39" s="30">
        <v>350</v>
      </c>
      <c r="L39" s="32">
        <f t="shared" si="5"/>
        <v>-7.6923076923076925</v>
      </c>
    </row>
    <row r="40" spans="1:12" ht="21" x14ac:dyDescent="0.3">
      <c r="A40" s="70" t="s">
        <v>48</v>
      </c>
      <c r="B40" s="6" t="s">
        <v>18</v>
      </c>
      <c r="C40" s="30">
        <v>320</v>
      </c>
      <c r="D40" s="30">
        <v>430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400</v>
      </c>
      <c r="K40" s="30">
        <v>450</v>
      </c>
      <c r="L40" s="32">
        <f t="shared" si="5"/>
        <v>-11.76470588235294</v>
      </c>
    </row>
    <row r="41" spans="1:12" ht="21" x14ac:dyDescent="0.3">
      <c r="A41" s="70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" x14ac:dyDescent="0.3">
      <c r="A42" s="70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" x14ac:dyDescent="0.3">
      <c r="A43" s="70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" x14ac:dyDescent="0.3">
      <c r="A44" s="70" t="s">
        <v>52</v>
      </c>
      <c r="B44" s="6" t="s">
        <v>18</v>
      </c>
      <c r="C44" s="30">
        <v>140</v>
      </c>
      <c r="D44" s="30">
        <v>260</v>
      </c>
      <c r="E44" s="30">
        <v>140</v>
      </c>
      <c r="F44" s="30">
        <v>250</v>
      </c>
      <c r="G44" s="30">
        <v>180</v>
      </c>
      <c r="H44" s="30">
        <v>280</v>
      </c>
      <c r="I44" s="31">
        <f t="shared" si="4"/>
        <v>-13.043478260869565</v>
      </c>
      <c r="J44" s="30">
        <v>200</v>
      </c>
      <c r="K44" s="30">
        <v>260</v>
      </c>
      <c r="L44" s="32">
        <f t="shared" si="5"/>
        <v>-13.043478260869565</v>
      </c>
    </row>
    <row r="45" spans="1:12" ht="21" x14ac:dyDescent="0.3">
      <c r="A45" s="70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680</v>
      </c>
      <c r="K45" s="30">
        <v>750</v>
      </c>
      <c r="L45" s="32">
        <f t="shared" si="5"/>
        <v>-5.5944055944055942</v>
      </c>
    </row>
    <row r="46" spans="1:12" ht="21" x14ac:dyDescent="0.3">
      <c r="A46" s="70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450</v>
      </c>
      <c r="K46" s="30">
        <v>500</v>
      </c>
      <c r="L46" s="32">
        <f t="shared" si="5"/>
        <v>15.789473684210526</v>
      </c>
    </row>
    <row r="47" spans="1:12" ht="21" x14ac:dyDescent="0.3">
      <c r="A47" s="70" t="s">
        <v>55</v>
      </c>
      <c r="B47" s="6" t="s">
        <v>18</v>
      </c>
      <c r="C47" s="30">
        <v>1350</v>
      </c>
      <c r="D47" s="30">
        <v>1600</v>
      </c>
      <c r="E47" s="30">
        <v>1350</v>
      </c>
      <c r="F47" s="30">
        <v>1600</v>
      </c>
      <c r="G47" s="30">
        <v>1400</v>
      </c>
      <c r="H47" s="30">
        <v>1600</v>
      </c>
      <c r="I47" s="31">
        <f t="shared" si="4"/>
        <v>-1.6666666666666667</v>
      </c>
      <c r="J47" s="30">
        <v>1200</v>
      </c>
      <c r="K47" s="30">
        <v>1500</v>
      </c>
      <c r="L47" s="32">
        <f t="shared" si="5"/>
        <v>9.2592592592592595</v>
      </c>
    </row>
    <row r="48" spans="1:12" ht="21" x14ac:dyDescent="0.3">
      <c r="A48" s="70" t="s">
        <v>56</v>
      </c>
      <c r="B48" s="6" t="s">
        <v>18</v>
      </c>
      <c r="C48" s="30">
        <v>4700</v>
      </c>
      <c r="D48" s="30">
        <v>5500</v>
      </c>
      <c r="E48" s="30">
        <v>4700</v>
      </c>
      <c r="F48" s="30">
        <v>5500</v>
      </c>
      <c r="G48" s="30">
        <v>4500</v>
      </c>
      <c r="H48" s="30">
        <v>5200</v>
      </c>
      <c r="I48" s="31">
        <f t="shared" si="4"/>
        <v>5.1546391752577314</v>
      </c>
      <c r="J48" s="30">
        <v>3200</v>
      </c>
      <c r="K48" s="30">
        <v>3600</v>
      </c>
      <c r="L48" s="32">
        <f t="shared" si="5"/>
        <v>50</v>
      </c>
    </row>
    <row r="49" spans="1:12" ht="21" x14ac:dyDescent="0.3">
      <c r="A49" s="70" t="s">
        <v>57</v>
      </c>
      <c r="B49" s="6" t="s">
        <v>18</v>
      </c>
      <c r="C49" s="30">
        <v>220</v>
      </c>
      <c r="D49" s="30">
        <v>280</v>
      </c>
      <c r="E49" s="30">
        <v>220</v>
      </c>
      <c r="F49" s="30">
        <v>280</v>
      </c>
      <c r="G49" s="30">
        <v>180</v>
      </c>
      <c r="H49" s="30">
        <v>280</v>
      </c>
      <c r="I49" s="31">
        <f t="shared" si="4"/>
        <v>8.695652173913043</v>
      </c>
      <c r="J49" s="30">
        <v>200</v>
      </c>
      <c r="K49" s="30">
        <v>250</v>
      </c>
      <c r="L49" s="32">
        <f t="shared" si="5"/>
        <v>11.111111111111111</v>
      </c>
    </row>
    <row r="50" spans="1:12" ht="21" x14ac:dyDescent="0.3">
      <c r="A50" s="70" t="s">
        <v>58</v>
      </c>
      <c r="B50" s="6" t="s">
        <v>18</v>
      </c>
      <c r="C50" s="30">
        <v>190</v>
      </c>
      <c r="D50" s="30">
        <v>225</v>
      </c>
      <c r="E50" s="30">
        <v>190</v>
      </c>
      <c r="F50" s="30">
        <v>225</v>
      </c>
      <c r="G50" s="30">
        <v>180</v>
      </c>
      <c r="H50" s="30">
        <v>220</v>
      </c>
      <c r="I50" s="31">
        <f t="shared" si="4"/>
        <v>3.75</v>
      </c>
      <c r="J50" s="30">
        <v>120</v>
      </c>
      <c r="K50" s="30">
        <v>200</v>
      </c>
      <c r="L50" s="32">
        <f t="shared" si="5"/>
        <v>29.6875</v>
      </c>
    </row>
    <row r="51" spans="1:12" ht="21" x14ac:dyDescent="0.3">
      <c r="A51" s="68" t="s">
        <v>59</v>
      </c>
      <c r="B51" s="60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" x14ac:dyDescent="0.3">
      <c r="A52" s="70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" x14ac:dyDescent="0.3">
      <c r="A53" s="70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800</v>
      </c>
      <c r="H53" s="30">
        <v>2000</v>
      </c>
      <c r="I53" s="31">
        <f t="shared" si="6"/>
        <v>10.714285714285714</v>
      </c>
      <c r="J53" s="30">
        <v>800</v>
      </c>
      <c r="K53" s="30">
        <v>1600</v>
      </c>
      <c r="L53" s="32">
        <f t="shared" si="7"/>
        <v>29.166666666666668</v>
      </c>
    </row>
    <row r="54" spans="1:12" ht="21" x14ac:dyDescent="0.3">
      <c r="A54" s="70" t="s">
        <v>91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" x14ac:dyDescent="0.3">
      <c r="A55" s="70" t="s">
        <v>92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" x14ac:dyDescent="0.3">
      <c r="A56" s="70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180</v>
      </c>
      <c r="G56" s="30">
        <v>160</v>
      </c>
      <c r="H56" s="30">
        <v>175</v>
      </c>
      <c r="I56" s="31">
        <f t="shared" si="6"/>
        <v>5.9701492537313428</v>
      </c>
      <c r="J56" s="30">
        <v>165</v>
      </c>
      <c r="K56" s="30">
        <v>175</v>
      </c>
      <c r="L56" s="32">
        <f t="shared" si="7"/>
        <v>4.4117647058823533</v>
      </c>
    </row>
    <row r="57" spans="1:12" ht="21" x14ac:dyDescent="0.3">
      <c r="A57" s="70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" x14ac:dyDescent="0.3">
      <c r="A58" s="72" t="s">
        <v>64</v>
      </c>
      <c r="B58" s="61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 x14ac:dyDescent="0.3">
      <c r="A59" s="70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 x14ac:dyDescent="0.3">
      <c r="A60" s="70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 x14ac:dyDescent="0.3">
      <c r="A61" s="70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5.5" customHeight="1" x14ac:dyDescent="0.3">
      <c r="A62" s="70" t="s">
        <v>69</v>
      </c>
      <c r="B62" s="62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4" customHeight="1" x14ac:dyDescent="0.3">
      <c r="A63" s="73"/>
      <c r="B63" s="82"/>
      <c r="C63" s="79"/>
      <c r="D63" s="79"/>
      <c r="E63" s="79"/>
      <c r="F63" s="79"/>
      <c r="G63" s="63"/>
      <c r="H63" s="63"/>
      <c r="I63" s="80"/>
      <c r="J63" s="79"/>
      <c r="K63" s="79"/>
      <c r="L63" s="81"/>
    </row>
    <row r="64" spans="1:12" ht="20.25" customHeight="1" x14ac:dyDescent="0.3">
      <c r="A64" s="73"/>
      <c r="B64" s="3"/>
      <c r="C64" s="63"/>
      <c r="D64" s="63"/>
      <c r="E64" s="63"/>
      <c r="F64" s="63"/>
      <c r="G64" s="63"/>
      <c r="H64" s="63"/>
      <c r="I64" s="10"/>
      <c r="J64" s="76"/>
      <c r="K64" s="76"/>
      <c r="L64" s="64"/>
    </row>
    <row r="65" spans="1:12" ht="20.25" customHeight="1" x14ac:dyDescent="0.3">
      <c r="A65" s="73"/>
      <c r="B65" s="3"/>
      <c r="C65" s="63"/>
      <c r="D65" s="63"/>
      <c r="E65" s="63"/>
      <c r="F65" s="63"/>
      <c r="G65" s="63"/>
      <c r="H65" s="63"/>
      <c r="I65" s="10"/>
      <c r="J65" s="76"/>
      <c r="K65" s="76"/>
      <c r="L65" s="64"/>
    </row>
    <row r="66" spans="1:12" ht="21" x14ac:dyDescent="0.25">
      <c r="A66" s="70" t="s">
        <v>4</v>
      </c>
      <c r="B66" s="6" t="s">
        <v>5</v>
      </c>
      <c r="C66" s="83" t="s">
        <v>6</v>
      </c>
      <c r="D66" s="84"/>
      <c r="E66" s="83" t="s">
        <v>7</v>
      </c>
      <c r="F66" s="84"/>
      <c r="G66" s="83" t="s">
        <v>8</v>
      </c>
      <c r="H66" s="84"/>
      <c r="I66" s="27" t="s">
        <v>9</v>
      </c>
      <c r="J66" s="83" t="s">
        <v>10</v>
      </c>
      <c r="K66" s="84"/>
      <c r="L66" s="27" t="s">
        <v>11</v>
      </c>
    </row>
    <row r="67" spans="1:12" ht="18" customHeight="1" x14ac:dyDescent="0.25">
      <c r="A67" s="74"/>
      <c r="B67" s="65"/>
      <c r="C67" s="85">
        <v>45912</v>
      </c>
      <c r="D67" s="84"/>
      <c r="E67" s="85">
        <v>45905</v>
      </c>
      <c r="F67" s="84"/>
      <c r="G67" s="85">
        <v>45881</v>
      </c>
      <c r="H67" s="84"/>
      <c r="I67" s="27" t="s">
        <v>12</v>
      </c>
      <c r="J67" s="85">
        <v>45547</v>
      </c>
      <c r="K67" s="84"/>
      <c r="L67" s="27" t="s">
        <v>12</v>
      </c>
    </row>
    <row r="68" spans="1:12" ht="21" x14ac:dyDescent="0.25">
      <c r="A68" s="75" t="s">
        <v>70</v>
      </c>
      <c r="B68" s="66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 x14ac:dyDescent="0.3">
      <c r="A69" s="70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115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130</v>
      </c>
      <c r="L69" s="32">
        <f t="shared" ref="L69:L75" si="8">((C69+D69)/2-(J69+K69)/2)/((J69+K69)/2)*100</f>
        <v>-13.725490196078432</v>
      </c>
    </row>
    <row r="70" spans="1:12" ht="21" x14ac:dyDescent="0.3">
      <c r="A70" s="70" t="s">
        <v>72</v>
      </c>
      <c r="B70" s="67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220</v>
      </c>
      <c r="H70" s="30">
        <v>550</v>
      </c>
      <c r="I70" s="31">
        <f t="shared" ref="I70:I75" si="9">((C70+D70)/2-(G70+H70)/2)/((G70+H70)/2)*100</f>
        <v>0</v>
      </c>
      <c r="J70" s="30">
        <v>250</v>
      </c>
      <c r="K70" s="30">
        <v>450</v>
      </c>
      <c r="L70" s="32">
        <f t="shared" si="8"/>
        <v>10</v>
      </c>
    </row>
    <row r="71" spans="1:12" ht="21" x14ac:dyDescent="0.3">
      <c r="A71" s="70" t="s">
        <v>108</v>
      </c>
      <c r="B71" s="67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 x14ac:dyDescent="0.3">
      <c r="A72" s="70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40</v>
      </c>
      <c r="H72" s="38">
        <v>48</v>
      </c>
      <c r="I72" s="31">
        <f t="shared" si="9"/>
        <v>7.9545454545454541</v>
      </c>
      <c r="J72" s="38">
        <v>52</v>
      </c>
      <c r="K72" s="38">
        <v>55</v>
      </c>
      <c r="L72" s="32">
        <f t="shared" si="8"/>
        <v>-11.214953271028037</v>
      </c>
    </row>
    <row r="73" spans="1:12" ht="21" x14ac:dyDescent="0.3">
      <c r="A73" s="70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" x14ac:dyDescent="0.3">
      <c r="A74" s="70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86000</v>
      </c>
      <c r="G74" s="30">
        <v>83500</v>
      </c>
      <c r="H74" s="30">
        <v>87000</v>
      </c>
      <c r="I74" s="31">
        <f t="shared" si="9"/>
        <v>-0.5865102639296188</v>
      </c>
      <c r="J74" s="30">
        <v>97500</v>
      </c>
      <c r="K74" s="30">
        <v>99500</v>
      </c>
      <c r="L74" s="32">
        <f t="shared" si="8"/>
        <v>-13.959390862944163</v>
      </c>
    </row>
    <row r="75" spans="1:12" ht="21" x14ac:dyDescent="0.3">
      <c r="A75" s="70" t="s">
        <v>79</v>
      </c>
      <c r="B75" s="6" t="s">
        <v>78</v>
      </c>
      <c r="C75" s="30">
        <v>75000</v>
      </c>
      <c r="D75" s="38">
        <v>79000</v>
      </c>
      <c r="E75" s="30">
        <v>75000</v>
      </c>
      <c r="F75" s="38">
        <v>79000</v>
      </c>
      <c r="G75" s="30">
        <v>78500</v>
      </c>
      <c r="H75" s="38">
        <v>80000</v>
      </c>
      <c r="I75" s="31">
        <f t="shared" si="9"/>
        <v>-2.8391167192429023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 x14ac:dyDescent="0.25">
      <c r="A76" s="86" t="s">
        <v>112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" x14ac:dyDescent="0.25">
      <c r="A77" s="16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" x14ac:dyDescent="0.25">
      <c r="A78" s="17"/>
      <c r="B78" s="1" t="s">
        <v>127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" x14ac:dyDescent="0.25">
      <c r="A79" s="17"/>
      <c r="B79" s="1" t="s">
        <v>128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" x14ac:dyDescent="0.25">
      <c r="A80" s="17"/>
      <c r="B80" s="1" t="s">
        <v>111</v>
      </c>
      <c r="C80" s="2"/>
      <c r="D80" s="2"/>
      <c r="E80" s="2"/>
      <c r="F80" s="2"/>
      <c r="G80" s="3"/>
      <c r="H80" s="3"/>
      <c r="I80" s="3"/>
      <c r="J80" s="3"/>
      <c r="K80" s="2"/>
      <c r="L80" s="8"/>
    </row>
    <row r="81" spans="1:12" ht="21" x14ac:dyDescent="0.25">
      <c r="A81" s="45" t="s">
        <v>80</v>
      </c>
      <c r="B81" s="46"/>
      <c r="C81" s="47"/>
      <c r="D81" s="47"/>
      <c r="E81" s="47"/>
      <c r="F81" s="47"/>
      <c r="G81" s="48"/>
      <c r="H81" s="48"/>
      <c r="I81" s="47"/>
      <c r="J81" s="47"/>
      <c r="K81" s="47"/>
      <c r="L81" s="8"/>
    </row>
    <row r="82" spans="1:12" ht="21" x14ac:dyDescent="0.25">
      <c r="A82" s="5" t="s">
        <v>81</v>
      </c>
      <c r="B82" s="6" t="s">
        <v>82</v>
      </c>
      <c r="C82" s="88" t="s">
        <v>6</v>
      </c>
      <c r="D82" s="89"/>
      <c r="E82" s="90" t="s">
        <v>83</v>
      </c>
      <c r="F82" s="91"/>
      <c r="G82" s="78" t="s">
        <v>12</v>
      </c>
      <c r="H82" s="88" t="s">
        <v>84</v>
      </c>
      <c r="I82" s="92"/>
      <c r="J82" s="89"/>
      <c r="K82" s="51"/>
      <c r="L82" s="18"/>
    </row>
    <row r="83" spans="1:12" ht="21" x14ac:dyDescent="0.3">
      <c r="A83" s="70" t="s">
        <v>27</v>
      </c>
      <c r="B83" s="6" t="s">
        <v>28</v>
      </c>
      <c r="C83" s="30">
        <v>168</v>
      </c>
      <c r="D83" s="30">
        <v>174</v>
      </c>
      <c r="E83" s="30">
        <v>170</v>
      </c>
      <c r="F83" s="30">
        <v>174</v>
      </c>
      <c r="G83" s="7">
        <f t="shared" ref="G83:G88" si="10">((C83+D83)/2-(E83+F83)/2)/((E83+F83)/2)*100</f>
        <v>-0.58139534883720934</v>
      </c>
      <c r="H83" s="5" t="s">
        <v>126</v>
      </c>
      <c r="I83" s="6"/>
      <c r="J83" s="6"/>
      <c r="K83" s="51"/>
      <c r="L83" s="18"/>
    </row>
    <row r="84" spans="1:12" ht="21" x14ac:dyDescent="0.3">
      <c r="A84" s="70" t="s">
        <v>106</v>
      </c>
      <c r="B84" s="6" t="s">
        <v>28</v>
      </c>
      <c r="C84" s="30">
        <v>155</v>
      </c>
      <c r="D84" s="30">
        <v>165</v>
      </c>
      <c r="E84" s="30">
        <v>155</v>
      </c>
      <c r="F84" s="30">
        <v>164</v>
      </c>
      <c r="G84" s="7">
        <f t="shared" si="10"/>
        <v>0.31347962382445138</v>
      </c>
      <c r="H84" s="5" t="s">
        <v>125</v>
      </c>
      <c r="I84" s="6"/>
      <c r="J84" s="6"/>
      <c r="K84" s="51"/>
      <c r="L84" s="18"/>
    </row>
    <row r="85" spans="1:12" ht="21" x14ac:dyDescent="0.3">
      <c r="A85" s="70" t="s">
        <v>42</v>
      </c>
      <c r="B85" s="6" t="s">
        <v>18</v>
      </c>
      <c r="C85" s="30">
        <v>20</v>
      </c>
      <c r="D85" s="30">
        <v>30</v>
      </c>
      <c r="E85" s="30">
        <v>25</v>
      </c>
      <c r="F85" s="30">
        <v>30</v>
      </c>
      <c r="G85" s="7">
        <f t="shared" si="10"/>
        <v>-9.0909090909090917</v>
      </c>
      <c r="H85" s="5" t="s">
        <v>121</v>
      </c>
      <c r="I85" s="6"/>
      <c r="J85" s="6"/>
      <c r="K85" s="51"/>
      <c r="L85" s="18"/>
    </row>
    <row r="86" spans="1:12" ht="21" x14ac:dyDescent="0.3">
      <c r="A86" s="70" t="s">
        <v>90</v>
      </c>
      <c r="B86" s="6" t="s">
        <v>18</v>
      </c>
      <c r="C86" s="30">
        <v>70</v>
      </c>
      <c r="D86" s="30">
        <v>82</v>
      </c>
      <c r="E86" s="30">
        <v>75</v>
      </c>
      <c r="F86" s="30">
        <v>85</v>
      </c>
      <c r="G86" s="7">
        <f t="shared" si="10"/>
        <v>-5</v>
      </c>
      <c r="H86" s="5" t="s">
        <v>126</v>
      </c>
      <c r="I86" s="6"/>
      <c r="J86" s="6"/>
      <c r="K86" s="51"/>
      <c r="L86" s="18"/>
    </row>
    <row r="87" spans="1:12" ht="21" x14ac:dyDescent="0.3">
      <c r="A87" s="70" t="s">
        <v>46</v>
      </c>
      <c r="B87" s="6" t="s">
        <v>18</v>
      </c>
      <c r="C87" s="30">
        <v>140</v>
      </c>
      <c r="D87" s="30">
        <v>200</v>
      </c>
      <c r="E87" s="30">
        <v>130</v>
      </c>
      <c r="F87" s="30">
        <v>200</v>
      </c>
      <c r="G87" s="7">
        <f t="shared" si="10"/>
        <v>3.0303030303030303</v>
      </c>
      <c r="H87" s="5" t="s">
        <v>125</v>
      </c>
      <c r="I87" s="6"/>
      <c r="J87" s="6"/>
      <c r="K87" s="51"/>
      <c r="L87" s="18"/>
    </row>
    <row r="88" spans="1:12" ht="21" x14ac:dyDescent="0.3">
      <c r="A88" s="70" t="s">
        <v>52</v>
      </c>
      <c r="B88" s="6" t="s">
        <v>18</v>
      </c>
      <c r="C88" s="30">
        <v>140</v>
      </c>
      <c r="D88" s="30">
        <v>260</v>
      </c>
      <c r="E88" s="30">
        <v>140</v>
      </c>
      <c r="F88" s="30">
        <v>250</v>
      </c>
      <c r="G88" s="7">
        <f t="shared" si="10"/>
        <v>2.5641025641025639</v>
      </c>
      <c r="H88" s="5" t="s">
        <v>125</v>
      </c>
      <c r="I88" s="6"/>
      <c r="J88" s="6"/>
      <c r="K88" s="51"/>
      <c r="L88" s="18"/>
    </row>
    <row r="89" spans="1:12" ht="21" x14ac:dyDescent="0.3">
      <c r="A89" s="70" t="s">
        <v>62</v>
      </c>
      <c r="B89" s="6" t="s">
        <v>18</v>
      </c>
      <c r="C89" s="30">
        <v>170</v>
      </c>
      <c r="D89" s="30">
        <v>185</v>
      </c>
      <c r="E89" s="30">
        <v>170</v>
      </c>
      <c r="F89" s="30">
        <v>180</v>
      </c>
      <c r="G89" s="7">
        <f t="shared" ref="G89" si="11">((C89+D89)/2-(E89+F89)/2)/((E89+F89)/2)*100</f>
        <v>1.4285714285714286</v>
      </c>
      <c r="H89" s="5" t="s">
        <v>120</v>
      </c>
      <c r="I89" s="6"/>
      <c r="J89" s="6"/>
      <c r="K89" s="51"/>
      <c r="L89" s="18"/>
    </row>
    <row r="90" spans="1:12" ht="21" x14ac:dyDescent="0.3">
      <c r="A90" s="73"/>
      <c r="B90" s="3"/>
      <c r="C90" s="79"/>
      <c r="D90" s="79"/>
      <c r="E90" s="79"/>
      <c r="F90" s="79"/>
      <c r="G90" s="10"/>
      <c r="H90" s="1"/>
      <c r="I90" s="3"/>
      <c r="J90" s="3"/>
      <c r="K90" s="51"/>
      <c r="L90" s="18"/>
    </row>
    <row r="91" spans="1:12" ht="23.25" x14ac:dyDescent="0.3">
      <c r="A91" s="1"/>
      <c r="B91" s="3"/>
      <c r="C91" s="9"/>
      <c r="D91" s="9"/>
      <c r="E91" s="9"/>
      <c r="F91" s="9"/>
      <c r="G91" s="10"/>
      <c r="H91" s="1"/>
      <c r="I91" s="3"/>
      <c r="J91" s="3"/>
      <c r="K91" s="12"/>
      <c r="L91" s="12"/>
    </row>
    <row r="92" spans="1:12" ht="23.25" x14ac:dyDescent="0.3">
      <c r="A92" s="1"/>
      <c r="B92" s="3"/>
      <c r="C92" s="9"/>
      <c r="D92" s="9"/>
      <c r="E92" s="9"/>
      <c r="F92" s="9"/>
      <c r="G92" s="10"/>
      <c r="H92" s="1"/>
      <c r="I92" s="3"/>
      <c r="J92" s="3"/>
      <c r="K92" s="12"/>
      <c r="L92" s="12"/>
    </row>
    <row r="93" spans="1:12" ht="23.25" x14ac:dyDescent="0.3">
      <c r="A93" s="1"/>
      <c r="B93" s="14"/>
      <c r="C93" s="15"/>
      <c r="D93" s="15"/>
      <c r="E93" s="14"/>
      <c r="F93" s="15"/>
      <c r="G93" s="39"/>
      <c r="H93" s="40"/>
      <c r="I93" s="41"/>
      <c r="J93" s="41"/>
      <c r="K93" s="41"/>
      <c r="L93" s="12"/>
    </row>
    <row r="94" spans="1:12" ht="23.25" x14ac:dyDescent="0.3">
      <c r="A94" s="1"/>
      <c r="B94" s="42"/>
      <c r="C94" s="43" t="s">
        <v>116</v>
      </c>
      <c r="D94" s="11"/>
      <c r="E94" s="42"/>
      <c r="F94" s="14"/>
      <c r="G94" s="11"/>
      <c r="H94" s="40"/>
      <c r="I94" s="13"/>
      <c r="J94" s="14" t="s">
        <v>118</v>
      </c>
      <c r="K94" s="11"/>
      <c r="L94" s="11"/>
    </row>
    <row r="95" spans="1:12" ht="23.25" x14ac:dyDescent="0.3">
      <c r="A95" s="1"/>
      <c r="B95" s="44"/>
      <c r="C95" s="43" t="s">
        <v>117</v>
      </c>
      <c r="D95" s="14"/>
      <c r="E95" s="42"/>
      <c r="F95" s="45"/>
      <c r="G95" s="47"/>
      <c r="H95" s="47"/>
      <c r="I95" s="77"/>
      <c r="J95" s="14" t="s">
        <v>119</v>
      </c>
      <c r="K95" s="14"/>
      <c r="L95" s="14"/>
    </row>
    <row r="96" spans="1:12" ht="23.25" x14ac:dyDescent="0.3">
      <c r="A96" s="1"/>
      <c r="B96" s="14"/>
      <c r="C96" s="15"/>
      <c r="D96" s="14"/>
      <c r="E96" s="15"/>
      <c r="F96" s="45"/>
      <c r="G96" s="47"/>
      <c r="H96" s="47"/>
      <c r="I96" s="46"/>
      <c r="J96" s="11"/>
      <c r="K96" s="11"/>
      <c r="L96" s="2"/>
    </row>
    <row r="97" spans="1:12" ht="18.75" x14ac:dyDescent="0.25">
      <c r="A97" s="56" t="s">
        <v>93</v>
      </c>
      <c r="B97" s="54"/>
      <c r="C97" s="52"/>
      <c r="D97" s="54"/>
      <c r="E97" s="52"/>
      <c r="F97" s="52"/>
      <c r="G97" s="52"/>
      <c r="H97" s="53"/>
      <c r="I97" s="58"/>
      <c r="J97" s="2"/>
      <c r="K97" s="2"/>
      <c r="L97" s="2"/>
    </row>
    <row r="98" spans="1:12" ht="18.75" x14ac:dyDescent="0.25">
      <c r="A98" s="55" t="s">
        <v>99</v>
      </c>
      <c r="B98" s="54"/>
      <c r="C98" s="52"/>
      <c r="D98" s="54"/>
      <c r="E98" s="52"/>
      <c r="F98" s="52"/>
      <c r="G98" s="54"/>
      <c r="H98" s="53"/>
      <c r="I98" s="58"/>
      <c r="J98" s="2"/>
      <c r="K98" s="2"/>
      <c r="L98" s="2"/>
    </row>
    <row r="99" spans="1:12" ht="18.75" x14ac:dyDescent="0.25">
      <c r="A99" s="55" t="s">
        <v>98</v>
      </c>
      <c r="B99" s="54"/>
      <c r="C99" s="54"/>
      <c r="D99" s="54"/>
      <c r="E99" s="54"/>
      <c r="F99" s="52"/>
      <c r="G99" s="54"/>
      <c r="H99" s="53"/>
      <c r="I99" s="58"/>
      <c r="J99" s="2"/>
      <c r="K99" s="2"/>
      <c r="L99" s="2"/>
    </row>
    <row r="100" spans="1:12" ht="18.75" x14ac:dyDescent="0.25">
      <c r="A100" s="55" t="s">
        <v>85</v>
      </c>
      <c r="B100" s="54"/>
      <c r="C100" s="54"/>
      <c r="D100" s="54"/>
      <c r="E100" s="54"/>
      <c r="F100" s="53"/>
      <c r="G100" s="53"/>
      <c r="H100" s="53"/>
      <c r="I100" s="58"/>
      <c r="J100" s="2"/>
      <c r="K100" s="2"/>
      <c r="L100" s="2"/>
    </row>
    <row r="101" spans="1:12" ht="18.75" x14ac:dyDescent="0.25">
      <c r="A101" s="55" t="s">
        <v>97</v>
      </c>
      <c r="B101" s="54"/>
      <c r="C101" s="54"/>
      <c r="D101" s="54"/>
      <c r="E101" s="54"/>
      <c r="F101" s="54"/>
      <c r="G101" s="53"/>
      <c r="H101" s="53"/>
      <c r="I101" s="58"/>
      <c r="J101" s="2"/>
      <c r="K101" s="2"/>
      <c r="L101" s="2"/>
    </row>
    <row r="102" spans="1:12" ht="18.75" x14ac:dyDescent="0.25">
      <c r="A102" s="55" t="s">
        <v>96</v>
      </c>
      <c r="B102" s="54"/>
      <c r="C102" s="54"/>
      <c r="D102" s="54"/>
      <c r="E102" s="54"/>
      <c r="F102" s="54"/>
      <c r="G102" s="54"/>
      <c r="H102" s="53"/>
      <c r="I102" s="58"/>
      <c r="J102" s="2"/>
      <c r="K102" s="2"/>
      <c r="L102" s="2"/>
    </row>
    <row r="103" spans="1:12" ht="18.75" x14ac:dyDescent="0.25">
      <c r="A103" s="55" t="s">
        <v>107</v>
      </c>
      <c r="B103" s="54"/>
      <c r="C103" s="54"/>
      <c r="D103" s="54"/>
      <c r="E103" s="54"/>
      <c r="F103" s="54"/>
      <c r="G103" s="54"/>
      <c r="H103" s="53"/>
      <c r="I103" s="58"/>
      <c r="J103" s="2"/>
      <c r="K103" s="2"/>
      <c r="L103" s="2"/>
    </row>
    <row r="104" spans="1:12" ht="18.75" x14ac:dyDescent="0.25">
      <c r="A104" s="55" t="s">
        <v>95</v>
      </c>
      <c r="B104" s="54"/>
      <c r="C104" s="54"/>
      <c r="D104" s="54"/>
      <c r="E104" s="54"/>
      <c r="F104" s="54"/>
      <c r="G104" s="54"/>
      <c r="H104" s="53"/>
      <c r="I104" s="58"/>
      <c r="J104" s="2"/>
      <c r="K104" s="2"/>
      <c r="L104" s="2"/>
    </row>
    <row r="105" spans="1:12" ht="18.75" x14ac:dyDescent="0.25">
      <c r="A105" s="55" t="s">
        <v>94</v>
      </c>
      <c r="B105" s="54"/>
      <c r="C105" s="54"/>
      <c r="D105" s="54"/>
      <c r="E105" s="54"/>
      <c r="F105" s="54"/>
      <c r="G105" s="54"/>
      <c r="H105" s="53"/>
      <c r="I105" s="58"/>
      <c r="J105" s="2"/>
      <c r="K105" s="2"/>
      <c r="L105" s="2"/>
    </row>
    <row r="106" spans="1:12" ht="18.75" x14ac:dyDescent="0.25">
      <c r="A106" s="55" t="s">
        <v>86</v>
      </c>
      <c r="B106" s="54"/>
      <c r="C106" s="54"/>
      <c r="D106" s="54"/>
      <c r="E106" s="54"/>
      <c r="F106" s="54"/>
      <c r="G106" s="54"/>
      <c r="H106" s="53"/>
      <c r="I106" s="58"/>
      <c r="J106" s="2"/>
      <c r="K106" s="2"/>
      <c r="L106" s="2"/>
    </row>
    <row r="107" spans="1:12" ht="18.75" x14ac:dyDescent="0.25">
      <c r="A107" s="55" t="s">
        <v>101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8.75" x14ac:dyDescent="0.25">
      <c r="A108" s="55" t="s">
        <v>100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8.75" x14ac:dyDescent="0.25">
      <c r="A109" s="55" t="s">
        <v>102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8.75" x14ac:dyDescent="0.25">
      <c r="A110" s="55" t="s">
        <v>103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8.75" x14ac:dyDescent="0.25">
      <c r="A111" s="55" t="s">
        <v>87</v>
      </c>
      <c r="B111" s="54"/>
      <c r="C111" s="54"/>
      <c r="D111" s="54"/>
      <c r="E111" s="54"/>
      <c r="F111" s="54"/>
      <c r="G111" s="54"/>
      <c r="H111" s="57"/>
      <c r="I111" s="59"/>
      <c r="J111" s="12"/>
      <c r="K111" s="12"/>
      <c r="L111" s="12"/>
    </row>
    <row r="112" spans="1:12" ht="18.75" x14ac:dyDescent="0.25">
      <c r="A112" s="55"/>
      <c r="B112" s="54"/>
      <c r="C112" s="54"/>
      <c r="D112" s="54"/>
      <c r="E112" s="54"/>
      <c r="F112" s="54"/>
      <c r="G112" s="54"/>
      <c r="H112" s="57"/>
      <c r="I112" s="59"/>
      <c r="J112" s="12"/>
      <c r="K112" s="12"/>
      <c r="L112" s="12"/>
    </row>
    <row r="113" spans="1:12" ht="18.75" x14ac:dyDescent="0.25">
      <c r="A113" s="56" t="s">
        <v>88</v>
      </c>
      <c r="B113" s="54"/>
      <c r="C113" s="54"/>
      <c r="D113" s="54"/>
      <c r="E113" s="54"/>
      <c r="F113" s="54"/>
      <c r="G113" s="54"/>
      <c r="H113" s="57"/>
      <c r="I113" s="59"/>
      <c r="J113" s="12"/>
      <c r="K113" s="12"/>
      <c r="L113" s="12"/>
    </row>
    <row r="114" spans="1:12" ht="18.75" x14ac:dyDescent="0.25">
      <c r="A114" s="55" t="s">
        <v>89</v>
      </c>
      <c r="B114" s="54"/>
      <c r="C114" s="54"/>
      <c r="D114" s="54"/>
      <c r="E114" s="54"/>
      <c r="F114" s="54"/>
      <c r="G114" s="54"/>
      <c r="H114" s="57"/>
      <c r="I114" s="59"/>
      <c r="J114" s="12"/>
      <c r="K114" s="12"/>
      <c r="L114" s="12"/>
    </row>
    <row r="115" spans="1:12" ht="18.75" x14ac:dyDescent="0.25">
      <c r="A115" s="55" t="s">
        <v>115</v>
      </c>
      <c r="B115" s="54"/>
      <c r="C115" s="54"/>
      <c r="D115" s="54"/>
      <c r="E115" s="54"/>
      <c r="F115" s="54"/>
      <c r="G115" s="54"/>
      <c r="H115" s="57"/>
      <c r="I115" s="59"/>
      <c r="J115" s="12"/>
      <c r="K115" s="12"/>
      <c r="L115" s="12"/>
    </row>
    <row r="116" spans="1:12" ht="18.75" x14ac:dyDescent="0.25">
      <c r="A116" s="55" t="s">
        <v>114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8.75" x14ac:dyDescent="0.25">
      <c r="A117" s="55" t="s">
        <v>113</v>
      </c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2:D82"/>
    <mergeCell ref="E82:F82"/>
    <mergeCell ref="H82:J82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2025-09-07T08:25:08Z</cp:lastPrinted>
  <dcterms:created xsi:type="dcterms:W3CDTF">2021-06-05T07:13:00Z</dcterms:created>
  <dcterms:modified xsi:type="dcterms:W3CDTF">2025-09-11T10:48:35Z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