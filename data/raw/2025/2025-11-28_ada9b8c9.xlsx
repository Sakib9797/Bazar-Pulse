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8_{D76FEE04-0527-884A-A2A0-145710132D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7" i="4"/>
  <c r="G86" i="4"/>
  <c r="G85" i="4"/>
  <c r="G84" i="4"/>
  <c r="G83" i="4"/>
  <c r="G91" i="4"/>
  <c r="G90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<sst xmlns="http://schemas.openxmlformats.org/spreadsheetml/2006/main" count="238" uniqueCount="130">
  <si>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</si>
  <si>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</si>
  <si>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</si>
  <si>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</si>
  <si>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</si>
  <si>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</si>
  <si>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</si>
  <si>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</si>
  <si>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</si>
  <si>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</si>
  <si>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</si>
  <si>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</si>
  <si>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</si>
  <si>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</si>
  <si>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</si>
  <si>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</si>
  <si>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</si>
  <si>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</si>
  <si>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</si>
  <si>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</si>
  <si>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</si>
  <si>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</si>
  <si>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</si>
  <si>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</si>
  <si>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</si>
  <si>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</si>
  <si>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</si>
  <si>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</si>
  <si>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</si>
  <si>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</si>
  <si>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</si>
  <si>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</si>
  <si>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</si>
  <si>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</si>
  <si>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</si>
  <si>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</si>
  <si>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</si>
  <si>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</si>
  <si>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</si>
  <si>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</si>
  <si>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</si>
  <si>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</si>
  <si>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</si>
  <si>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</si>
  <si>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</si>
  <si>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</si>
  <si>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</si>
  <si>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</si>
  <si>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</si>
  <si>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</si>
  <si>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</si>
  <si>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</si>
  <si>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</si>
  <si>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</si>
  <si>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</si>
  <si>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</si>
  <si>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</si>
  <si>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</si>
  <si>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</si>
  <si>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</si>
  <si>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</si>
  <si>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</si>
  <si>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</si>
  <si>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</si>
  <si>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</si>
  <si>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</si>
  <si>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</si>
  <si>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</si>
  <si>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</si>
  <si>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</si>
  <si>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</si>
  <si>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</si>
  <si>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</si>
  <si>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</si>
  <si>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</si>
  <si>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</si>
  <si>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</si>
  <si>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</si>
  <si>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</si>
  <si>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</si>
  <si>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</si>
  <si>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</si>
  <si>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</si>
  <si>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</si>
  <si>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</si>
  <si>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</si>
  <si>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</si>
  <si>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</si>
  <si>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</si>
  <si>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</si>
  <si>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</si>
  <si>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</si>
  <si>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</si>
  <si>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</si>
  <si>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</si>
  <si>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</si>
  <si>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</si>
  <si>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</si>
  <si>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</si>
  <si>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</si>
  <si>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</si>
  <si>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</si>
  <si>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</si>
  <si>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</si>
  <si>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</si>
  <si>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</si>
  <si>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</si>
  <si>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</si>
  <si>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</si>
  <si>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</si>
  <si>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</si>
  <si>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</si>
  <si>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</si>
  <si>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</si>
  <si>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</si>
  <si>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</si>
  <si>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</si>
  <si>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</si>
  <si>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</si>
  <si>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</si>
  <si>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</si>
  <si>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</si>
  <si>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</si>
  <si>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</si>
  <si>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নং-২৬.০৫.০০০০.০১৭.৩১.০১.২৫-৮৬৩</t>
  </si>
  <si>
    <t xml:space="preserve">শুক্রবার ২৮ নভেম্বর ২০২৫ খ্রিঃ, ১৩ অগ্রহায়ন ১৪৩২ বাংলা, ০৬ জমা-সানি ১৪৪৭ হিজরি </t>
  </si>
  <si>
    <t xml:space="preserve">   সিরিয়াল নংঃ     ২৯৬</t>
  </si>
  <si>
    <t>২৮-১১-২০২৫ তারিখে মূল্য হ্রাস পেয়েছে।</t>
  </si>
  <si>
    <t>(১ )   চাল (সরু), মসুর ডাল (মাঝারী), পেঁয়াজ (দেশী), আদা (দেশী), এলাচ, মুরগী ব্রয়লার, চিনি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</si>
</sst>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B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45989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45989</v>
      </c>
      <c r="D8" s="84"/>
      <c r="E8" s="83">
        <v>45982</v>
      </c>
      <c r="F8" s="84"/>
      <c r="G8" s="83">
        <v>45958</v>
      </c>
      <c r="H8" s="84"/>
      <c r="I8" s="26" t="s">
        <v>12</v>
      </c>
      <c r="J8" s="83">
        <v>45624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-3.125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910</v>
      </c>
      <c r="H20" s="29">
        <v>930</v>
      </c>
      <c r="I20" s="30">
        <f t="shared" si="0"/>
        <v>-0.81521739130434778</v>
      </c>
      <c r="J20" s="29">
        <v>815</v>
      </c>
      <c r="K20" s="29">
        <v>818</v>
      </c>
      <c r="L20" s="31">
        <f t="shared" si="1"/>
        <v>11.757501530924678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157</v>
      </c>
      <c r="K23" s="29">
        <v>159</v>
      </c>
      <c r="L23" s="31">
        <f t="shared" si="1"/>
        <v>-0.63291139240506333</v>
      </c>
    </row>
    <row r="24" spans="1:12" ht="21" x14ac:dyDescent="0.3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160</v>
      </c>
      <c r="K24" s="29">
        <v>161</v>
      </c>
      <c r="L24" s="31">
        <f t="shared" si="1"/>
        <v>-0.3115264797507788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" x14ac:dyDescent="0.3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130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70</v>
      </c>
      <c r="K31" s="29">
        <v>80</v>
      </c>
      <c r="L31" s="31">
        <f t="shared" si="3"/>
        <v>-10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11.111111111111111</v>
      </c>
      <c r="J33" s="29">
        <v>75</v>
      </c>
      <c r="K33" s="29">
        <v>80</v>
      </c>
      <c r="L33" s="31">
        <f t="shared" si="3"/>
        <v>-67.741935483870961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100</v>
      </c>
      <c r="D35" s="29">
        <v>115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43.333333333333336</v>
      </c>
      <c r="J35" s="29">
        <v>115</v>
      </c>
      <c r="K35" s="29">
        <v>130</v>
      </c>
      <c r="L35" s="31">
        <f t="shared" ref="L35:L50" si="5">((C35+D35)/2-(J35+K35)/2)/((J35+K35)/2)*100</f>
        <v>-12.244897959183673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" x14ac:dyDescent="0.3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220</v>
      </c>
      <c r="K38" s="29">
        <v>250</v>
      </c>
      <c r="L38" s="31">
        <f t="shared" si="5"/>
        <v>-23.404255319148938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300</v>
      </c>
      <c r="K39" s="29">
        <v>350</v>
      </c>
      <c r="L39" s="31">
        <f t="shared" si="5"/>
        <v>-20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140</v>
      </c>
      <c r="D43" s="29">
        <v>170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-67.368421052631575</v>
      </c>
    </row>
    <row r="44" spans="1:12" ht="21" x14ac:dyDescent="0.3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220</v>
      </c>
      <c r="I44" s="30">
        <f t="shared" si="4"/>
        <v>5.7142857142857144</v>
      </c>
      <c r="J44" s="29">
        <v>120</v>
      </c>
      <c r="K44" s="29">
        <v>300</v>
      </c>
      <c r="L44" s="31">
        <f t="shared" si="5"/>
        <v>-11.904761904761903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720</v>
      </c>
      <c r="I45" s="30">
        <f t="shared" si="4"/>
        <v>2.2727272727272729</v>
      </c>
      <c r="J45" s="29">
        <v>630</v>
      </c>
      <c r="K45" s="29">
        <v>800</v>
      </c>
      <c r="L45" s="31">
        <f t="shared" si="5"/>
        <v>-5.5944055944055942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4600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-1.9417475728155338</v>
      </c>
      <c r="J48" s="29">
        <v>3400</v>
      </c>
      <c r="K48" s="29">
        <v>4250</v>
      </c>
      <c r="L48" s="31">
        <f t="shared" si="5"/>
        <v>32.026143790849673</v>
      </c>
    </row>
    <row r="49" spans="1:12" ht="21" x14ac:dyDescent="0.3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" x14ac:dyDescent="0.3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150</v>
      </c>
      <c r="D56" s="29">
        <v>180</v>
      </c>
      <c r="E56" s="29">
        <v>160</v>
      </c>
      <c r="F56" s="29">
        <v>190</v>
      </c>
      <c r="G56" s="29">
        <v>180</v>
      </c>
      <c r="H56" s="29">
        <v>185</v>
      </c>
      <c r="I56" s="30">
        <f t="shared" si="6"/>
        <v>-9.5890410958904102</v>
      </c>
      <c r="J56" s="29">
        <v>175</v>
      </c>
      <c r="K56" s="29">
        <v>200</v>
      </c>
      <c r="L56" s="31">
        <f t="shared" si="7"/>
        <v>-12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45989</v>
      </c>
      <c r="D67" s="84"/>
      <c r="E67" s="83">
        <v>45982</v>
      </c>
      <c r="F67" s="84"/>
      <c r="G67" s="83">
        <v>45958</v>
      </c>
      <c r="H67" s="84"/>
      <c r="I67" s="26" t="s">
        <v>12</v>
      </c>
      <c r="J67" s="83">
        <v>45624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" x14ac:dyDescent="0.3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 x14ac:dyDescent="0.25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120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87" si="10">((C83+D83)/2-(E83+F83)/2)/((E83+F83)/2)*100</f>
        <v>-1.2738853503184715</v>
      </c>
      <c r="H83" s="5" t="s">
        <v>118</v>
      </c>
      <c r="I83" s="6"/>
      <c r="J83" s="6"/>
      <c r="K83" s="50"/>
      <c r="L83" s="17"/>
    </row>
    <row r="84" spans="1:12" ht="21" x14ac:dyDescent="0.3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119</v>
      </c>
      <c r="I84" s="6"/>
      <c r="J84" s="6"/>
      <c r="K84" s="50"/>
      <c r="L84" s="17"/>
    </row>
    <row r="85" spans="1:12" ht="21" x14ac:dyDescent="0.3">
      <c r="A85" s="69" t="s">
        <v>110</v>
      </c>
      <c r="B85" s="6" t="s">
        <v>18</v>
      </c>
      <c r="C85" s="29">
        <v>115</v>
      </c>
      <c r="D85" s="29">
        <v>140</v>
      </c>
      <c r="E85" s="29">
        <v>125</v>
      </c>
      <c r="F85" s="29">
        <v>140</v>
      </c>
      <c r="G85" s="7">
        <f t="shared" si="10"/>
        <v>-3.7735849056603774</v>
      </c>
      <c r="H85" s="5" t="s">
        <v>118</v>
      </c>
      <c r="I85" s="6"/>
      <c r="J85" s="6"/>
      <c r="K85" s="50"/>
      <c r="L85" s="17"/>
    </row>
    <row r="86" spans="1:12" ht="21" x14ac:dyDescent="0.3">
      <c r="A86" s="69" t="s">
        <v>42</v>
      </c>
      <c r="B86" s="6" t="s">
        <v>18</v>
      </c>
      <c r="C86" s="29">
        <v>20</v>
      </c>
      <c r="D86" s="29">
        <v>30</v>
      </c>
      <c r="E86" s="29">
        <v>20</v>
      </c>
      <c r="F86" s="29">
        <v>25</v>
      </c>
      <c r="G86" s="7">
        <f t="shared" si="10"/>
        <v>11.111111111111111</v>
      </c>
      <c r="H86" s="5" t="s">
        <v>119</v>
      </c>
      <c r="I86" s="6"/>
      <c r="J86" s="6"/>
      <c r="K86" s="50"/>
      <c r="L86" s="17"/>
    </row>
    <row r="87" spans="1:12" ht="21" x14ac:dyDescent="0.3">
      <c r="A87" s="69" t="s">
        <v>90</v>
      </c>
      <c r="B87" s="6" t="s">
        <v>18</v>
      </c>
      <c r="C87" s="29">
        <v>100</v>
      </c>
      <c r="D87" s="29">
        <v>115</v>
      </c>
      <c r="E87" s="29">
        <v>100</v>
      </c>
      <c r="F87" s="29">
        <v>120</v>
      </c>
      <c r="G87" s="7">
        <f t="shared" si="10"/>
        <v>-2.2727272727272729</v>
      </c>
      <c r="H87" s="5" t="s">
        <v>118</v>
      </c>
      <c r="I87" s="6"/>
      <c r="J87" s="6"/>
      <c r="K87" s="50"/>
      <c r="L87" s="17"/>
    </row>
    <row r="88" spans="1:12" ht="21" x14ac:dyDescent="0.3">
      <c r="A88" s="69" t="s">
        <v>51</v>
      </c>
      <c r="B88" s="6" t="s">
        <v>18</v>
      </c>
      <c r="C88" s="29">
        <v>140</v>
      </c>
      <c r="D88" s="29">
        <v>170</v>
      </c>
      <c r="E88" s="29">
        <v>140</v>
      </c>
      <c r="F88" s="29">
        <v>180</v>
      </c>
      <c r="G88" s="7">
        <f>((C88+D88)/2-(E88+F88)/2)/((E88+F88)/2)*100</f>
        <v>-3.125</v>
      </c>
      <c r="H88" s="5" t="s">
        <v>127</v>
      </c>
      <c r="I88" s="6"/>
      <c r="J88" s="6"/>
      <c r="K88" s="50"/>
      <c r="L88" s="17"/>
    </row>
    <row r="89" spans="1:12" ht="21" x14ac:dyDescent="0.3">
      <c r="A89" s="69" t="s">
        <v>56</v>
      </c>
      <c r="B89" s="6" t="s">
        <v>18</v>
      </c>
      <c r="C89" s="29">
        <v>4600</v>
      </c>
      <c r="D89" s="29">
        <v>5500</v>
      </c>
      <c r="E89" s="29">
        <v>4800</v>
      </c>
      <c r="F89" s="29">
        <v>5500</v>
      </c>
      <c r="G89" s="7">
        <f>((C89+D89)/2-(E89+F89)/2)/((E89+F89)/2)*100</f>
        <v>-1.9417475728155338</v>
      </c>
      <c r="H89" s="5" t="s">
        <v>117</v>
      </c>
      <c r="I89" s="6"/>
      <c r="J89" s="6"/>
      <c r="K89" s="11"/>
      <c r="L89" s="11"/>
    </row>
    <row r="90" spans="1:12" ht="23.25" x14ac:dyDescent="0.3">
      <c r="A90" s="69" t="s">
        <v>62</v>
      </c>
      <c r="B90" s="6" t="s">
        <v>18</v>
      </c>
      <c r="C90" s="29">
        <v>150</v>
      </c>
      <c r="D90" s="29">
        <v>180</v>
      </c>
      <c r="E90" s="29">
        <v>160</v>
      </c>
      <c r="F90" s="29">
        <v>190</v>
      </c>
      <c r="G90" s="7">
        <f>((C90+D90)/2-(E90+F90)/2)/((E90+F90)/2)*100</f>
        <v>-5.7142857142857144</v>
      </c>
      <c r="H90" s="5" t="s">
        <v>117</v>
      </c>
      <c r="I90" s="6"/>
      <c r="J90" s="6"/>
      <c r="K90" s="40"/>
      <c r="L90" s="11"/>
    </row>
    <row r="91" spans="1:12" ht="23.25" x14ac:dyDescent="0.3">
      <c r="A91" s="69" t="s">
        <v>71</v>
      </c>
      <c r="B91" s="6" t="s">
        <v>18</v>
      </c>
      <c r="C91" s="29">
        <v>90</v>
      </c>
      <c r="D91" s="29">
        <v>110</v>
      </c>
      <c r="E91" s="29">
        <v>95</v>
      </c>
      <c r="F91" s="29">
        <v>110</v>
      </c>
      <c r="G91" s="7">
        <f>((C91+D91)/2-(E91+F91)/2)/((E91+F91)/2)*100</f>
        <v>-2.4390243902439024</v>
      </c>
      <c r="H91" s="5" t="s">
        <v>118</v>
      </c>
      <c r="I91" s="6"/>
      <c r="J91" s="6"/>
      <c r="K91" s="40"/>
      <c r="L91" s="11"/>
    </row>
    <row r="92" spans="1:12" ht="23.25" x14ac:dyDescent="0.3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3.25" x14ac:dyDescent="0.3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3.25" x14ac:dyDescent="0.3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3.25" x14ac:dyDescent="0.3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3.25" x14ac:dyDescent="0.3">
      <c r="A96" s="1"/>
      <c r="B96" s="41"/>
      <c r="C96" s="42" t="s">
        <v>115</v>
      </c>
      <c r="D96" s="10"/>
      <c r="E96" s="41"/>
      <c r="F96" s="13"/>
      <c r="G96" s="10"/>
      <c r="H96" s="39"/>
      <c r="I96" s="12"/>
      <c r="J96" s="13" t="s">
        <v>122</v>
      </c>
      <c r="K96" s="10"/>
      <c r="L96" s="10"/>
    </row>
    <row r="97" spans="1:12" ht="23.25" x14ac:dyDescent="0.3">
      <c r="A97" s="1"/>
      <c r="B97" s="43"/>
      <c r="C97" s="42" t="s">
        <v>116</v>
      </c>
      <c r="D97" s="13"/>
      <c r="E97" s="41"/>
      <c r="F97" s="44"/>
      <c r="G97" s="46"/>
      <c r="H97" s="46"/>
      <c r="I97" s="76"/>
      <c r="J97" s="13" t="s">
        <v>123</v>
      </c>
      <c r="K97" s="13"/>
      <c r="L97" s="13"/>
    </row>
    <row r="98" spans="1:12" ht="23.25" x14ac:dyDescent="0.3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8.75" x14ac:dyDescent="0.2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8.75" x14ac:dyDescent="0.2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8.75" x14ac:dyDescent="0.2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8.75" x14ac:dyDescent="0.2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113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112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8.75" x14ac:dyDescent="0.25">
      <c r="A119" s="54" t="s">
        <v>111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2025-11-27T10:28:34Z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