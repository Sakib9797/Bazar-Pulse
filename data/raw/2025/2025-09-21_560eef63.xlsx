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25E460D0-F72C-4C87-8434-AA241690FE3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92" i="4"/>
  <c r="G94" i="4"/>
  <c r="G88" i="4"/>
  <c r="G91" i="4"/>
  <c r="G83" i="4"/>
  <c r="G84" i="4"/>
  <c r="G93" i="4"/>
  <c r="G89" i="4"/>
  <c r="G87" i="4"/>
  <c r="G86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<sst xmlns="http://schemas.openxmlformats.org/spreadsheetml/2006/main" count="247" uniqueCount="133">
  <si>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</si>
  <si>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</si>
  <si>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</si>
  <si>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</si>
  <si>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</si>
  <si>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</si>
  <si>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</si>
  <si>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</si>
  <si>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</si>
  <si>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</si>
  <si>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</si>
  <si>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</si>
  <si>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</si>
  <si>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</si>
  <si>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</si>
  <si>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</si>
  <si>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</si>
  <si>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</si>
  <si>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</si>
  <si>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</si>
  <si>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</si>
  <si>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</si>
  <si>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</si>
  <si>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</si>
  <si>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</si>
  <si>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</si>
  <si>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</si>
  <si>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</si>
  <si>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</si>
  <si>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</si>
  <si>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</si>
  <si>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</si>
  <si>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</si>
  <si>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</si>
  <si>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</si>
  <si>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</si>
  <si>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</si>
  <si>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</si>
  <si>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</si>
  <si>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</si>
  <si>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</si>
  <si>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</si>
  <si>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</si>
  <si>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</si>
  <si>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</si>
  <si>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</si>
  <si>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</si>
  <si>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</si>
  <si>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</si>
  <si>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</si>
  <si>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</si>
  <si>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</si>
  <si>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</si>
  <si>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</si>
  <si>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</si>
  <si>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</si>
  <si>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</si>
  <si>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</si>
  <si>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</si>
  <si>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</si>
  <si>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</si>
  <si>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</si>
  <si>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</si>
  <si>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</si>
  <si>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</si>
  <si>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</si>
  <si>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</si>
  <si>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</si>
  <si>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</si>
  <si>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</si>
  <si>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</si>
  <si>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</si>
  <si>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</si>
  <si>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</si>
  <si>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</si>
  <si>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</si>
  <si>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</si>
  <si>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</si>
  <si>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</si>
  <si>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</si>
  <si>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</si>
  <si>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</si>
  <si>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</si>
  <si>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</si>
  <si>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</si>
  <si>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</si>
  <si>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</si>
  <si>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</si>
  <si>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</si>
  <si>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</si>
  <si>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</si>
  <si>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</si>
  <si>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</si>
  <si>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</si>
  <si>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</si>
  <si>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</si>
  <si>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</si>
  <si>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</si>
  <si>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</si>
  <si>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</si>
  <si>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</si>
  <si>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</si>
  <si>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</si>
  <si>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</si>
  <si>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</si>
  <si>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</si>
  <si>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</si>
  <si>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</si>
  <si>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</si>
  <si>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</si>
  <si>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</si>
  <si>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</si>
  <si>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</si>
  <si>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</si>
  <si>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</si>
  <si>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</si>
  <si>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</si>
  <si>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</si>
  <si>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১৫-০৯-২০২৫ তারিখে মূল্য হ্রাস পেয়েছে।</t>
  </si>
  <si>
    <t>১৬-০৯-২০২৫ তারিখে মূল্য হ্রাস পেয়েছে।</t>
  </si>
  <si>
    <t>১৭-০৯-২০২৫ তারিখে মূল্য বৃদ্ধি পেয়েছে।</t>
  </si>
  <si>
    <t>১৮-০৯-২০২৫ তারিখে মূল্য হ্রাস পেয়েছে।</t>
  </si>
  <si>
    <t>২০-০৯-২০২৫ তারিখে মূল্য হ্রাস পেয়েছে।</t>
  </si>
  <si>
    <t>১৮-০৯-২০২৫ তারিখে মূল্য বৃদ্ধি পেয়েছে।</t>
  </si>
  <si>
    <t>(মো:হুমায়ুন কবির)</t>
  </si>
  <si>
    <t>যুগ্ম পরিচালক (বাজার তথ্য)</t>
  </si>
  <si>
    <t>স্মারক নং-২৬.০৫.০০০০.০১৭.৩১.০১.২৫-৬৬৮</t>
  </si>
  <si>
    <t xml:space="preserve">   সিরিয়াল নংঃ     ২৩৮</t>
  </si>
  <si>
    <t xml:space="preserve">রবিবার ২১ সেপ্টেম্বর ২০২৫ খ্রিঃ, ০৬ আশ্বিন ১৪৩২ বাংলা, ২৭ রবিউল আউয়াল ১৪৪৭ হিজরি </t>
  </si>
  <si>
    <t>২১-০৯-২০২৫ তারিখে মূল্য বৃদ্ধি পেয়েছে।</t>
  </si>
  <si>
    <t>২১-০৯-২০২৫ তারিখে মূল্য হ্রাস পেয়েছে।</t>
  </si>
  <si>
    <t>(১)     সয়াবিন তেল লুজ, পাম অয়েল লুজ, ছোলা, এলাচ, মুরগী ব্রয়লার এর মূল্য বৃদ্ধি পেয়েছে।</t>
  </si>
  <si>
    <t>(২ )    চাল (মাঝারী), আলু, পেঁয়াজ (দেশী), আদা (আম), দারুচিনি, ধনে, তেজপাতা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</si>
</sst>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topLeftCell="A61" zoomScale="98" zoomScaleNormal="98" workbookViewId="0">
      <selection activeCell="H95" sqref="H95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127</v>
      </c>
      <c r="L4" s="84"/>
    </row>
    <row r="5" spans="1:12" ht="19.5" customHeight="1">
      <c r="A5" s="18"/>
      <c r="B5" s="8"/>
      <c r="C5" s="8"/>
      <c r="D5" s="18"/>
      <c r="E5" s="8"/>
      <c r="F5" s="8" t="s">
        <v>128</v>
      </c>
      <c r="G5" s="8"/>
      <c r="H5" s="8"/>
      <c r="I5" s="8"/>
      <c r="J5" s="8"/>
      <c r="K5" s="8"/>
      <c r="L5" s="50"/>
    </row>
    <row r="6" spans="1:12" ht="21.75">
      <c r="A6" s="21" t="s">
        <v>126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45921</v>
      </c>
    </row>
    <row r="7" spans="1:12" ht="21.7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.75">
      <c r="A8" s="26"/>
      <c r="B8" s="27"/>
      <c r="C8" s="85">
        <v>45921</v>
      </c>
      <c r="D8" s="84"/>
      <c r="E8" s="85">
        <v>45914</v>
      </c>
      <c r="F8" s="84"/>
      <c r="G8" s="85">
        <v>45890</v>
      </c>
      <c r="H8" s="84"/>
      <c r="I8" s="27" t="s">
        <v>12</v>
      </c>
      <c r="J8" s="85">
        <v>45556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44</v>
      </c>
      <c r="H14" s="30">
        <v>50</v>
      </c>
      <c r="I14" s="31">
        <f>((C14+D14)/2-(G14+H14)/2)/((G14+H14)/2)*100</f>
        <v>3.1914893617021276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175</v>
      </c>
      <c r="E19" s="30">
        <v>168</v>
      </c>
      <c r="F19" s="30">
        <v>174</v>
      </c>
      <c r="G19" s="30">
        <v>165</v>
      </c>
      <c r="H19" s="30">
        <v>172</v>
      </c>
      <c r="I19" s="31">
        <f t="shared" ref="I19:I25" si="0">((C19+D19)/2-(G19+H19)/2)/((G19+H19)/2)*100</f>
        <v>2.3738872403560833</v>
      </c>
      <c r="J19" s="30">
        <v>145</v>
      </c>
      <c r="K19" s="30">
        <v>155</v>
      </c>
      <c r="L19" s="32">
        <f t="shared" ref="L19:L25" si="1">((C19+D19)/2-(J19+K19)/2)/((J19+K19)/2)*100</f>
        <v>15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372</v>
      </c>
      <c r="H21" s="30">
        <v>378</v>
      </c>
      <c r="I21" s="31">
        <f t="shared" si="0"/>
        <v>0.4</v>
      </c>
      <c r="J21" s="30">
        <v>330</v>
      </c>
      <c r="K21" s="30">
        <v>335</v>
      </c>
      <c r="L21" s="32">
        <f t="shared" si="1"/>
        <v>13.233082706766917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158</v>
      </c>
      <c r="G23" s="30">
        <v>150</v>
      </c>
      <c r="H23" s="30">
        <v>158</v>
      </c>
      <c r="I23" s="31">
        <f t="shared" si="0"/>
        <v>1.6233766233766231</v>
      </c>
      <c r="J23" s="30">
        <v>130</v>
      </c>
      <c r="K23" s="30">
        <v>135</v>
      </c>
      <c r="L23" s="32">
        <f t="shared" si="1"/>
        <v>18.113207547169811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165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150</v>
      </c>
      <c r="H30" s="30">
        <v>180</v>
      </c>
      <c r="I30" s="31">
        <f t="shared" si="2"/>
        <v>-9.0909090909090917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4.8780487804878048</v>
      </c>
      <c r="J32" s="30">
        <v>115</v>
      </c>
      <c r="K32" s="30">
        <v>125</v>
      </c>
      <c r="L32" s="32">
        <f t="shared" si="3"/>
        <v>-10.416666666666668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82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105</v>
      </c>
      <c r="K35" s="30">
        <v>115</v>
      </c>
      <c r="L35" s="32">
        <f t="shared" ref="L35:L50" si="5">((C35+D35)/2-(J35+K35)/2)/((J35+K35)/2)*100</f>
        <v>-31.818181818181817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150</v>
      </c>
      <c r="I37" s="31">
        <f t="shared" si="4"/>
        <v>4.3478260869565215</v>
      </c>
      <c r="J37" s="30">
        <v>220</v>
      </c>
      <c r="K37" s="30">
        <v>250</v>
      </c>
      <c r="L37" s="32">
        <f t="shared" si="5"/>
        <v>-48.936170212765958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140</v>
      </c>
      <c r="H38" s="30">
        <v>200</v>
      </c>
      <c r="I38" s="31">
        <f t="shared" si="4"/>
        <v>-2.9411764705882351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250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130</v>
      </c>
      <c r="D44" s="30">
        <v>220</v>
      </c>
      <c r="E44" s="30">
        <v>140</v>
      </c>
      <c r="F44" s="30">
        <v>260</v>
      </c>
      <c r="G44" s="30">
        <v>150</v>
      </c>
      <c r="H44" s="30">
        <v>270</v>
      </c>
      <c r="I44" s="31">
        <f t="shared" si="4"/>
        <v>-16.666666666666664</v>
      </c>
      <c r="J44" s="30">
        <v>200</v>
      </c>
      <c r="K44" s="30">
        <v>280</v>
      </c>
      <c r="L44" s="32">
        <f t="shared" si="5"/>
        <v>-27.083333333333332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4700</v>
      </c>
      <c r="F48" s="30">
        <v>5500</v>
      </c>
      <c r="G48" s="30">
        <v>4600</v>
      </c>
      <c r="H48" s="30">
        <v>5400</v>
      </c>
      <c r="I48" s="31">
        <f t="shared" si="4"/>
        <v>3</v>
      </c>
      <c r="J48" s="30">
        <v>3200</v>
      </c>
      <c r="K48" s="30">
        <v>3600</v>
      </c>
      <c r="L48" s="32">
        <f t="shared" si="5"/>
        <v>51.470588235294116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250</v>
      </c>
      <c r="L49" s="32">
        <f t="shared" si="5"/>
        <v>6.666666666666667</v>
      </c>
    </row>
    <row r="50" spans="1:12" ht="21.75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225</v>
      </c>
      <c r="G50" s="30">
        <v>200</v>
      </c>
      <c r="H50" s="30">
        <v>220</v>
      </c>
      <c r="I50" s="31">
        <f t="shared" si="4"/>
        <v>-1.1904761904761905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730</v>
      </c>
      <c r="K54" s="30">
        <v>750</v>
      </c>
      <c r="L54" s="32">
        <f t="shared" si="7"/>
        <v>4.7297297297297298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1200</v>
      </c>
      <c r="G55" s="30">
        <v>1000</v>
      </c>
      <c r="H55" s="30">
        <v>1250</v>
      </c>
      <c r="I55" s="31">
        <f t="shared" si="6"/>
        <v>0</v>
      </c>
      <c r="J55" s="30">
        <v>1000</v>
      </c>
      <c r="K55" s="30">
        <v>1100</v>
      </c>
      <c r="L55" s="32">
        <f t="shared" si="7"/>
        <v>7.1428571428571423</v>
      </c>
    </row>
    <row r="56" spans="1:12" ht="21.75">
      <c r="A56" s="70" t="s">
        <v>62</v>
      </c>
      <c r="B56" s="6" t="s">
        <v>18</v>
      </c>
      <c r="C56" s="30">
        <v>170</v>
      </c>
      <c r="D56" s="30">
        <v>190</v>
      </c>
      <c r="E56" s="30">
        <v>170</v>
      </c>
      <c r="F56" s="30">
        <v>185</v>
      </c>
      <c r="G56" s="30">
        <v>170</v>
      </c>
      <c r="H56" s="30">
        <v>185</v>
      </c>
      <c r="I56" s="31">
        <f t="shared" si="6"/>
        <v>1.4084507042253522</v>
      </c>
      <c r="J56" s="30">
        <v>170</v>
      </c>
      <c r="K56" s="30">
        <v>185</v>
      </c>
      <c r="L56" s="32">
        <f t="shared" si="7"/>
        <v>1.4084507042253522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700</v>
      </c>
      <c r="G57" s="30">
        <v>550</v>
      </c>
      <c r="H57" s="30">
        <v>700</v>
      </c>
      <c r="I57" s="31">
        <f t="shared" si="6"/>
        <v>-4</v>
      </c>
      <c r="J57" s="30">
        <v>520</v>
      </c>
      <c r="K57" s="30">
        <v>650</v>
      </c>
      <c r="L57" s="32">
        <f t="shared" si="7"/>
        <v>2.5641025641025639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840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>
      <c r="A67" s="74"/>
      <c r="B67" s="65"/>
      <c r="C67" s="85">
        <v>45921</v>
      </c>
      <c r="D67" s="84"/>
      <c r="E67" s="85">
        <v>45914</v>
      </c>
      <c r="F67" s="84"/>
      <c r="G67" s="85">
        <v>45890</v>
      </c>
      <c r="H67" s="84"/>
      <c r="I67" s="27" t="s">
        <v>12</v>
      </c>
      <c r="J67" s="85">
        <v>45556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105</v>
      </c>
      <c r="B83" s="6" t="s">
        <v>18</v>
      </c>
      <c r="C83" s="30">
        <v>60</v>
      </c>
      <c r="D83" s="30">
        <v>70</v>
      </c>
      <c r="E83" s="30">
        <v>60</v>
      </c>
      <c r="F83" s="30">
        <v>75</v>
      </c>
      <c r="G83" s="7">
        <f t="shared" ref="G83:G84" si="10">((C83+D83)/2-(E83+F83)/2)/((E83+F83)/2)*100</f>
        <v>-3.7037037037037033</v>
      </c>
      <c r="H83" s="5" t="s">
        <v>119</v>
      </c>
      <c r="I83" s="6"/>
      <c r="J83" s="6"/>
      <c r="K83" s="51"/>
      <c r="L83" s="18"/>
    </row>
    <row r="84" spans="1:12" ht="21.75">
      <c r="A84" s="5" t="s">
        <v>27</v>
      </c>
      <c r="B84" s="6" t="s">
        <v>28</v>
      </c>
      <c r="C84" s="30">
        <v>170</v>
      </c>
      <c r="D84" s="30">
        <v>175</v>
      </c>
      <c r="E84" s="30">
        <v>168</v>
      </c>
      <c r="F84" s="30">
        <v>174</v>
      </c>
      <c r="G84" s="7">
        <f t="shared" si="10"/>
        <v>0.8771929824561403</v>
      </c>
      <c r="H84" s="5" t="s">
        <v>120</v>
      </c>
      <c r="I84" s="6"/>
      <c r="J84" s="6"/>
      <c r="K84" s="51"/>
      <c r="L84" s="18"/>
    </row>
    <row r="85" spans="1:12" ht="21.75">
      <c r="A85" s="70" t="s">
        <v>33</v>
      </c>
      <c r="B85" s="6" t="s">
        <v>28</v>
      </c>
      <c r="C85" s="30">
        <v>153</v>
      </c>
      <c r="D85" s="30">
        <v>160</v>
      </c>
      <c r="E85" s="30">
        <v>153</v>
      </c>
      <c r="F85" s="30">
        <v>158</v>
      </c>
      <c r="G85" s="7">
        <f t="shared" ref="G85:G87" si="11">((C85+D85)/2-(E85+F85)/2)/((E85+F85)/2)*100</f>
        <v>0.64308681672025725</v>
      </c>
      <c r="H85" s="5" t="s">
        <v>120</v>
      </c>
      <c r="I85" s="6"/>
      <c r="J85" s="6"/>
      <c r="K85" s="51"/>
      <c r="L85" s="18"/>
    </row>
    <row r="86" spans="1:12" ht="21.75">
      <c r="A86" s="70" t="s">
        <v>41</v>
      </c>
      <c r="B86" s="6" t="s">
        <v>18</v>
      </c>
      <c r="C86" s="30">
        <v>100</v>
      </c>
      <c r="D86" s="30">
        <v>115</v>
      </c>
      <c r="E86" s="30">
        <v>95</v>
      </c>
      <c r="F86" s="30">
        <v>110</v>
      </c>
      <c r="G86" s="7">
        <f t="shared" si="11"/>
        <v>4.8780487804878048</v>
      </c>
      <c r="H86" s="5" t="s">
        <v>120</v>
      </c>
      <c r="I86" s="6"/>
      <c r="J86" s="6"/>
      <c r="K86" s="51"/>
      <c r="L86" s="18"/>
    </row>
    <row r="87" spans="1:12" ht="21.75">
      <c r="A87" s="70" t="s">
        <v>42</v>
      </c>
      <c r="B87" s="6" t="s">
        <v>18</v>
      </c>
      <c r="C87" s="30">
        <v>20</v>
      </c>
      <c r="D87" s="30">
        <v>25</v>
      </c>
      <c r="E87" s="30">
        <v>20</v>
      </c>
      <c r="F87" s="30">
        <v>30</v>
      </c>
      <c r="G87" s="7">
        <f t="shared" si="11"/>
        <v>-10</v>
      </c>
      <c r="H87" s="5" t="s">
        <v>118</v>
      </c>
      <c r="I87" s="6"/>
      <c r="J87" s="6"/>
      <c r="K87" s="51"/>
      <c r="L87" s="18"/>
    </row>
    <row r="88" spans="1:12" ht="21.75">
      <c r="A88" s="70" t="s">
        <v>90</v>
      </c>
      <c r="B88" s="6" t="s">
        <v>18</v>
      </c>
      <c r="C88" s="30">
        <v>70</v>
      </c>
      <c r="D88" s="30">
        <v>80</v>
      </c>
      <c r="E88" s="30">
        <v>70</v>
      </c>
      <c r="F88" s="30">
        <v>82</v>
      </c>
      <c r="G88" s="7">
        <f t="shared" ref="G88:G94" si="12">((C88+D88)/2-(E88+F88)/2)/((E88+F88)/2)*100</f>
        <v>-1.3157894736842104</v>
      </c>
      <c r="H88" s="5" t="s">
        <v>122</v>
      </c>
      <c r="I88" s="6"/>
      <c r="J88" s="6"/>
      <c r="K88" s="51"/>
      <c r="L88" s="18"/>
    </row>
    <row r="89" spans="1:12" ht="21.75">
      <c r="A89" s="70" t="s">
        <v>52</v>
      </c>
      <c r="B89" s="6" t="s">
        <v>18</v>
      </c>
      <c r="C89" s="30">
        <v>130</v>
      </c>
      <c r="D89" s="30">
        <v>220</v>
      </c>
      <c r="E89" s="30">
        <v>140</v>
      </c>
      <c r="F89" s="30">
        <v>260</v>
      </c>
      <c r="G89" s="7">
        <f t="shared" si="12"/>
        <v>-12.5</v>
      </c>
      <c r="H89" s="5" t="s">
        <v>121</v>
      </c>
      <c r="I89" s="6"/>
      <c r="J89" s="6"/>
      <c r="K89" s="51"/>
      <c r="L89" s="18"/>
    </row>
    <row r="90" spans="1:12" ht="21.75">
      <c r="A90" s="70" t="s">
        <v>54</v>
      </c>
      <c r="B90" s="6" t="s">
        <v>18</v>
      </c>
      <c r="C90" s="30">
        <v>480</v>
      </c>
      <c r="D90" s="30">
        <v>600</v>
      </c>
      <c r="E90" s="30">
        <v>500</v>
      </c>
      <c r="F90" s="30">
        <v>600</v>
      </c>
      <c r="G90" s="7">
        <f t="shared" si="12"/>
        <v>-1.8181818181818181</v>
      </c>
      <c r="H90" s="5" t="s">
        <v>130</v>
      </c>
      <c r="I90" s="6"/>
      <c r="J90" s="6"/>
      <c r="K90" s="51"/>
      <c r="L90" s="18"/>
    </row>
    <row r="91" spans="1:12" ht="21.75">
      <c r="A91" s="70" t="s">
        <v>56</v>
      </c>
      <c r="B91" s="6" t="s">
        <v>18</v>
      </c>
      <c r="C91" s="30">
        <v>4800</v>
      </c>
      <c r="D91" s="30">
        <v>5500</v>
      </c>
      <c r="E91" s="30">
        <v>4700</v>
      </c>
      <c r="F91" s="30">
        <v>5500</v>
      </c>
      <c r="G91" s="7">
        <f t="shared" si="12"/>
        <v>0.98039215686274506</v>
      </c>
      <c r="H91" s="5" t="s">
        <v>123</v>
      </c>
      <c r="I91" s="6"/>
      <c r="J91" s="6"/>
      <c r="K91" s="51"/>
      <c r="L91" s="18"/>
    </row>
    <row r="92" spans="1:12" ht="21.75">
      <c r="A92" s="70" t="s">
        <v>57</v>
      </c>
      <c r="B92" s="6" t="s">
        <v>18</v>
      </c>
      <c r="C92" s="30">
        <v>200</v>
      </c>
      <c r="D92" s="30">
        <v>280</v>
      </c>
      <c r="E92" s="30">
        <v>220</v>
      </c>
      <c r="F92" s="30">
        <v>280</v>
      </c>
      <c r="G92" s="7">
        <f t="shared" si="12"/>
        <v>-4</v>
      </c>
      <c r="H92" s="5" t="s">
        <v>130</v>
      </c>
      <c r="I92" s="6"/>
      <c r="J92" s="6"/>
      <c r="K92" s="51"/>
      <c r="L92" s="18"/>
    </row>
    <row r="93" spans="1:12" ht="21.75">
      <c r="A93" s="70" t="s">
        <v>58</v>
      </c>
      <c r="B93" s="6" t="s">
        <v>18</v>
      </c>
      <c r="C93" s="30">
        <v>190</v>
      </c>
      <c r="D93" s="30">
        <v>225</v>
      </c>
      <c r="E93" s="30">
        <v>200</v>
      </c>
      <c r="F93" s="30">
        <v>225</v>
      </c>
      <c r="G93" s="7">
        <f t="shared" si="12"/>
        <v>-2.3529411764705883</v>
      </c>
      <c r="H93" s="5" t="s">
        <v>130</v>
      </c>
      <c r="I93" s="6"/>
      <c r="J93" s="6"/>
      <c r="K93" s="51"/>
      <c r="L93" s="18"/>
    </row>
    <row r="94" spans="1:12" ht="21.75">
      <c r="A94" s="70" t="s">
        <v>62</v>
      </c>
      <c r="B94" s="6" t="s">
        <v>18</v>
      </c>
      <c r="C94" s="30">
        <v>170</v>
      </c>
      <c r="D94" s="30">
        <v>190</v>
      </c>
      <c r="E94" s="30">
        <v>170</v>
      </c>
      <c r="F94" s="30">
        <v>185</v>
      </c>
      <c r="G94" s="7">
        <f t="shared" si="12"/>
        <v>1.4084507042253522</v>
      </c>
      <c r="H94" s="5" t="s">
        <v>129</v>
      </c>
      <c r="I94" s="6"/>
      <c r="J94" s="6"/>
      <c r="K94" s="51"/>
      <c r="L94" s="18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4.75">
      <c r="A98" s="1"/>
      <c r="B98" s="42"/>
      <c r="C98" s="43" t="s">
        <v>124</v>
      </c>
      <c r="D98" s="11"/>
      <c r="E98" s="42"/>
      <c r="F98" s="14"/>
      <c r="G98" s="11"/>
      <c r="H98" s="40"/>
      <c r="I98" s="13"/>
      <c r="J98" s="14" t="s">
        <v>116</v>
      </c>
      <c r="K98" s="11"/>
      <c r="L98" s="11"/>
    </row>
    <row r="99" spans="1:12" ht="24.75">
      <c r="A99" s="1"/>
      <c r="B99" s="44"/>
      <c r="C99" s="43" t="s">
        <v>125</v>
      </c>
      <c r="D99" s="14"/>
      <c r="E99" s="42"/>
      <c r="F99" s="45"/>
      <c r="G99" s="47"/>
      <c r="H99" s="47"/>
      <c r="I99" s="77"/>
      <c r="J99" s="14" t="s">
        <v>117</v>
      </c>
      <c r="K99" s="14"/>
      <c r="L99" s="14"/>
    </row>
    <row r="100" spans="1:12" ht="24.75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9.5">
      <c r="A101" s="56" t="s">
        <v>93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9.5">
      <c r="A102" s="55" t="s">
        <v>99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98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9.5">
      <c r="A105" s="55" t="s">
        <v>97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9.5">
      <c r="A106" s="55" t="s">
        <v>96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95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94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101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100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103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115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114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113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2025-09-21T08:19:23Z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