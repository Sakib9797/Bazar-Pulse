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09448AEF-C6E6-494D-825A-65ED8D6A4A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87" i="4"/>
  <c r="G86" i="4"/>
  <c r="G83" i="4"/>
  <c r="G85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<sst xmlns="http://schemas.openxmlformats.org/spreadsheetml/2006/main" count="229" uniqueCount="128">
  <si>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</si>
  <si>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</si>
  <si>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</si>
  <si>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</si>
  <si>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</si>
  <si>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</si>
  <si>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</si>
  <si>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</si>
  <si>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</si>
  <si>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</si>
  <si>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</si>
  <si>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</si>
  <si>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</si>
  <si>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</si>
  <si>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</si>
  <si>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</si>
  <si>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</si>
  <si>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</si>
  <si>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</si>
  <si>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</si>
  <si>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</si>
  <si>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</si>
  <si>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</si>
  <si>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</si>
  <si>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</si>
  <si>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</si>
  <si>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</si>
  <si>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</si>
  <si>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</si>
  <si>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</si>
  <si>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</si>
  <si>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</si>
  <si>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</si>
  <si>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</si>
  <si>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</si>
  <si>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</si>
  <si>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</si>
  <si>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</si>
  <si>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</si>
  <si>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</si>
  <si>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</si>
  <si>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</si>
  <si>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</si>
  <si>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</si>
  <si>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</si>
  <si>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</si>
  <si>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</si>
  <si>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</si>
  <si>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</si>
  <si>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</si>
  <si>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</si>
  <si>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</si>
  <si>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</si>
  <si>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</si>
  <si>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</si>
  <si>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</si>
  <si>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</si>
  <si>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</si>
  <si>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</si>
  <si>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</si>
  <si>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</si>
  <si>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</si>
  <si>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</si>
  <si>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</si>
  <si>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</si>
  <si>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</si>
  <si>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</si>
  <si>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</si>
  <si>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</si>
  <si>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</si>
  <si>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</si>
  <si>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</si>
  <si>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</si>
  <si>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</si>
  <si>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</si>
  <si>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</si>
  <si>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</si>
  <si>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</si>
  <si>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</si>
  <si>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</si>
  <si>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</si>
  <si>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</si>
  <si>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</si>
  <si>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</si>
  <si>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</si>
  <si>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</si>
  <si>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</si>
  <si>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</si>
  <si>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</si>
  <si>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</si>
  <si>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</si>
  <si>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</si>
  <si>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</si>
  <si>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</si>
  <si>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</si>
  <si>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</si>
  <si>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</si>
  <si>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</si>
  <si>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</si>
  <si>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</si>
  <si>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</si>
  <si>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</si>
  <si>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</si>
  <si>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</si>
  <si>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</si>
  <si>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</si>
  <si>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</si>
  <si>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</si>
  <si>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</si>
  <si>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</si>
  <si>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</si>
  <si>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</si>
  <si>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</si>
  <si>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</si>
  <si>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</si>
  <si>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</si>
  <si>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</si>
  <si>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>২৯-১০-২০২৫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</si>
  <si>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</si>
  <si>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</si>
  <si>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স্মারক নং-২৬.০৫.০০০০.০১৭.৩১.০১.২৫-৭৮২</t>
  </si>
  <si>
    <t xml:space="preserve">রবিবার ০২ নভেম্বর ২০২৫ খ্রিঃ, ১৭ কার্তিক ১৪৩২ বাংলা, ১০ জমা-আউ ১৪৪৭ হিজরি </t>
  </si>
  <si>
    <t xml:space="preserve">   সিরিয়াল নংঃ     ২৭৩</t>
  </si>
  <si>
    <t>(জামাল উদ্দিন আহমেদ)</t>
  </si>
  <si>
    <t>০২-১১-২০২৫ তারিখে মূল্য বৃদ্ধি পেয়েছে।</t>
  </si>
  <si>
    <t>০২-১১-২০২৫ তারিখে মূল্য হ্রাস পেয়েছে।</t>
  </si>
  <si>
    <t>(১)     সয়াবিন তেল ( ৫লি: বোতল), পেঁয়াজ (দেশী), রশুন (আম)    এর মূল্য বৃদ্ধি পেয়েছে।</t>
  </si>
  <si>
    <t>(২ )   চাল (সরু), সয়াবিন তেল (লুজ),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</si>
</sst>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3" fillId="0" borderId="0" xfId="3" applyFont="1" applyBorder="1" applyAlignment="1">
      <alignment horizontal="left" vertical="center"/>
    </xf>
    <xf numFmtId="0" fontId="6" fillId="0" borderId="0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5"/>
  <sheetViews>
    <sheetView tabSelected="1" zoomScale="96" zoomScaleNormal="96" workbookViewId="0">
      <selection activeCell="B79" sqref="B7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122</v>
      </c>
      <c r="L4" s="84"/>
    </row>
    <row r="5" spans="1:12" ht="19.5" customHeight="1">
      <c r="A5" s="17"/>
      <c r="B5" s="8"/>
      <c r="C5" s="8"/>
      <c r="D5" s="17"/>
      <c r="E5" s="8"/>
      <c r="F5" s="8" t="s">
        <v>121</v>
      </c>
      <c r="G5" s="8"/>
      <c r="H5" s="8"/>
      <c r="I5" s="8"/>
      <c r="J5" s="8"/>
      <c r="K5" s="8"/>
      <c r="L5" s="49"/>
    </row>
    <row r="6" spans="1:12" ht="21.75">
      <c r="A6" s="20" t="s">
        <v>120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45963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45963</v>
      </c>
      <c r="D8" s="84"/>
      <c r="E8" s="83">
        <v>45956</v>
      </c>
      <c r="F8" s="84"/>
      <c r="G8" s="83">
        <v>45930</v>
      </c>
      <c r="H8" s="84"/>
      <c r="I8" s="26" t="s">
        <v>12</v>
      </c>
      <c r="J8" s="83">
        <v>45598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75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70</v>
      </c>
      <c r="K10" s="29">
        <v>80</v>
      </c>
      <c r="L10" s="31">
        <f>((C10+D10)/2-(J10+K10)/2)/((J10+K10)/2)*100</f>
        <v>4.666666666666667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59</v>
      </c>
      <c r="K11" s="29">
        <v>65</v>
      </c>
      <c r="L11" s="31">
        <f>((C11+D11)/2-(J11+K11)/2)/((J11+K11)/2)*100</f>
        <v>4.838709677419355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52</v>
      </c>
      <c r="K12" s="29">
        <v>55</v>
      </c>
      <c r="L12" s="31">
        <f>((C12+D12)/2-(J12+K12)/2)/((J12+K12)/2)*100</f>
        <v>7.4766355140186906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172</v>
      </c>
      <c r="F19" s="29">
        <v>180</v>
      </c>
      <c r="G19" s="29">
        <v>170</v>
      </c>
      <c r="H19" s="29">
        <v>178</v>
      </c>
      <c r="I19" s="30">
        <f t="shared" ref="I19:I25" si="0">((C19+D19)/2-(G19+H19)/2)/((G19+H19)/2)*100</f>
        <v>0.57471264367816088</v>
      </c>
      <c r="J19" s="29">
        <v>158</v>
      </c>
      <c r="K19" s="29">
        <v>160</v>
      </c>
      <c r="L19" s="31">
        <f t="shared" ref="L19:L25" si="1">((C19+D19)/2-(J19+K19)/2)/((J19+K19)/2)*100</f>
        <v>10.062893081761008</v>
      </c>
    </row>
    <row r="20" spans="1:12" ht="21.75">
      <c r="A20" s="69" t="s">
        <v>29</v>
      </c>
      <c r="B20" s="6" t="s">
        <v>30</v>
      </c>
      <c r="C20" s="29">
        <v>900</v>
      </c>
      <c r="D20" s="29">
        <v>930</v>
      </c>
      <c r="E20" s="29">
        <v>900</v>
      </c>
      <c r="F20" s="29">
        <v>925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380</v>
      </c>
      <c r="I21" s="30">
        <f t="shared" si="0"/>
        <v>0.66225165562913912</v>
      </c>
      <c r="J21" s="29">
        <v>330</v>
      </c>
      <c r="K21" s="29">
        <v>335</v>
      </c>
      <c r="L21" s="31">
        <f t="shared" si="1"/>
        <v>14.285714285714285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195</v>
      </c>
      <c r="E22" s="29">
        <v>189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165</v>
      </c>
      <c r="K22" s="29">
        <v>170</v>
      </c>
      <c r="L22" s="31">
        <f t="shared" si="1"/>
        <v>14.626865671641792</v>
      </c>
    </row>
    <row r="23" spans="1:12" ht="21.75">
      <c r="A23" s="69" t="s">
        <v>33</v>
      </c>
      <c r="B23" s="6" t="s">
        <v>28</v>
      </c>
      <c r="C23" s="29">
        <v>155</v>
      </c>
      <c r="D23" s="29">
        <v>162</v>
      </c>
      <c r="E23" s="29">
        <v>155</v>
      </c>
      <c r="F23" s="29">
        <v>162</v>
      </c>
      <c r="G23" s="29">
        <v>153</v>
      </c>
      <c r="H23" s="29">
        <v>160</v>
      </c>
      <c r="I23" s="30">
        <f t="shared" si="0"/>
        <v>1.2779552715654952</v>
      </c>
      <c r="J23" s="29">
        <v>148</v>
      </c>
      <c r="K23" s="29">
        <v>150</v>
      </c>
      <c r="L23" s="31">
        <f t="shared" si="1"/>
        <v>6.375838926174497</v>
      </c>
    </row>
    <row r="24" spans="1:12" ht="21.75">
      <c r="A24" s="69" t="s">
        <v>106</v>
      </c>
      <c r="B24" s="6" t="s">
        <v>28</v>
      </c>
      <c r="C24" s="29">
        <v>158</v>
      </c>
      <c r="D24" s="29">
        <v>165</v>
      </c>
      <c r="E24" s="29">
        <v>158</v>
      </c>
      <c r="F24" s="29">
        <v>165</v>
      </c>
      <c r="G24" s="29">
        <v>155</v>
      </c>
      <c r="H24" s="29">
        <v>166</v>
      </c>
      <c r="I24" s="30">
        <f t="shared" si="0"/>
        <v>0.62305295950155759</v>
      </c>
      <c r="J24" s="29">
        <v>151</v>
      </c>
      <c r="K24" s="29">
        <v>154</v>
      </c>
      <c r="L24" s="31">
        <f t="shared" si="1"/>
        <v>5.9016393442622954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80</v>
      </c>
      <c r="L31" s="31">
        <f t="shared" si="3"/>
        <v>-9.67741935483871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135</v>
      </c>
      <c r="L32" s="31">
        <f t="shared" si="3"/>
        <v>-19.230769230769234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18</v>
      </c>
      <c r="H33" s="29">
        <v>25</v>
      </c>
      <c r="I33" s="30">
        <f t="shared" si="2"/>
        <v>4.6511627906976747</v>
      </c>
      <c r="J33" s="29">
        <v>55</v>
      </c>
      <c r="K33" s="29">
        <v>65</v>
      </c>
      <c r="L33" s="31">
        <f t="shared" si="3"/>
        <v>-62.5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80</v>
      </c>
      <c r="D35" s="29">
        <v>105</v>
      </c>
      <c r="E35" s="29">
        <v>70</v>
      </c>
      <c r="F35" s="29">
        <v>80</v>
      </c>
      <c r="G35" s="29">
        <v>65</v>
      </c>
      <c r="H35" s="29">
        <v>80</v>
      </c>
      <c r="I35" s="30">
        <f t="shared" ref="I35:I50" si="4">((C35+D35)/2-(G35+H35)/2)/((G35+H35)/2)*100</f>
        <v>27.586206896551722</v>
      </c>
      <c r="J35" s="29">
        <v>130</v>
      </c>
      <c r="K35" s="29">
        <v>150</v>
      </c>
      <c r="L35" s="31">
        <f t="shared" ref="L35:L50" si="5">((C35+D35)/2-(J35+K35)/2)/((J35+K35)/2)*100</f>
        <v>-33.928571428571431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85</v>
      </c>
      <c r="K36" s="29">
        <v>120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-50</v>
      </c>
    </row>
    <row r="38" spans="1:12" ht="21.75">
      <c r="A38" s="69" t="s">
        <v>46</v>
      </c>
      <c r="B38" s="6" t="s">
        <v>18</v>
      </c>
      <c r="C38" s="29">
        <v>150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6.0606060606060606</v>
      </c>
      <c r="J38" s="29">
        <v>200</v>
      </c>
      <c r="K38" s="29">
        <v>230</v>
      </c>
      <c r="L38" s="31">
        <f t="shared" si="5"/>
        <v>-18.604651162790699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-8.7719298245614024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400</v>
      </c>
      <c r="G40" s="29">
        <v>320</v>
      </c>
      <c r="H40" s="29">
        <v>420</v>
      </c>
      <c r="I40" s="30">
        <f t="shared" si="4"/>
        <v>-12.162162162162163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140</v>
      </c>
      <c r="H44" s="29">
        <v>250</v>
      </c>
      <c r="I44" s="30">
        <f t="shared" si="4"/>
        <v>-5.1282051282051277</v>
      </c>
      <c r="J44" s="29">
        <v>150</v>
      </c>
      <c r="K44" s="29">
        <v>300</v>
      </c>
      <c r="L44" s="31">
        <f t="shared" si="5"/>
        <v>-17.777777777777779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0</v>
      </c>
      <c r="J49" s="29">
        <v>200</v>
      </c>
      <c r="K49" s="29">
        <v>260</v>
      </c>
      <c r="L49" s="31">
        <f t="shared" si="5"/>
        <v>4.3478260869565215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0</v>
      </c>
      <c r="J50" s="29">
        <v>120</v>
      </c>
      <c r="K50" s="29">
        <v>210</v>
      </c>
      <c r="L50" s="31">
        <f t="shared" si="5"/>
        <v>28.787878787878789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400</v>
      </c>
      <c r="L52" s="31">
        <f t="shared" ref="L52:L57" si="7">((C52+D52)/2-(J52+K52)/2)/((J52+K52)/2)*100</f>
        <v>15.384615384615385</v>
      </c>
    </row>
    <row r="53" spans="1:12" ht="21.75">
      <c r="A53" s="69" t="s">
        <v>61</v>
      </c>
      <c r="B53" s="6" t="s">
        <v>18</v>
      </c>
      <c r="C53" s="29">
        <v>800</v>
      </c>
      <c r="D53" s="29">
        <v>1200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-35.483870967741936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185</v>
      </c>
      <c r="G56" s="29">
        <v>160</v>
      </c>
      <c r="H56" s="29">
        <v>185</v>
      </c>
      <c r="I56" s="30">
        <f t="shared" si="6"/>
        <v>2.8985507246376812</v>
      </c>
      <c r="J56" s="29">
        <v>180</v>
      </c>
      <c r="K56" s="29">
        <v>210</v>
      </c>
      <c r="L56" s="31">
        <f t="shared" si="7"/>
        <v>-8.9743589743589745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45963</v>
      </c>
      <c r="D67" s="84"/>
      <c r="E67" s="83">
        <v>45956</v>
      </c>
      <c r="F67" s="84"/>
      <c r="G67" s="83">
        <v>45930</v>
      </c>
      <c r="H67" s="84"/>
      <c r="I67" s="26" t="s">
        <v>12</v>
      </c>
      <c r="J67" s="83">
        <v>45598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2.666666666666667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43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-2.1052631578947367</v>
      </c>
      <c r="J72" s="37">
        <v>48</v>
      </c>
      <c r="K72" s="37">
        <v>52</v>
      </c>
      <c r="L72" s="31">
        <f t="shared" si="8"/>
        <v>-7.0000000000000009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84000</v>
      </c>
      <c r="E74" s="29">
        <v>81000</v>
      </c>
      <c r="F74" s="29">
        <v>84000</v>
      </c>
      <c r="G74" s="29">
        <v>83500</v>
      </c>
      <c r="H74" s="29">
        <v>86000</v>
      </c>
      <c r="I74" s="30">
        <f t="shared" si="9"/>
        <v>-2.6548672566371683</v>
      </c>
      <c r="J74" s="29">
        <v>88000</v>
      </c>
      <c r="K74" s="29">
        <v>93000</v>
      </c>
      <c r="L74" s="31">
        <f t="shared" si="8"/>
        <v>-8.8397790055248606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77000</v>
      </c>
      <c r="E75" s="29">
        <v>75000</v>
      </c>
      <c r="F75" s="37">
        <v>77000</v>
      </c>
      <c r="G75" s="29">
        <v>75000</v>
      </c>
      <c r="H75" s="37">
        <v>79000</v>
      </c>
      <c r="I75" s="30">
        <f t="shared" si="9"/>
        <v>-1.2987012987012987</v>
      </c>
      <c r="J75" s="29">
        <v>83000</v>
      </c>
      <c r="K75" s="37">
        <v>85000</v>
      </c>
      <c r="L75" s="31">
        <f t="shared" si="8"/>
        <v>-9.5238095238095237</v>
      </c>
    </row>
    <row r="76" spans="1:12" ht="36" customHeight="1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126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5" t="s">
        <v>17</v>
      </c>
      <c r="B83" s="6" t="s">
        <v>18</v>
      </c>
      <c r="C83" s="29">
        <v>72</v>
      </c>
      <c r="D83" s="29">
        <v>85</v>
      </c>
      <c r="E83" s="29">
        <v>75</v>
      </c>
      <c r="F83" s="29">
        <v>85</v>
      </c>
      <c r="G83" s="7">
        <f t="shared" ref="G83:G84" si="10">((C83+D83)/2-(E83+F83)/2)/((E83+F83)/2)*100</f>
        <v>-1.875</v>
      </c>
      <c r="H83" s="5" t="s">
        <v>125</v>
      </c>
      <c r="I83" s="6"/>
      <c r="J83" s="6"/>
      <c r="K83" s="50"/>
      <c r="L83" s="17"/>
    </row>
    <row r="84" spans="1:12" ht="21.75">
      <c r="A84" s="69" t="s">
        <v>27</v>
      </c>
      <c r="B84" s="6" t="s">
        <v>28</v>
      </c>
      <c r="C84" s="29">
        <v>170</v>
      </c>
      <c r="D84" s="29">
        <v>180</v>
      </c>
      <c r="E84" s="29">
        <v>172</v>
      </c>
      <c r="F84" s="29">
        <v>180</v>
      </c>
      <c r="G84" s="7">
        <f t="shared" si="10"/>
        <v>-0.56818181818181823</v>
      </c>
      <c r="H84" s="5" t="s">
        <v>117</v>
      </c>
      <c r="I84" s="6"/>
      <c r="J84" s="6"/>
      <c r="K84" s="50"/>
      <c r="L84" s="17"/>
    </row>
    <row r="85" spans="1:12" ht="21.75">
      <c r="A85" s="69" t="s">
        <v>29</v>
      </c>
      <c r="B85" s="6" t="s">
        <v>30</v>
      </c>
      <c r="C85" s="29">
        <v>900</v>
      </c>
      <c r="D85" s="29">
        <v>930</v>
      </c>
      <c r="E85" s="29">
        <v>900</v>
      </c>
      <c r="F85" s="29">
        <v>925</v>
      </c>
      <c r="G85" s="7">
        <f>((C85+D85)/2-(E85+F85)/2)/((E85+F85)/2)*100</f>
        <v>0.27397260273972601</v>
      </c>
      <c r="H85" s="5" t="s">
        <v>124</v>
      </c>
      <c r="I85" s="6"/>
      <c r="J85" s="6"/>
      <c r="K85" s="50"/>
      <c r="L85" s="17"/>
    </row>
    <row r="86" spans="1:12" ht="21.75">
      <c r="A86" s="69" t="s">
        <v>90</v>
      </c>
      <c r="B86" s="6" t="s">
        <v>18</v>
      </c>
      <c r="C86" s="29">
        <v>80</v>
      </c>
      <c r="D86" s="29">
        <v>105</v>
      </c>
      <c r="E86" s="29">
        <v>70</v>
      </c>
      <c r="F86" s="29">
        <v>80</v>
      </c>
      <c r="G86" s="7">
        <f t="shared" ref="G86:G88" si="11">((C86+D86)/2-(E86+F86)/2)/((E86+F86)/2)*100</f>
        <v>23.333333333333332</v>
      </c>
      <c r="H86" s="5" t="s">
        <v>124</v>
      </c>
      <c r="I86" s="6"/>
      <c r="J86" s="6"/>
      <c r="K86" s="11"/>
      <c r="L86" s="11"/>
    </row>
    <row r="87" spans="1:12" ht="21.75">
      <c r="A87" s="69" t="s">
        <v>46</v>
      </c>
      <c r="B87" s="6" t="s">
        <v>18</v>
      </c>
      <c r="C87" s="29">
        <v>150</v>
      </c>
      <c r="D87" s="29">
        <v>200</v>
      </c>
      <c r="E87" s="29">
        <v>130</v>
      </c>
      <c r="F87" s="29">
        <v>200</v>
      </c>
      <c r="G87" s="7">
        <f t="shared" si="11"/>
        <v>6.0606060606060606</v>
      </c>
      <c r="H87" s="5" t="s">
        <v>124</v>
      </c>
      <c r="I87" s="6"/>
      <c r="J87" s="6"/>
      <c r="K87" s="11"/>
      <c r="L87" s="11"/>
    </row>
    <row r="88" spans="1:12" ht="24.75">
      <c r="A88" s="5" t="s">
        <v>73</v>
      </c>
      <c r="B88" s="6" t="s">
        <v>74</v>
      </c>
      <c r="C88" s="37">
        <v>43</v>
      </c>
      <c r="D88" s="37">
        <v>50</v>
      </c>
      <c r="E88" s="26">
        <v>45</v>
      </c>
      <c r="F88" s="37">
        <v>50</v>
      </c>
      <c r="G88" s="7">
        <f t="shared" si="11"/>
        <v>-2.1052631578947367</v>
      </c>
      <c r="H88" s="5" t="s">
        <v>125</v>
      </c>
      <c r="I88" s="6"/>
      <c r="J88" s="6"/>
      <c r="K88" s="40"/>
      <c r="L88" s="11"/>
    </row>
    <row r="89" spans="1:12" ht="24.75">
      <c r="A89" s="94"/>
      <c r="B89" s="93"/>
      <c r="C89" s="82"/>
      <c r="D89" s="82"/>
      <c r="E89" s="95"/>
      <c r="F89" s="82"/>
      <c r="G89" s="38"/>
      <c r="H89" s="39"/>
      <c r="I89" s="40"/>
      <c r="J89" s="40"/>
      <c r="K89" s="40"/>
      <c r="L89" s="11"/>
    </row>
    <row r="90" spans="1:12" ht="24.75">
      <c r="A90" s="94"/>
      <c r="B90" s="93"/>
      <c r="C90" s="82"/>
      <c r="D90" s="82"/>
      <c r="E90" s="95"/>
      <c r="F90" s="82"/>
      <c r="G90" s="38"/>
      <c r="H90" s="39"/>
      <c r="I90" s="40"/>
      <c r="J90" s="40"/>
      <c r="K90" s="40"/>
      <c r="L90" s="11"/>
    </row>
    <row r="91" spans="1:12" ht="24.75">
      <c r="A91" s="1"/>
      <c r="B91" s="13"/>
      <c r="C91" s="14"/>
      <c r="D91" s="14"/>
      <c r="E91" s="13"/>
      <c r="F91" s="14"/>
      <c r="G91" s="38"/>
      <c r="H91" s="39"/>
      <c r="I91" s="40"/>
      <c r="J91" s="40"/>
      <c r="K91" s="40"/>
      <c r="L91" s="11"/>
    </row>
    <row r="92" spans="1:12" ht="24.75">
      <c r="A92" s="1"/>
      <c r="B92" s="41"/>
      <c r="C92" s="42" t="s">
        <v>123</v>
      </c>
      <c r="D92" s="10"/>
      <c r="E92" s="41"/>
      <c r="F92" s="13"/>
      <c r="G92" s="10"/>
      <c r="H92" s="39"/>
      <c r="I92" s="12"/>
      <c r="J92" s="13" t="s">
        <v>118</v>
      </c>
      <c r="K92" s="10"/>
      <c r="L92" s="10"/>
    </row>
    <row r="93" spans="1:12" ht="24.75">
      <c r="A93" s="1"/>
      <c r="B93" s="43"/>
      <c r="C93" s="42" t="s">
        <v>116</v>
      </c>
      <c r="D93" s="13"/>
      <c r="E93" s="41"/>
      <c r="F93" s="44"/>
      <c r="G93" s="46"/>
      <c r="H93" s="46"/>
      <c r="I93" s="76"/>
      <c r="J93" s="13" t="s">
        <v>119</v>
      </c>
      <c r="K93" s="13"/>
      <c r="L93" s="13"/>
    </row>
    <row r="94" spans="1:12" ht="24.75">
      <c r="A94" s="1"/>
      <c r="B94" s="13"/>
      <c r="C94" s="14"/>
      <c r="D94" s="13"/>
      <c r="E94" s="14"/>
      <c r="F94" s="44"/>
      <c r="G94" s="46"/>
      <c r="H94" s="46"/>
      <c r="I94" s="45"/>
      <c r="J94" s="10"/>
      <c r="K94" s="10"/>
      <c r="L94" s="2"/>
    </row>
    <row r="95" spans="1:12" ht="19.5">
      <c r="A95" s="55" t="s">
        <v>93</v>
      </c>
      <c r="B95" s="53"/>
      <c r="C95" s="51"/>
      <c r="D95" s="53"/>
      <c r="E95" s="51"/>
      <c r="F95" s="51"/>
      <c r="G95" s="51"/>
      <c r="H95" s="52"/>
      <c r="I95" s="57"/>
      <c r="J95" s="2"/>
      <c r="K95" s="2"/>
      <c r="L95" s="2"/>
    </row>
    <row r="96" spans="1:12" ht="19.5">
      <c r="A96" s="54" t="s">
        <v>99</v>
      </c>
      <c r="B96" s="53"/>
      <c r="C96" s="51"/>
      <c r="D96" s="53"/>
      <c r="E96" s="51"/>
      <c r="F96" s="51"/>
      <c r="G96" s="53"/>
      <c r="H96" s="52"/>
      <c r="I96" s="57"/>
      <c r="J96" s="2"/>
      <c r="K96" s="2"/>
      <c r="L96" s="2"/>
    </row>
    <row r="97" spans="1:12" ht="19.5">
      <c r="A97" s="54" t="s">
        <v>98</v>
      </c>
      <c r="B97" s="53"/>
      <c r="C97" s="53"/>
      <c r="D97" s="53"/>
      <c r="E97" s="53"/>
      <c r="F97" s="51"/>
      <c r="G97" s="53"/>
      <c r="H97" s="52"/>
      <c r="I97" s="57"/>
      <c r="J97" s="2"/>
      <c r="K97" s="2"/>
      <c r="L97" s="2"/>
    </row>
    <row r="98" spans="1:12" ht="19.5">
      <c r="A98" s="54" t="s">
        <v>85</v>
      </c>
      <c r="B98" s="53"/>
      <c r="C98" s="53"/>
      <c r="D98" s="53"/>
      <c r="E98" s="53"/>
      <c r="F98" s="52"/>
      <c r="G98" s="52"/>
      <c r="H98" s="52"/>
      <c r="I98" s="57"/>
      <c r="J98" s="2"/>
      <c r="K98" s="2"/>
      <c r="L98" s="2"/>
    </row>
    <row r="99" spans="1:12" ht="19.5">
      <c r="A99" s="54" t="s">
        <v>97</v>
      </c>
      <c r="B99" s="53"/>
      <c r="C99" s="53"/>
      <c r="D99" s="53"/>
      <c r="E99" s="53"/>
      <c r="F99" s="53"/>
      <c r="G99" s="52"/>
      <c r="H99" s="52"/>
      <c r="I99" s="57"/>
      <c r="J99" s="2"/>
      <c r="K99" s="2"/>
      <c r="L99" s="2"/>
    </row>
    <row r="100" spans="1:12" ht="19.5">
      <c r="A100" s="54" t="s">
        <v>96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107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95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94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86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101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100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102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103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87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/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5" t="s">
        <v>88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89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114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113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112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2025-11-02T07:25:14Z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