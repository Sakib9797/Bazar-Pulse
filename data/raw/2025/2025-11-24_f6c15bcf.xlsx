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8497455C-A87E-484C-AC91-EF2C60735E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<sst xmlns="http://schemas.openxmlformats.org/spreadsheetml/2006/main" count="216" uniqueCount="125">
  <si>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</si>
  <si>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</si>
  <si>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</si>
  <si>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</si>
  <si>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</si>
  <si>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</si>
  <si>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</si>
  <si>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</si>
  <si>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</si>
  <si>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</si>
  <si>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</si>
  <si>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</si>
  <si>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</si>
  <si>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</si>
  <si>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</si>
  <si>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</si>
  <si>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</si>
  <si>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</si>
  <si>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</si>
  <si>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</si>
  <si>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</si>
  <si>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</si>
  <si>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</si>
  <si>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</si>
  <si>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</si>
  <si>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</si>
  <si>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</si>
  <si>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</si>
  <si>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</si>
  <si>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</si>
  <si>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</si>
  <si>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</si>
  <si>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</si>
  <si>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</si>
  <si>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</si>
  <si>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</si>
  <si>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</si>
  <si>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</si>
  <si>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</si>
  <si>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</si>
  <si>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</si>
  <si>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</si>
  <si>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</si>
  <si>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</si>
  <si>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</si>
  <si>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</si>
  <si>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</si>
  <si>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</si>
  <si>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</si>
  <si>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</si>
  <si>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</si>
  <si>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</si>
  <si>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</si>
  <si>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</si>
  <si>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</si>
  <si>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</si>
  <si>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</si>
  <si>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</si>
  <si>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</si>
  <si>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</si>
  <si>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</si>
  <si>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</si>
  <si>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</si>
  <si>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</si>
  <si>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</si>
  <si>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</si>
  <si>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</si>
  <si>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</si>
  <si>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</si>
  <si>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</si>
  <si>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</si>
  <si>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</si>
  <si>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</si>
  <si>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</si>
  <si>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</si>
  <si>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</si>
  <si>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</si>
  <si>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</si>
  <si>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</si>
  <si>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</si>
  <si>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</si>
  <si>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</si>
  <si>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</si>
  <si>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</si>
  <si>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</si>
  <si>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</si>
  <si>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</si>
  <si>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</si>
  <si>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</si>
  <si>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</si>
  <si>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</si>
  <si>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</si>
  <si>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</si>
  <si>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</si>
  <si>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</si>
  <si>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</si>
  <si>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</si>
  <si>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</si>
  <si>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</si>
  <si>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</si>
  <si>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</si>
  <si>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</si>
  <si>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</si>
  <si>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</si>
  <si>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</si>
  <si>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</si>
  <si>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</si>
  <si>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</si>
  <si>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</si>
  <si>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</si>
  <si>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</si>
  <si>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</si>
  <si>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</si>
  <si>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</si>
  <si>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</si>
  <si>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</si>
  <si>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</si>
  <si>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</si>
  <si>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</si>
  <si>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স্মারক নং-২৬.০৫.০০০০.০১৭.৩১.০১.২৫-৮৫১</t>
  </si>
  <si>
    <t xml:space="preserve">সোমবার ২৪ নভেম্বর ২০২৫ খ্রিঃ, ০৯ অগ্রহায়ন ১৪৩২ বাংলা, ০২ জমা-সানি ১৪৪৭ হিজরি </t>
  </si>
  <si>
    <t xml:space="preserve">   সিরিয়াল নংঃ     ২৯২</t>
  </si>
  <si>
    <t>(১ )   রশুন (দেশী,আম),   এর মূল্য হ্রাস পেয়েছে।</t>
  </si>
  <si>
    <t>(মোঃ শাহাদত হোসেন)</t>
  </si>
  <si>
    <t>উপ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</si>
</sst>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0"/>
  <sheetViews>
    <sheetView tabSelected="1" topLeftCell="A79" zoomScale="96" zoomScaleNormal="96" workbookViewId="0">
      <selection activeCell="C88" sqref="C8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121</v>
      </c>
      <c r="L4" s="84"/>
    </row>
    <row r="5" spans="1:12" ht="19.5" customHeight="1">
      <c r="A5" s="17"/>
      <c r="B5" s="8"/>
      <c r="C5" s="8"/>
      <c r="D5" s="17"/>
      <c r="E5" s="8"/>
      <c r="F5" s="8" t="s">
        <v>120</v>
      </c>
      <c r="G5" s="8"/>
      <c r="H5" s="8"/>
      <c r="I5" s="8"/>
      <c r="J5" s="8"/>
      <c r="K5" s="8"/>
      <c r="L5" s="49"/>
    </row>
    <row r="6" spans="1:12" ht="21.75">
      <c r="A6" s="20" t="s">
        <v>119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45985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45985</v>
      </c>
      <c r="D8" s="84"/>
      <c r="E8" s="83">
        <v>45978</v>
      </c>
      <c r="F8" s="84"/>
      <c r="G8" s="83">
        <v>45954</v>
      </c>
      <c r="H8" s="84"/>
      <c r="I8" s="26" t="s">
        <v>12</v>
      </c>
      <c r="J8" s="83">
        <v>45620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167</v>
      </c>
      <c r="K19" s="29">
        <v>170</v>
      </c>
      <c r="L19" s="31">
        <f t="shared" ref="L19:L25" si="1">((C19+D19)/2-(J19+K19)/2)/((J19+K19)/2)*100</f>
        <v>3.857566765578635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910</v>
      </c>
      <c r="H20" s="29">
        <v>930</v>
      </c>
      <c r="I20" s="30">
        <f t="shared" si="0"/>
        <v>-0.81521739130434778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-1.5772870662460567</v>
      </c>
      <c r="J23" s="29">
        <v>157</v>
      </c>
      <c r="K23" s="29">
        <v>159</v>
      </c>
      <c r="L23" s="31">
        <f t="shared" si="1"/>
        <v>-1.2658227848101267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140</v>
      </c>
      <c r="L32" s="31">
        <f t="shared" si="3"/>
        <v>-20.754716981132077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75</v>
      </c>
      <c r="K33" s="29">
        <v>85</v>
      </c>
      <c r="L33" s="31">
        <f t="shared" si="3"/>
        <v>-71.875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105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90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280</v>
      </c>
      <c r="L37" s="31">
        <f t="shared" si="5"/>
        <v>-57.692307692307686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630</v>
      </c>
      <c r="K45" s="29">
        <v>800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160</v>
      </c>
      <c r="F56" s="29">
        <v>190</v>
      </c>
      <c r="G56" s="29">
        <v>170</v>
      </c>
      <c r="H56" s="29">
        <v>185</v>
      </c>
      <c r="I56" s="30">
        <f t="shared" si="6"/>
        <v>-1.4084507042253522</v>
      </c>
      <c r="J56" s="29">
        <v>180</v>
      </c>
      <c r="K56" s="29">
        <v>200</v>
      </c>
      <c r="L56" s="31">
        <f t="shared" si="7"/>
        <v>-7.8947368421052628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45985</v>
      </c>
      <c r="D67" s="84"/>
      <c r="E67" s="83">
        <v>45978</v>
      </c>
      <c r="F67" s="84"/>
      <c r="G67" s="83">
        <v>45954</v>
      </c>
      <c r="H67" s="84"/>
      <c r="I67" s="26" t="s">
        <v>12</v>
      </c>
      <c r="J67" s="83">
        <v>45620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45</v>
      </c>
      <c r="K72" s="37">
        <v>50</v>
      </c>
      <c r="L72" s="31">
        <f t="shared" si="8"/>
        <v>-5.2631578947368416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118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.7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.75">
      <c r="A82" s="69" t="s">
        <v>45</v>
      </c>
      <c r="B82" s="6" t="s">
        <v>18</v>
      </c>
      <c r="C82" s="29">
        <v>80</v>
      </c>
      <c r="D82" s="29">
        <v>140</v>
      </c>
      <c r="E82" s="29">
        <v>90</v>
      </c>
      <c r="F82" s="29">
        <v>150</v>
      </c>
      <c r="G82" s="7">
        <f>((C82+D82)/2-(E82+F82)/2)/((E82+F82)/2)*100</f>
        <v>-8.3333333333333321</v>
      </c>
      <c r="H82" s="5" t="s">
        <v>117</v>
      </c>
      <c r="I82" s="6"/>
      <c r="J82" s="6"/>
      <c r="K82" s="11"/>
      <c r="L82" s="11"/>
    </row>
    <row r="83" spans="1:12" ht="21.75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117</v>
      </c>
      <c r="I83" s="6"/>
      <c r="J83" s="6"/>
      <c r="K83" s="11"/>
      <c r="L83" s="11"/>
    </row>
    <row r="84" spans="1:12" ht="24.75">
      <c r="A84" s="1"/>
      <c r="B84" s="3"/>
      <c r="C84" s="82"/>
      <c r="D84" s="82"/>
      <c r="E84" s="8"/>
      <c r="F84" s="82"/>
      <c r="G84" s="9"/>
      <c r="H84" s="1"/>
      <c r="I84" s="3"/>
      <c r="J84" s="3"/>
      <c r="K84" s="40"/>
      <c r="L84" s="11"/>
    </row>
    <row r="85" spans="1:12" ht="24.75">
      <c r="A85" s="1"/>
      <c r="B85" s="3"/>
      <c r="C85" s="82"/>
      <c r="D85" s="82"/>
      <c r="E85" s="8"/>
      <c r="F85" s="82"/>
      <c r="G85" s="38"/>
      <c r="H85" s="39"/>
      <c r="I85" s="40"/>
      <c r="J85" s="40"/>
      <c r="K85" s="40"/>
      <c r="L85" s="11"/>
    </row>
    <row r="86" spans="1:12" ht="24.75">
      <c r="A86" s="1"/>
      <c r="B86" s="13"/>
      <c r="C86" s="14"/>
      <c r="D86" s="14"/>
      <c r="E86" s="13"/>
      <c r="F86" s="14"/>
      <c r="G86" s="38"/>
      <c r="H86" s="39"/>
      <c r="I86" s="40"/>
      <c r="J86" s="40"/>
      <c r="K86" s="40"/>
      <c r="L86" s="11"/>
    </row>
    <row r="87" spans="1:12" ht="24.75">
      <c r="A87" s="1"/>
      <c r="B87" s="41"/>
      <c r="C87" s="42" t="s">
        <v>123</v>
      </c>
      <c r="D87" s="10"/>
      <c r="E87" s="41"/>
      <c r="F87" s="13"/>
      <c r="G87" s="10"/>
      <c r="H87" s="39"/>
      <c r="I87" s="12"/>
      <c r="J87" s="13" t="s">
        <v>115</v>
      </c>
      <c r="K87" s="10"/>
      <c r="L87" s="10"/>
    </row>
    <row r="88" spans="1:12" ht="24.75">
      <c r="A88" s="1"/>
      <c r="B88" s="43"/>
      <c r="C88" s="42" t="s">
        <v>124</v>
      </c>
      <c r="D88" s="13"/>
      <c r="E88" s="41"/>
      <c r="F88" s="44"/>
      <c r="G88" s="46"/>
      <c r="H88" s="46"/>
      <c r="I88" s="76"/>
      <c r="J88" s="13" t="s">
        <v>116</v>
      </c>
      <c r="K88" s="13"/>
      <c r="L88" s="13"/>
    </row>
    <row r="89" spans="1:12" ht="24.75">
      <c r="A89" s="1"/>
      <c r="B89" s="13"/>
      <c r="C89" s="14"/>
      <c r="D89" s="13"/>
      <c r="E89" s="14"/>
      <c r="F89" s="44"/>
      <c r="G89" s="46"/>
      <c r="H89" s="46"/>
      <c r="I89" s="45"/>
      <c r="J89" s="10"/>
      <c r="K89" s="10"/>
      <c r="L89" s="2"/>
    </row>
    <row r="90" spans="1:12" ht="19.5">
      <c r="A90" s="55" t="s">
        <v>93</v>
      </c>
      <c r="B90" s="53"/>
      <c r="C90" s="51"/>
      <c r="D90" s="53"/>
      <c r="E90" s="51"/>
      <c r="F90" s="51"/>
      <c r="G90" s="51"/>
      <c r="H90" s="52"/>
      <c r="I90" s="57"/>
      <c r="J90" s="2"/>
      <c r="K90" s="2"/>
      <c r="L90" s="2"/>
    </row>
    <row r="91" spans="1:12" ht="19.5">
      <c r="A91" s="54" t="s">
        <v>99</v>
      </c>
      <c r="B91" s="53"/>
      <c r="C91" s="51"/>
      <c r="D91" s="53"/>
      <c r="E91" s="51"/>
      <c r="F91" s="51"/>
      <c r="G91" s="53"/>
      <c r="H91" s="52"/>
      <c r="I91" s="57"/>
      <c r="J91" s="2"/>
      <c r="K91" s="2"/>
      <c r="L91" s="2"/>
    </row>
    <row r="92" spans="1:12" ht="19.5">
      <c r="A92" s="54" t="s">
        <v>98</v>
      </c>
      <c r="B92" s="53"/>
      <c r="C92" s="53"/>
      <c r="D92" s="53"/>
      <c r="E92" s="53"/>
      <c r="F92" s="51"/>
      <c r="G92" s="53"/>
      <c r="H92" s="52"/>
      <c r="I92" s="57"/>
      <c r="J92" s="2"/>
      <c r="K92" s="2"/>
      <c r="L92" s="2"/>
    </row>
    <row r="93" spans="1:12" ht="19.5">
      <c r="A93" s="54" t="s">
        <v>85</v>
      </c>
      <c r="B93" s="53"/>
      <c r="C93" s="53"/>
      <c r="D93" s="53"/>
      <c r="E93" s="53"/>
      <c r="F93" s="52"/>
      <c r="G93" s="52"/>
      <c r="H93" s="52"/>
      <c r="I93" s="57"/>
      <c r="J93" s="2"/>
      <c r="K93" s="2"/>
      <c r="L93" s="2"/>
    </row>
    <row r="94" spans="1:12" ht="19.5">
      <c r="A94" s="54" t="s">
        <v>97</v>
      </c>
      <c r="B94" s="53"/>
      <c r="C94" s="53"/>
      <c r="D94" s="53"/>
      <c r="E94" s="53"/>
      <c r="F94" s="53"/>
      <c r="G94" s="52"/>
      <c r="H94" s="52"/>
      <c r="I94" s="57"/>
      <c r="J94" s="2"/>
      <c r="K94" s="2"/>
      <c r="L94" s="2"/>
    </row>
    <row r="95" spans="1:12" ht="19.5">
      <c r="A95" s="54" t="s">
        <v>96</v>
      </c>
      <c r="B95" s="53"/>
      <c r="C95" s="53"/>
      <c r="D95" s="53"/>
      <c r="E95" s="53"/>
      <c r="F95" s="53"/>
      <c r="G95" s="53"/>
      <c r="H95" s="52"/>
      <c r="I95" s="57"/>
      <c r="J95" s="2"/>
      <c r="K95" s="2"/>
      <c r="L95" s="2"/>
    </row>
    <row r="96" spans="1:12" ht="19.5">
      <c r="A96" s="54" t="s">
        <v>107</v>
      </c>
      <c r="B96" s="53"/>
      <c r="C96" s="53"/>
      <c r="D96" s="53"/>
      <c r="E96" s="53"/>
      <c r="F96" s="53"/>
      <c r="G96" s="53"/>
      <c r="H96" s="52"/>
      <c r="I96" s="57"/>
      <c r="J96" s="2"/>
      <c r="K96" s="2"/>
      <c r="L96" s="2"/>
    </row>
    <row r="97" spans="1:12" ht="19.5">
      <c r="A97" s="54" t="s">
        <v>95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86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101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100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103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87</v>
      </c>
      <c r="B104" s="53"/>
      <c r="C104" s="53"/>
      <c r="D104" s="53"/>
      <c r="E104" s="53"/>
      <c r="F104" s="53"/>
      <c r="G104" s="53"/>
      <c r="H104" s="56"/>
      <c r="I104" s="58"/>
      <c r="J104" s="11"/>
      <c r="K104" s="11"/>
      <c r="L104" s="11"/>
    </row>
    <row r="105" spans="1:12" ht="19.5">
      <c r="A105" s="54"/>
      <c r="B105" s="53"/>
      <c r="C105" s="53"/>
      <c r="D105" s="53"/>
      <c r="E105" s="53"/>
      <c r="F105" s="53"/>
      <c r="G105" s="53"/>
      <c r="H105" s="56"/>
      <c r="I105" s="58"/>
      <c r="J105" s="11"/>
      <c r="K105" s="11"/>
      <c r="L105" s="11"/>
    </row>
    <row r="106" spans="1:12" ht="19.5">
      <c r="A106" s="55" t="s">
        <v>88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4" t="s">
        <v>89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 t="s">
        <v>113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112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111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2025-11-24T07:02:25Z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