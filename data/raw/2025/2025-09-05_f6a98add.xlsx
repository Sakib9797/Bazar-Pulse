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C80166FA-EEC7-4005-9494-2C2EFA91C9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91" i="4"/>
  <c r="G90" i="4"/>
  <c r="G89" i="4"/>
  <c r="G85" i="4"/>
  <c r="G88" i="4"/>
  <c r="G83" i="4"/>
  <c r="G93" i="4"/>
  <c r="G92" i="4"/>
  <c r="G84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<sst xmlns="http://schemas.openxmlformats.org/spreadsheetml/2006/main" count="244" uniqueCount="130">
  <si>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</si>
  <si>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</si>
  <si>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</si>
  <si>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</si>
  <si>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</si>
  <si>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</si>
  <si>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</si>
  <si>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</si>
  <si>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</si>
  <si>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</si>
  <si>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</si>
  <si>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</si>
  <si>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</si>
  <si>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</si>
  <si>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</si>
  <si>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</si>
  <si>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</si>
  <si>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</si>
  <si>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</si>
  <si>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</si>
  <si>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</si>
  <si>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</si>
  <si>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</si>
  <si>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</si>
  <si>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</si>
  <si>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</si>
  <si>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</si>
  <si>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</si>
  <si>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</si>
  <si>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</si>
  <si>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</si>
  <si>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</si>
  <si>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</si>
  <si>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</si>
  <si>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</si>
  <si>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</si>
  <si>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</si>
  <si>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</si>
  <si>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</si>
  <si>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</si>
  <si>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</si>
  <si>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</si>
  <si>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</si>
  <si>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</si>
  <si>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</si>
  <si>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</si>
  <si>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</si>
  <si>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</si>
  <si>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</si>
  <si>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</si>
  <si>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</si>
  <si>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</si>
  <si>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</si>
  <si>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</si>
  <si>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</si>
  <si>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</si>
  <si>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</si>
  <si>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</si>
  <si>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</si>
  <si>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</si>
  <si>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</si>
  <si>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</si>
  <si>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</si>
  <si>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</si>
  <si>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</si>
  <si>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</si>
  <si>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</si>
  <si>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</si>
  <si>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</si>
  <si>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</si>
  <si>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</si>
  <si>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</si>
  <si>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</si>
  <si>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</si>
  <si>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</si>
  <si>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</si>
  <si>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</si>
  <si>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</si>
  <si>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</si>
  <si>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</si>
  <si>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</si>
  <si>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</si>
  <si>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</si>
  <si>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</si>
  <si>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</si>
  <si>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</si>
  <si>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</si>
  <si>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</si>
  <si>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</si>
  <si>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</si>
  <si>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</si>
  <si>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</si>
  <si>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</si>
  <si>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</si>
  <si>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</si>
  <si>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</si>
  <si>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</si>
  <si>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</si>
  <si>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</si>
  <si>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</si>
  <si>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</si>
  <si>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</si>
  <si>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</si>
  <si>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</si>
  <si>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</si>
  <si>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</si>
  <si>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</si>
  <si>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</si>
  <si>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</si>
  <si>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</si>
  <si>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</si>
  <si>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</si>
  <si>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৩১-০৮-২০২৫ তারিখে মূল্য বৃদ্ধি পেয়েছে।</t>
  </si>
  <si>
    <t>০৪-০৯-২০২৫ তারিখে মূল্য হ্রাস পেয়েছে।</t>
  </si>
  <si>
    <t>০৪-০৯-২০২৫ তারিখে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</si>
  <si>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</si>
  <si>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</si>
  <si>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</si>
  <si>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</si>
  <si>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</si>
  <si>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</si>
  <si>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</si>
  <si>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</si>
  <si>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শুক্রবার ০৫ সেপ্টেম্বর ২০২৫ খ্রিঃ, ২১ ভাদ্র ১৪৩২ বাংলা, ১১ রবিউল আউয়াল ১৪৪৭ হিজরি </t>
  </si>
  <si>
    <t xml:space="preserve">   সিরিয়াল নংঃ     ২২২</t>
  </si>
  <si>
    <t>স্মারক নং-২৬.০৫.০০০০.০১৭.৩১.০১.২৫-৬২৪</t>
  </si>
  <si>
    <t>০৫-০৯-২০২৫ তারিখে মূল্য বৃদ্ধি পেয়েছে।</t>
  </si>
  <si>
    <t>০৫-০৯-২০২৫ তারিখে মূল্য হ্রাস পেয়েছে।</t>
  </si>
  <si>
    <t>(১)     আটা (খোলা), সয়াবিন তেল (লুজ), মসুর ডাল (মাঝারী), রশুন (দেশী), এলাচ,  ধনে  এর মূল্য বৃদ্ধি পেয়েছে।</t>
  </si>
  <si>
    <t>(২ )    সুপার পাম অয়েল লুজ, আদা (আম), লবঙ্গ,  তেজপাতা, মুরগী ব্রয়লার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</si>
</sst>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zoomScale="98" zoomScaleNormal="98" workbookViewId="0">
      <selection activeCell="L6" sqref="L6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2" t="s">
        <v>124</v>
      </c>
      <c r="L4" s="83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45905</v>
      </c>
    </row>
    <row r="7" spans="1:12" ht="21.75">
      <c r="A7" s="26" t="s">
        <v>4</v>
      </c>
      <c r="B7" s="27" t="s">
        <v>5</v>
      </c>
      <c r="C7" s="82" t="s">
        <v>6</v>
      </c>
      <c r="D7" s="83"/>
      <c r="E7" s="82" t="s">
        <v>7</v>
      </c>
      <c r="F7" s="83"/>
      <c r="G7" s="82" t="s">
        <v>8</v>
      </c>
      <c r="H7" s="83"/>
      <c r="I7" s="27" t="s">
        <v>9</v>
      </c>
      <c r="J7" s="82" t="s">
        <v>10</v>
      </c>
      <c r="K7" s="83"/>
      <c r="L7" s="28" t="s">
        <v>11</v>
      </c>
    </row>
    <row r="8" spans="1:12" ht="21.75">
      <c r="A8" s="26"/>
      <c r="B8" s="27"/>
      <c r="C8" s="84">
        <v>45905</v>
      </c>
      <c r="D8" s="83"/>
      <c r="E8" s="84">
        <v>45898</v>
      </c>
      <c r="F8" s="83"/>
      <c r="G8" s="84">
        <v>45873</v>
      </c>
      <c r="H8" s="83"/>
      <c r="I8" s="27" t="s">
        <v>12</v>
      </c>
      <c r="J8" s="84">
        <v>45540</v>
      </c>
      <c r="K8" s="83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60</v>
      </c>
      <c r="H17" s="30">
        <v>70</v>
      </c>
      <c r="I17" s="31">
        <f>((C17+D17)/2-(G17+H17)/2)/((G17+H17)/2)*100</f>
        <v>7.6923076923076925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174</v>
      </c>
      <c r="E19" s="30">
        <v>167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3.6144578313253009</v>
      </c>
      <c r="J19" s="30">
        <v>148</v>
      </c>
      <c r="K19" s="30">
        <v>158</v>
      </c>
      <c r="L19" s="32">
        <f t="shared" ref="L19:L25" si="1">((C19+D19)/2-(J19+K19)/2)/((J19+K19)/2)*100</f>
        <v>12.418300653594772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164</v>
      </c>
      <c r="E24" s="30">
        <v>158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145</v>
      </c>
      <c r="H29" s="30">
        <v>155</v>
      </c>
      <c r="I29" s="31">
        <f t="shared" si="2"/>
        <v>3.3333333333333335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70</v>
      </c>
      <c r="H35" s="30">
        <v>85</v>
      </c>
      <c r="I35" s="31">
        <f t="shared" ref="I35:I50" si="4">((C35+D35)/2-(G35+H35)/2)/((G35+H35)/2)*100</f>
        <v>3.225806451612903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135</v>
      </c>
      <c r="E37" s="30">
        <v>90</v>
      </c>
      <c r="F37" s="30">
        <v>140</v>
      </c>
      <c r="G37" s="30">
        <v>80</v>
      </c>
      <c r="H37" s="30">
        <v>160</v>
      </c>
      <c r="I37" s="31">
        <f t="shared" si="4"/>
        <v>-2.083333333333333</v>
      </c>
      <c r="J37" s="30">
        <v>200</v>
      </c>
      <c r="K37" s="30">
        <v>230</v>
      </c>
      <c r="L37" s="32">
        <f t="shared" si="5"/>
        <v>-45.348837209302324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210</v>
      </c>
      <c r="I38" s="31">
        <f t="shared" si="4"/>
        <v>-10.810810810810811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270</v>
      </c>
      <c r="D39" s="30">
        <v>350</v>
      </c>
      <c r="E39" s="30">
        <v>280</v>
      </c>
      <c r="F39" s="30">
        <v>350</v>
      </c>
      <c r="G39" s="30">
        <v>240</v>
      </c>
      <c r="H39" s="30">
        <v>350</v>
      </c>
      <c r="I39" s="31">
        <f t="shared" si="4"/>
        <v>5.0847457627118651</v>
      </c>
      <c r="J39" s="30">
        <v>300</v>
      </c>
      <c r="K39" s="30">
        <v>350</v>
      </c>
      <c r="L39" s="32">
        <f t="shared" si="5"/>
        <v>-4.6153846153846159</v>
      </c>
    </row>
    <row r="40" spans="1:12" ht="21.75">
      <c r="A40" s="70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250</v>
      </c>
      <c r="E44" s="30">
        <v>150</v>
      </c>
      <c r="F44" s="30">
        <v>270</v>
      </c>
      <c r="G44" s="30">
        <v>180</v>
      </c>
      <c r="H44" s="30">
        <v>280</v>
      </c>
      <c r="I44" s="31">
        <f t="shared" si="4"/>
        <v>-15.217391304347828</v>
      </c>
      <c r="J44" s="30">
        <v>200</v>
      </c>
      <c r="K44" s="30">
        <v>270</v>
      </c>
      <c r="L44" s="32">
        <f t="shared" si="5"/>
        <v>-17.021276595744681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260</v>
      </c>
      <c r="L49" s="32">
        <f t="shared" si="5"/>
        <v>8.695652173913043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180</v>
      </c>
      <c r="E56" s="30">
        <v>160</v>
      </c>
      <c r="F56" s="30">
        <v>185</v>
      </c>
      <c r="G56" s="30">
        <v>145</v>
      </c>
      <c r="H56" s="30">
        <v>170</v>
      </c>
      <c r="I56" s="31">
        <f t="shared" si="6"/>
        <v>11.111111111111111</v>
      </c>
      <c r="J56" s="30">
        <v>165</v>
      </c>
      <c r="K56" s="30">
        <v>175</v>
      </c>
      <c r="L56" s="32">
        <f t="shared" si="7"/>
        <v>2.9411764705882351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3"/>
      <c r="C63" s="79"/>
      <c r="D63" s="79"/>
      <c r="E63" s="79"/>
      <c r="F63" s="79"/>
      <c r="G63" s="79"/>
      <c r="H63" s="79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2" t="s">
        <v>6</v>
      </c>
      <c r="D66" s="83"/>
      <c r="E66" s="82" t="s">
        <v>7</v>
      </c>
      <c r="F66" s="83"/>
      <c r="G66" s="82" t="s">
        <v>8</v>
      </c>
      <c r="H66" s="83"/>
      <c r="I66" s="27" t="s">
        <v>9</v>
      </c>
      <c r="J66" s="82" t="s">
        <v>10</v>
      </c>
      <c r="K66" s="83"/>
      <c r="L66" s="27" t="s">
        <v>11</v>
      </c>
    </row>
    <row r="67" spans="1:12" ht="18" customHeight="1">
      <c r="A67" s="74"/>
      <c r="B67" s="65"/>
      <c r="C67" s="84">
        <v>45905</v>
      </c>
      <c r="D67" s="83"/>
      <c r="E67" s="84">
        <v>45898</v>
      </c>
      <c r="F67" s="83"/>
      <c r="G67" s="84">
        <v>45873</v>
      </c>
      <c r="H67" s="83"/>
      <c r="I67" s="27" t="s">
        <v>12</v>
      </c>
      <c r="J67" s="84">
        <v>45540</v>
      </c>
      <c r="K67" s="83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48</v>
      </c>
      <c r="F72" s="38">
        <v>50</v>
      </c>
      <c r="G72" s="38">
        <v>40</v>
      </c>
      <c r="H72" s="38">
        <v>46</v>
      </c>
      <c r="I72" s="31">
        <f t="shared" si="9"/>
        <v>10.465116279069768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5" t="s">
        <v>117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8" t="s">
        <v>12</v>
      </c>
      <c r="H82" s="87" t="s">
        <v>84</v>
      </c>
      <c r="I82" s="91"/>
      <c r="J82" s="88"/>
      <c r="K82" s="51"/>
      <c r="L82" s="18"/>
    </row>
    <row r="83" spans="1:12" ht="21.75">
      <c r="A83" s="5" t="s">
        <v>21</v>
      </c>
      <c r="B83" s="6" t="s">
        <v>18</v>
      </c>
      <c r="C83" s="30">
        <v>45</v>
      </c>
      <c r="D83" s="30">
        <v>52</v>
      </c>
      <c r="E83" s="30">
        <v>45</v>
      </c>
      <c r="F83" s="30">
        <v>50</v>
      </c>
      <c r="G83" s="7">
        <f t="shared" ref="G83" si="10">((C83+D83)/2-(E83+F83)/2)/((E83+F83)/2)*100</f>
        <v>2.1052631578947367</v>
      </c>
      <c r="H83" s="5" t="s">
        <v>112</v>
      </c>
      <c r="I83" s="6"/>
      <c r="J83" s="6"/>
      <c r="K83" s="51"/>
      <c r="L83" s="18"/>
    </row>
    <row r="84" spans="1:12" ht="21.75">
      <c r="A84" s="70" t="s">
        <v>27</v>
      </c>
      <c r="B84" s="6" t="s">
        <v>28</v>
      </c>
      <c r="C84" s="30">
        <v>170</v>
      </c>
      <c r="D84" s="30">
        <v>174</v>
      </c>
      <c r="E84" s="30">
        <v>167</v>
      </c>
      <c r="F84" s="30">
        <v>172</v>
      </c>
      <c r="G84" s="7">
        <f t="shared" ref="G84:G91" si="11">((C84+D84)/2-(E84+F84)/2)/((E84+F84)/2)*100</f>
        <v>1.4749262536873156</v>
      </c>
      <c r="H84" s="5" t="s">
        <v>114</v>
      </c>
      <c r="I84" s="6"/>
      <c r="J84" s="6"/>
      <c r="K84" s="51"/>
      <c r="L84" s="18"/>
    </row>
    <row r="85" spans="1:12" ht="21.75">
      <c r="A85" s="70" t="s">
        <v>106</v>
      </c>
      <c r="B85" s="6" t="s">
        <v>28</v>
      </c>
      <c r="C85" s="30">
        <v>155</v>
      </c>
      <c r="D85" s="30">
        <v>164</v>
      </c>
      <c r="E85" s="30">
        <v>158</v>
      </c>
      <c r="F85" s="30">
        <v>164</v>
      </c>
      <c r="G85" s="7">
        <f t="shared" si="11"/>
        <v>-0.93167701863354035</v>
      </c>
      <c r="H85" s="5" t="s">
        <v>113</v>
      </c>
      <c r="I85" s="6"/>
      <c r="J85" s="6"/>
      <c r="K85" s="51"/>
      <c r="L85" s="18"/>
    </row>
    <row r="86" spans="1:12" ht="21.75">
      <c r="A86" s="70" t="s">
        <v>110</v>
      </c>
      <c r="B86" s="6" t="s">
        <v>18</v>
      </c>
      <c r="C86" s="30">
        <v>110</v>
      </c>
      <c r="D86" s="30">
        <v>140</v>
      </c>
      <c r="E86" s="30">
        <v>110</v>
      </c>
      <c r="F86" s="30">
        <v>135</v>
      </c>
      <c r="G86" s="7">
        <f t="shared" si="11"/>
        <v>2.0408163265306123</v>
      </c>
      <c r="H86" s="5" t="s">
        <v>126</v>
      </c>
      <c r="I86" s="6"/>
      <c r="J86" s="6"/>
      <c r="K86" s="51"/>
      <c r="L86" s="18"/>
    </row>
    <row r="87" spans="1:12" ht="21.75">
      <c r="A87" s="70" t="s">
        <v>45</v>
      </c>
      <c r="B87" s="6" t="s">
        <v>18</v>
      </c>
      <c r="C87" s="30">
        <v>100</v>
      </c>
      <c r="D87" s="30">
        <v>135</v>
      </c>
      <c r="E87" s="30">
        <v>90</v>
      </c>
      <c r="F87" s="30">
        <v>140</v>
      </c>
      <c r="G87" s="7">
        <f t="shared" si="11"/>
        <v>2.1739130434782608</v>
      </c>
      <c r="H87" s="5" t="s">
        <v>114</v>
      </c>
      <c r="I87" s="6"/>
      <c r="J87" s="6"/>
      <c r="K87" s="51"/>
      <c r="L87" s="18"/>
    </row>
    <row r="88" spans="1:12" ht="21.75">
      <c r="A88" s="70" t="s">
        <v>52</v>
      </c>
      <c r="B88" s="6" t="s">
        <v>18</v>
      </c>
      <c r="C88" s="30">
        <v>140</v>
      </c>
      <c r="D88" s="30">
        <v>250</v>
      </c>
      <c r="E88" s="30">
        <v>150</v>
      </c>
      <c r="F88" s="30">
        <v>270</v>
      </c>
      <c r="G88" s="7">
        <f t="shared" si="11"/>
        <v>-7.1428571428571423</v>
      </c>
      <c r="H88" s="5" t="s">
        <v>113</v>
      </c>
      <c r="I88" s="6"/>
      <c r="J88" s="6"/>
      <c r="K88" s="51"/>
      <c r="L88" s="18"/>
    </row>
    <row r="89" spans="1:12" ht="21.75">
      <c r="A89" s="70" t="s">
        <v>55</v>
      </c>
      <c r="B89" s="6" t="s">
        <v>18</v>
      </c>
      <c r="C89" s="30">
        <v>1350</v>
      </c>
      <c r="D89" s="30">
        <v>1600</v>
      </c>
      <c r="E89" s="30">
        <v>1350</v>
      </c>
      <c r="F89" s="30">
        <v>1700</v>
      </c>
      <c r="G89" s="7">
        <f t="shared" si="11"/>
        <v>-3.278688524590164</v>
      </c>
      <c r="H89" s="5" t="s">
        <v>127</v>
      </c>
      <c r="I89" s="6"/>
      <c r="J89" s="6"/>
      <c r="K89" s="51"/>
      <c r="L89" s="18"/>
    </row>
    <row r="90" spans="1:12" ht="21.75">
      <c r="A90" s="70" t="s">
        <v>56</v>
      </c>
      <c r="B90" s="6" t="s">
        <v>18</v>
      </c>
      <c r="C90" s="30">
        <v>4700</v>
      </c>
      <c r="D90" s="30">
        <v>5500</v>
      </c>
      <c r="E90" s="30">
        <v>4600</v>
      </c>
      <c r="F90" s="30">
        <v>5500</v>
      </c>
      <c r="G90" s="7">
        <f t="shared" si="11"/>
        <v>0.99009900990099009</v>
      </c>
      <c r="H90" s="5" t="s">
        <v>126</v>
      </c>
      <c r="I90" s="6"/>
      <c r="J90" s="6"/>
      <c r="K90" s="51"/>
      <c r="L90" s="18"/>
    </row>
    <row r="91" spans="1:12" ht="21.75">
      <c r="A91" s="70" t="s">
        <v>57</v>
      </c>
      <c r="B91" s="6" t="s">
        <v>18</v>
      </c>
      <c r="C91" s="30">
        <v>220</v>
      </c>
      <c r="D91" s="30">
        <v>280</v>
      </c>
      <c r="E91" s="30">
        <v>200</v>
      </c>
      <c r="F91" s="30">
        <v>280</v>
      </c>
      <c r="G91" s="7">
        <f t="shared" si="11"/>
        <v>4.1666666666666661</v>
      </c>
      <c r="H91" s="5" t="s">
        <v>126</v>
      </c>
      <c r="I91" s="6"/>
      <c r="J91" s="6"/>
      <c r="K91" s="51"/>
      <c r="L91" s="18"/>
    </row>
    <row r="92" spans="1:12" ht="21.75">
      <c r="A92" s="70" t="s">
        <v>58</v>
      </c>
      <c r="B92" s="6" t="s">
        <v>18</v>
      </c>
      <c r="C92" s="30">
        <v>190</v>
      </c>
      <c r="D92" s="30">
        <v>225</v>
      </c>
      <c r="E92" s="30">
        <v>200</v>
      </c>
      <c r="F92" s="30">
        <v>220</v>
      </c>
      <c r="G92" s="7">
        <f t="shared" ref="G92:G93" si="12">((C92+D92)/2-(E92+F92)/2)/((E92+F92)/2)*100</f>
        <v>-1.1904761904761905</v>
      </c>
      <c r="H92" s="5" t="s">
        <v>113</v>
      </c>
      <c r="I92" s="6"/>
      <c r="J92" s="6"/>
      <c r="K92" s="51"/>
      <c r="L92" s="18"/>
    </row>
    <row r="93" spans="1:12" ht="21.75">
      <c r="A93" s="70" t="s">
        <v>62</v>
      </c>
      <c r="B93" s="6" t="s">
        <v>18</v>
      </c>
      <c r="C93" s="30">
        <v>170</v>
      </c>
      <c r="D93" s="30">
        <v>180</v>
      </c>
      <c r="E93" s="30">
        <v>170</v>
      </c>
      <c r="F93" s="30">
        <v>185</v>
      </c>
      <c r="G93" s="7">
        <f t="shared" si="12"/>
        <v>-1.4084507042253522</v>
      </c>
      <c r="H93" s="5" t="s">
        <v>113</v>
      </c>
      <c r="I93" s="6"/>
      <c r="J93" s="6"/>
      <c r="K93" s="51"/>
      <c r="L93" s="18"/>
    </row>
    <row r="94" spans="1:12" ht="21.75">
      <c r="A94" s="73"/>
      <c r="B94" s="3"/>
      <c r="C94" s="79"/>
      <c r="D94" s="79"/>
      <c r="E94" s="79"/>
      <c r="F94" s="79"/>
      <c r="G94" s="10"/>
      <c r="H94" s="1"/>
      <c r="I94" s="3"/>
      <c r="J94" s="3"/>
      <c r="K94" s="51"/>
      <c r="L94" s="18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4.75">
      <c r="A98" s="1"/>
      <c r="B98" s="42"/>
      <c r="C98" s="43" t="s">
        <v>121</v>
      </c>
      <c r="D98" s="11"/>
      <c r="E98" s="42"/>
      <c r="F98" s="14"/>
      <c r="G98" s="11"/>
      <c r="H98" s="40"/>
      <c r="I98" s="13"/>
      <c r="J98" s="14" t="s">
        <v>115</v>
      </c>
      <c r="K98" s="11"/>
      <c r="L98" s="11"/>
    </row>
    <row r="99" spans="1:12" ht="24.75">
      <c r="A99" s="1"/>
      <c r="B99" s="44"/>
      <c r="C99" s="43" t="s">
        <v>122</v>
      </c>
      <c r="D99" s="14"/>
      <c r="E99" s="42"/>
      <c r="F99" s="45"/>
      <c r="G99" s="47"/>
      <c r="H99" s="47"/>
      <c r="I99" s="77"/>
      <c r="J99" s="14" t="s">
        <v>116</v>
      </c>
      <c r="K99" s="14"/>
      <c r="L99" s="14"/>
    </row>
    <row r="100" spans="1:12" ht="24.75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9.5">
      <c r="A101" s="56" t="s">
        <v>93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9.5">
      <c r="A102" s="55" t="s">
        <v>99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98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9.5">
      <c r="A105" s="55" t="s">
        <v>97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9.5">
      <c r="A106" s="55" t="s">
        <v>96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95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94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101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100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120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119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118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2025-09-07T06:05:11Z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