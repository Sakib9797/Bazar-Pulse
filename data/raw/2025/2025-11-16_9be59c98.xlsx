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139D5AA6-8705-4120-A7C4-63AFF58D4FC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3" i="4"/>
  <c r="G85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<sst xmlns="http://schemas.openxmlformats.org/spreadsheetml/2006/main" count="223" uniqueCount="128">
  <si>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</si>
  <si>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</si>
  <si>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</si>
  <si>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</si>
  <si>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</si>
  <si>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</si>
  <si>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</si>
  <si>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</si>
  <si>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</si>
  <si>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</si>
  <si>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</si>
  <si>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</si>
  <si>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</si>
  <si>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</si>
  <si>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</si>
  <si>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</si>
  <si>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</si>
  <si>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</si>
  <si>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</si>
  <si>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</si>
  <si>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</si>
  <si>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</si>
  <si>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</si>
  <si>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</si>
  <si>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</si>
  <si>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</si>
  <si>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</si>
  <si>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</si>
  <si>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</si>
  <si>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</si>
  <si>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</si>
  <si>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</si>
  <si>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</si>
  <si>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</si>
  <si>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</si>
  <si>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</si>
  <si>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</si>
  <si>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</si>
  <si>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</si>
  <si>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</si>
  <si>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</si>
  <si>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</si>
  <si>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</si>
  <si>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</si>
  <si>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</si>
  <si>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</si>
  <si>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</si>
  <si>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</si>
  <si>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</si>
  <si>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</si>
  <si>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</si>
  <si>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</si>
  <si>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</si>
  <si>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</si>
  <si>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</si>
  <si>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</si>
  <si>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</si>
  <si>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</si>
  <si>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</si>
  <si>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</si>
  <si>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</si>
  <si>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</si>
  <si>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</si>
  <si>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</si>
  <si>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</si>
  <si>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</si>
  <si>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</si>
  <si>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</si>
  <si>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</si>
  <si>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</si>
  <si>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</si>
  <si>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</si>
  <si>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</si>
  <si>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</si>
  <si>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</si>
  <si>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</si>
  <si>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</si>
  <si>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</si>
  <si>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</si>
  <si>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</si>
  <si>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</si>
  <si>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</si>
  <si>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</si>
  <si>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</si>
  <si>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</si>
  <si>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</si>
  <si>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</si>
  <si>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</si>
  <si>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</si>
  <si>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</si>
  <si>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</si>
  <si>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</si>
  <si>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</si>
  <si>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</si>
  <si>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</si>
  <si>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</si>
  <si>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</si>
  <si>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</si>
  <si>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</si>
  <si>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</si>
  <si>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</si>
  <si>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</si>
  <si>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</si>
  <si>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</si>
  <si>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</si>
  <si>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</si>
  <si>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</si>
  <si>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</si>
  <si>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</si>
  <si>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</si>
  <si>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</si>
  <si>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</si>
  <si>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</si>
  <si>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</si>
  <si>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</si>
  <si>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</si>
  <si>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</si>
  <si>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</si>
  <si>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</si>
  <si>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</si>
  <si>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১১-১১-২০২৫ তারিখে মূল্য হ্রাস পেয়েছে।</t>
  </si>
  <si>
    <t>১১-১১-২০২৫ তারিখে মূল্য বৃদ্ধি পেয়েছে।</t>
  </si>
  <si>
    <t>১৩-১১-২০২৫ তারিখে মূল্য হ্রাস পেয়েছে।</t>
  </si>
  <si>
    <t>স্মারক নং-২৬.০৫.০০০০.০১৭.৩১.০১.২৫-৮২৯</t>
  </si>
  <si>
    <t xml:space="preserve">রবিবার ১৬ নভেম্বর ২০২৫ খ্রিঃ, ০১ অগ্রহায়ন ১৪৩২ বাংলা, ২৪ জমা-আউ ১৪৪৭ হিজরি </t>
  </si>
  <si>
    <t xml:space="preserve">   সিরিয়াল নংঃ     ২৮৭</t>
  </si>
  <si>
    <t>(২ )   সয়াবিন তেল (১লিঃ বোতল), পেঁয়াজ (দেশী), চিনি  এর মূল্য হ্রাস পেয়েছে।</t>
  </si>
  <si>
    <t>(১)     রশুন (আম) 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</si>
</sst>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18" zoomScale="96" zoomScaleNormal="96" workbookViewId="0">
      <selection activeCell="D46" sqref="D4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125</v>
      </c>
      <c r="L4" s="84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45977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45977</v>
      </c>
      <c r="D8" s="84"/>
      <c r="E8" s="83">
        <v>45970</v>
      </c>
      <c r="F8" s="84"/>
      <c r="G8" s="83">
        <v>45946</v>
      </c>
      <c r="H8" s="84"/>
      <c r="I8" s="26" t="s">
        <v>12</v>
      </c>
      <c r="J8" s="83">
        <v>45612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170</v>
      </c>
      <c r="K19" s="29">
        <v>172</v>
      </c>
      <c r="L19" s="31">
        <f t="shared" ref="L19:L25" si="1">((C19+D19)/2-(J19+K19)/2)/((J19+K19)/2)*100</f>
        <v>2.3391812865497075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910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800</v>
      </c>
      <c r="K20" s="29">
        <v>815</v>
      </c>
      <c r="L20" s="31">
        <f t="shared" si="1"/>
        <v>13.003095975232199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188</v>
      </c>
      <c r="H22" s="29">
        <v>195</v>
      </c>
      <c r="I22" s="30">
        <f t="shared" si="0"/>
        <v>-0.52219321148825071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153</v>
      </c>
      <c r="H23" s="29">
        <v>162</v>
      </c>
      <c r="I23" s="30">
        <f t="shared" si="0"/>
        <v>-0.95238095238095244</v>
      </c>
      <c r="J23" s="29">
        <v>163</v>
      </c>
      <c r="K23" s="29">
        <v>164</v>
      </c>
      <c r="L23" s="31">
        <f t="shared" si="1"/>
        <v>-4.5871559633027523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168</v>
      </c>
      <c r="I24" s="30">
        <f t="shared" si="0"/>
        <v>-0.92879256965944268</v>
      </c>
      <c r="J24" s="29">
        <v>165</v>
      </c>
      <c r="K24" s="29">
        <v>166</v>
      </c>
      <c r="L24" s="31">
        <f t="shared" si="1"/>
        <v>-3.3232628398791544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110</v>
      </c>
      <c r="F35" s="29">
        <v>120</v>
      </c>
      <c r="G35" s="29">
        <v>70</v>
      </c>
      <c r="H35" s="29">
        <v>85</v>
      </c>
      <c r="I35" s="30">
        <f t="shared" ref="I35:I50" si="4">((C35+D35)/2-(G35+H35)/2)/((G35+H35)/2)*100</f>
        <v>41.935483870967744</v>
      </c>
      <c r="J35" s="29">
        <v>130</v>
      </c>
      <c r="K35" s="29">
        <v>150</v>
      </c>
      <c r="L35" s="31">
        <f t="shared" ref="L35:L50" si="5">((C35+D35)/2-(J35+K35)/2)/((J35+K35)/2)*100</f>
        <v>-21.428571428571427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90</v>
      </c>
      <c r="D37" s="29">
        <v>150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240</v>
      </c>
      <c r="K37" s="29">
        <v>260</v>
      </c>
      <c r="L37" s="31">
        <f t="shared" si="5"/>
        <v>-52</v>
      </c>
    </row>
    <row r="38" spans="1:12" ht="21.75">
      <c r="A38" s="69" t="s">
        <v>46</v>
      </c>
      <c r="B38" s="6" t="s">
        <v>18</v>
      </c>
      <c r="C38" s="29">
        <v>160</v>
      </c>
      <c r="D38" s="29">
        <v>220</v>
      </c>
      <c r="E38" s="29">
        <v>160</v>
      </c>
      <c r="F38" s="29">
        <v>200</v>
      </c>
      <c r="G38" s="29">
        <v>130</v>
      </c>
      <c r="H38" s="29">
        <v>200</v>
      </c>
      <c r="I38" s="30">
        <f t="shared" si="4"/>
        <v>15.151515151515152</v>
      </c>
      <c r="J38" s="29">
        <v>230</v>
      </c>
      <c r="K38" s="29">
        <v>250</v>
      </c>
      <c r="L38" s="31">
        <f t="shared" si="5"/>
        <v>-20.833333333333336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150</v>
      </c>
      <c r="D43" s="29">
        <v>180</v>
      </c>
      <c r="E43" s="29">
        <v>0</v>
      </c>
      <c r="F43" s="29">
        <v>0</v>
      </c>
      <c r="G43" s="29">
        <v>180</v>
      </c>
      <c r="H43" s="29">
        <v>200</v>
      </c>
      <c r="I43" s="30">
        <f t="shared" si="4"/>
        <v>-13.157894736842104</v>
      </c>
      <c r="J43" s="29">
        <v>450</v>
      </c>
      <c r="K43" s="29">
        <v>500</v>
      </c>
      <c r="L43" s="31">
        <f t="shared" si="5"/>
        <v>-65.26315789473685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250</v>
      </c>
      <c r="I44" s="30">
        <f t="shared" si="4"/>
        <v>-2.6315789473684208</v>
      </c>
      <c r="J44" s="29">
        <v>140</v>
      </c>
      <c r="K44" s="29">
        <v>300</v>
      </c>
      <c r="L44" s="31">
        <f t="shared" si="5"/>
        <v>-15.909090909090908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3400</v>
      </c>
      <c r="K48" s="29">
        <v>4250</v>
      </c>
      <c r="L48" s="31">
        <f t="shared" si="5"/>
        <v>34.640522875816991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280</v>
      </c>
      <c r="L49" s="31">
        <f t="shared" si="5"/>
        <v>-7.8431372549019605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780</v>
      </c>
      <c r="I54" s="30">
        <f t="shared" si="6"/>
        <v>1.3071895424836601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190</v>
      </c>
      <c r="G56" s="29">
        <v>170</v>
      </c>
      <c r="H56" s="29">
        <v>185</v>
      </c>
      <c r="I56" s="30">
        <f t="shared" si="6"/>
        <v>0</v>
      </c>
      <c r="J56" s="29">
        <v>180</v>
      </c>
      <c r="K56" s="29">
        <v>200</v>
      </c>
      <c r="L56" s="31">
        <f t="shared" si="7"/>
        <v>-6.5789473684210522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45977</v>
      </c>
      <c r="D67" s="84"/>
      <c r="E67" s="83">
        <v>45970</v>
      </c>
      <c r="F67" s="84"/>
      <c r="G67" s="83">
        <v>45946</v>
      </c>
      <c r="H67" s="84"/>
      <c r="I67" s="26" t="s">
        <v>12</v>
      </c>
      <c r="J67" s="83">
        <v>45612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100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128</v>
      </c>
      <c r="K69" s="29">
        <v>135</v>
      </c>
      <c r="L69" s="31">
        <f t="shared" ref="L69:L75" si="8">((C69+D69)/2-(J69+K69)/2)/((J69+K69)/2)*100</f>
        <v>-22.053231939163499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50</v>
      </c>
      <c r="L72" s="31">
        <f t="shared" si="8"/>
        <v>-5.1020408163265305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92500</v>
      </c>
      <c r="L74" s="31">
        <f t="shared" si="8"/>
        <v>-7.4792243767313016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29</v>
      </c>
      <c r="B83" s="6" t="s">
        <v>30</v>
      </c>
      <c r="C83" s="29">
        <v>900</v>
      </c>
      <c r="D83" s="29">
        <v>925</v>
      </c>
      <c r="E83" s="29">
        <v>910</v>
      </c>
      <c r="F83" s="29">
        <v>925</v>
      </c>
      <c r="G83" s="7">
        <f t="shared" ref="G83" si="10">((C83+D83)/2-(E83+F83)/2)/((E83+F83)/2)*100</f>
        <v>-0.54495912806539504</v>
      </c>
      <c r="H83" s="5" t="s">
        <v>120</v>
      </c>
      <c r="I83" s="6"/>
      <c r="J83" s="6"/>
      <c r="K83" s="50"/>
      <c r="L83" s="17"/>
    </row>
    <row r="84" spans="1:12" ht="21.75">
      <c r="A84" s="69" t="s">
        <v>90</v>
      </c>
      <c r="B84" s="6" t="s">
        <v>18</v>
      </c>
      <c r="C84" s="29">
        <v>100</v>
      </c>
      <c r="D84" s="29">
        <v>120</v>
      </c>
      <c r="E84" s="29">
        <v>110</v>
      </c>
      <c r="F84" s="29">
        <v>120</v>
      </c>
      <c r="G84" s="7">
        <f t="shared" ref="G84:G86" si="11">((C84+D84)/2-(E84+F84)/2)/((E84+F84)/2)*100</f>
        <v>-4.3478260869565215</v>
      </c>
      <c r="H84" s="5" t="s">
        <v>122</v>
      </c>
      <c r="I84" s="6"/>
      <c r="J84" s="6"/>
      <c r="K84" s="11"/>
      <c r="L84" s="11"/>
    </row>
    <row r="85" spans="1:12" ht="21.75">
      <c r="A85" s="69" t="s">
        <v>46</v>
      </c>
      <c r="B85" s="6" t="s">
        <v>18</v>
      </c>
      <c r="C85" s="29">
        <v>160</v>
      </c>
      <c r="D85" s="29">
        <v>220</v>
      </c>
      <c r="E85" s="29">
        <v>160</v>
      </c>
      <c r="F85" s="29">
        <v>200</v>
      </c>
      <c r="G85" s="7">
        <f t="shared" si="11"/>
        <v>5.5555555555555554</v>
      </c>
      <c r="H85" s="5" t="s">
        <v>121</v>
      </c>
      <c r="I85" s="6"/>
      <c r="J85" s="6"/>
      <c r="K85" s="11"/>
      <c r="L85" s="11"/>
    </row>
    <row r="86" spans="1:12" ht="24.75">
      <c r="A86" s="69" t="s">
        <v>71</v>
      </c>
      <c r="B86" s="6" t="s">
        <v>18</v>
      </c>
      <c r="C86" s="29">
        <v>95</v>
      </c>
      <c r="D86" s="29">
        <v>110</v>
      </c>
      <c r="E86" s="29">
        <v>100</v>
      </c>
      <c r="F86" s="29">
        <v>110</v>
      </c>
      <c r="G86" s="7">
        <f t="shared" si="11"/>
        <v>-2.3809523809523809</v>
      </c>
      <c r="H86" s="5" t="s">
        <v>120</v>
      </c>
      <c r="I86" s="6"/>
      <c r="J86" s="6"/>
      <c r="K86" s="40"/>
      <c r="L86" s="11"/>
    </row>
    <row r="87" spans="1:12" ht="24.75">
      <c r="A87" s="1"/>
      <c r="B87" s="3"/>
      <c r="C87" s="82"/>
      <c r="D87" s="82"/>
      <c r="E87" s="8"/>
      <c r="F87" s="82"/>
      <c r="G87" s="9"/>
      <c r="H87" s="1"/>
      <c r="I87" s="3"/>
      <c r="J87" s="3"/>
      <c r="K87" s="40"/>
      <c r="L87" s="11"/>
    </row>
    <row r="88" spans="1:12" ht="24.75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1"/>
      <c r="B90" s="41"/>
      <c r="C90" s="42" t="s">
        <v>119</v>
      </c>
      <c r="D90" s="10"/>
      <c r="E90" s="41"/>
      <c r="F90" s="13"/>
      <c r="G90" s="10"/>
      <c r="H90" s="39"/>
      <c r="I90" s="12"/>
      <c r="J90" s="13" t="s">
        <v>117</v>
      </c>
      <c r="K90" s="10"/>
      <c r="L90" s="10"/>
    </row>
    <row r="91" spans="1:12" ht="24.75">
      <c r="A91" s="1"/>
      <c r="B91" s="43"/>
      <c r="C91" s="42" t="s">
        <v>116</v>
      </c>
      <c r="D91" s="13"/>
      <c r="E91" s="41"/>
      <c r="F91" s="44"/>
      <c r="G91" s="46"/>
      <c r="H91" s="46"/>
      <c r="I91" s="76"/>
      <c r="J91" s="13" t="s">
        <v>118</v>
      </c>
      <c r="K91" s="13"/>
      <c r="L91" s="13"/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93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99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98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85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97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96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107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101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87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89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114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113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112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2025-11-16T08:02:43Z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