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97D43106-CCE9-442F-90FA-7D272B64BA5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G8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<sst xmlns="http://schemas.openxmlformats.org/spreadsheetml/2006/main" count="222" uniqueCount="126">
  <si>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</si>
  <si>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</si>
  <si>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</si>
  <si>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</si>
  <si>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</si>
  <si>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</si>
  <si>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</si>
  <si>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</si>
  <si>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</si>
  <si>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</si>
  <si>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</si>
  <si>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</si>
  <si>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</si>
  <si>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</si>
  <si>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</si>
  <si>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</si>
  <si>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</si>
  <si>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</si>
  <si>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</si>
  <si>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</si>
  <si>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</si>
  <si>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</si>
  <si>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</si>
  <si>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</si>
  <si>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</si>
  <si>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</si>
  <si>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</si>
  <si>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</si>
  <si>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</si>
  <si>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</si>
  <si>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</si>
  <si>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</si>
  <si>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</si>
  <si>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</si>
  <si>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</si>
  <si>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</si>
  <si>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</si>
  <si>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</si>
  <si>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</si>
  <si>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</si>
  <si>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</si>
  <si>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</si>
  <si>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</si>
  <si>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</si>
  <si>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</si>
  <si>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</si>
  <si>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</si>
  <si>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</si>
  <si>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</si>
  <si>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</si>
  <si>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</si>
  <si>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</si>
  <si>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</si>
  <si>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</si>
  <si>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</si>
  <si>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</si>
  <si>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</si>
  <si>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</si>
  <si>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</si>
  <si>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</si>
  <si>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</si>
  <si>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</si>
  <si>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</si>
  <si>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</si>
  <si>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</si>
  <si>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</si>
  <si>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</si>
  <si>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</si>
  <si>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</si>
  <si>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</si>
  <si>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</si>
  <si>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</si>
  <si>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</si>
  <si>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</si>
  <si>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</si>
  <si>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</si>
  <si>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</si>
  <si>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</si>
  <si>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</si>
  <si>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</si>
  <si>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</si>
  <si>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</si>
  <si>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</si>
  <si>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</si>
  <si>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</si>
  <si>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</si>
  <si>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</si>
  <si>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</si>
  <si>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</si>
  <si>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</si>
  <si>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</si>
  <si>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</si>
  <si>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</si>
  <si>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</si>
  <si>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</si>
  <si>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</si>
  <si>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</si>
  <si>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</si>
  <si>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</si>
  <si>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</si>
  <si>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</si>
  <si>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</si>
  <si>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</si>
  <si>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</si>
  <si>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</si>
  <si>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</si>
  <si>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</si>
  <si>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</si>
  <si>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</si>
  <si>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</si>
  <si>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</si>
  <si>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</si>
  <si>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</si>
  <si>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</si>
  <si>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</si>
  <si>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</si>
  <si>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</si>
  <si>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</si>
  <si>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</si>
  <si>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</si>
  <si>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(১ )   রশুন (দেশী,আম), এলাচ, মুরগী ব্রয়লার   এর মূল্য হ্রাস পেয়েছে।</t>
  </si>
  <si>
    <t>স্মারক নং-২৬.০৫.০০০০.০১৭.৩১.০১.২৫-৮৫৭</t>
  </si>
  <si>
    <t xml:space="preserve">   সিরিয়াল নংঃ     ২৯৪</t>
  </si>
  <si>
    <t xml:space="preserve">বুধবার ২৬ নভেম্বর ২০২৫ খ্রিঃ, ১১ অগ্রহায়ন ১৪৩২ বাংলা, ০৪ জমা-সানি ১৪৪৭ হিজরি 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</si>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</sst>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A77" zoomScale="96" zoomScaleNormal="96" workbookViewId="0">
      <selection activeCell="J90" sqref="J9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122</v>
      </c>
      <c r="L4" s="84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45987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45987</v>
      </c>
      <c r="D8" s="84"/>
      <c r="E8" s="83">
        <v>45980</v>
      </c>
      <c r="F8" s="84"/>
      <c r="G8" s="83">
        <v>45956</v>
      </c>
      <c r="H8" s="84"/>
      <c r="I8" s="26" t="s">
        <v>12</v>
      </c>
      <c r="J8" s="83">
        <v>45622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167</v>
      </c>
      <c r="K19" s="29">
        <v>170</v>
      </c>
      <c r="L19" s="31">
        <f t="shared" ref="L19:L25" si="1">((C19+D19)/2-(J19+K19)/2)/((J19+K19)/2)*100</f>
        <v>3.857566765578635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925</v>
      </c>
      <c r="I20" s="30">
        <f t="shared" si="0"/>
        <v>0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157</v>
      </c>
      <c r="K23" s="29">
        <v>159</v>
      </c>
      <c r="L23" s="31">
        <f t="shared" si="1"/>
        <v>-1.2658227848101267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140</v>
      </c>
      <c r="L32" s="31">
        <f t="shared" si="3"/>
        <v>-20.754716981132077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75</v>
      </c>
      <c r="K33" s="29">
        <v>80</v>
      </c>
      <c r="L33" s="31">
        <f t="shared" si="3"/>
        <v>-70.967741935483872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90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220</v>
      </c>
      <c r="K38" s="29">
        <v>250</v>
      </c>
      <c r="L38" s="31">
        <f t="shared" si="5"/>
        <v>-23.404255319148938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630</v>
      </c>
      <c r="K45" s="29">
        <v>800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4600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-1.9417475728155338</v>
      </c>
      <c r="J48" s="29">
        <v>3400</v>
      </c>
      <c r="K48" s="29">
        <v>4250</v>
      </c>
      <c r="L48" s="31">
        <f t="shared" si="5"/>
        <v>32.026143790849673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-4.225352112676056</v>
      </c>
      <c r="J56" s="29">
        <v>175</v>
      </c>
      <c r="K56" s="29">
        <v>200</v>
      </c>
      <c r="L56" s="31">
        <f t="shared" si="7"/>
        <v>-9.3333333333333339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45987</v>
      </c>
      <c r="D67" s="84"/>
      <c r="E67" s="83">
        <v>45980</v>
      </c>
      <c r="F67" s="84"/>
      <c r="G67" s="83">
        <v>45956</v>
      </c>
      <c r="H67" s="84"/>
      <c r="I67" s="26" t="s">
        <v>12</v>
      </c>
      <c r="J67" s="83">
        <v>45622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116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45</v>
      </c>
      <c r="B82" s="6" t="s">
        <v>18</v>
      </c>
      <c r="C82" s="29">
        <v>80</v>
      </c>
      <c r="D82" s="29">
        <v>140</v>
      </c>
      <c r="E82" s="29">
        <v>90</v>
      </c>
      <c r="F82" s="29">
        <v>150</v>
      </c>
      <c r="G82" s="7">
        <f>((C82+D82)/2-(E82+F82)/2)/((E82+F82)/2)*100</f>
        <v>-8.3333333333333321</v>
      </c>
      <c r="H82" s="5" t="s">
        <v>115</v>
      </c>
      <c r="I82" s="6"/>
      <c r="J82" s="6"/>
      <c r="K82" s="11"/>
      <c r="L82" s="11"/>
    </row>
    <row r="83" spans="1:12" ht="21.75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115</v>
      </c>
      <c r="I83" s="6"/>
      <c r="J83" s="6"/>
      <c r="K83" s="11"/>
      <c r="L83" s="11"/>
    </row>
    <row r="84" spans="1:12" ht="21.75">
      <c r="A84" s="69" t="s">
        <v>56</v>
      </c>
      <c r="B84" s="6" t="s">
        <v>18</v>
      </c>
      <c r="C84" s="29">
        <v>4600</v>
      </c>
      <c r="D84" s="29">
        <v>5500</v>
      </c>
      <c r="E84" s="29">
        <v>4800</v>
      </c>
      <c r="F84" s="29">
        <v>5500</v>
      </c>
      <c r="G84" s="7">
        <f>((C84+D84)/2-(E84+F84)/2)/((E84+F84)/2)*100</f>
        <v>-1.9417475728155338</v>
      </c>
      <c r="H84" s="5" t="s">
        <v>119</v>
      </c>
      <c r="I84" s="6"/>
      <c r="J84" s="6"/>
      <c r="K84" s="11"/>
      <c r="L84" s="11"/>
    </row>
    <row r="85" spans="1:12" ht="24.75">
      <c r="A85" s="69" t="s">
        <v>62</v>
      </c>
      <c r="B85" s="6" t="s">
        <v>18</v>
      </c>
      <c r="C85" s="29">
        <v>160</v>
      </c>
      <c r="D85" s="29">
        <v>180</v>
      </c>
      <c r="E85" s="29">
        <v>160</v>
      </c>
      <c r="F85" s="29">
        <v>190</v>
      </c>
      <c r="G85" s="7">
        <f>((C85+D85)/2-(E85+F85)/2)/((E85+F85)/2)*100</f>
        <v>-2.8571428571428572</v>
      </c>
      <c r="H85" s="5" t="s">
        <v>119</v>
      </c>
      <c r="I85" s="6"/>
      <c r="J85" s="6"/>
      <c r="K85" s="40"/>
      <c r="L85" s="11"/>
    </row>
    <row r="86" spans="1:12" ht="24.75">
      <c r="A86" s="72"/>
      <c r="B86" s="3"/>
      <c r="C86" s="78"/>
      <c r="D86" s="78"/>
      <c r="E86" s="78"/>
      <c r="F86" s="78"/>
      <c r="G86" s="9"/>
      <c r="H86" s="1"/>
      <c r="I86" s="3"/>
      <c r="J86" s="3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4.75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4.75">
      <c r="A89" s="1"/>
      <c r="B89" s="41"/>
      <c r="C89" s="42" t="s">
        <v>117</v>
      </c>
      <c r="D89" s="10"/>
      <c r="E89" s="41"/>
      <c r="F89" s="13"/>
      <c r="G89" s="10"/>
      <c r="H89" s="39"/>
      <c r="I89" s="12"/>
      <c r="J89" s="13" t="s">
        <v>124</v>
      </c>
      <c r="K89" s="10"/>
      <c r="L89" s="10"/>
    </row>
    <row r="90" spans="1:12" ht="24.75">
      <c r="A90" s="1"/>
      <c r="B90" s="43"/>
      <c r="C90" s="42" t="s">
        <v>118</v>
      </c>
      <c r="D90" s="13"/>
      <c r="E90" s="41"/>
      <c r="F90" s="44"/>
      <c r="G90" s="46"/>
      <c r="H90" s="46"/>
      <c r="I90" s="76"/>
      <c r="J90" s="13" t="s">
        <v>125</v>
      </c>
      <c r="K90" s="13"/>
      <c r="L90" s="13"/>
    </row>
    <row r="91" spans="1:12" ht="24.75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9.5">
      <c r="A92" s="55" t="s">
        <v>93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9.5">
      <c r="A93" s="54" t="s">
        <v>99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9.5">
      <c r="A94" s="54" t="s">
        <v>98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9.5">
      <c r="A95" s="54" t="s">
        <v>85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107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86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101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100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87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5" t="s">
        <v>88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89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113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112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2025-11-26T07:52:39Z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