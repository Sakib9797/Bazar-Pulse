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84149477-1689-4FCD-BA10-13BB57399FF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7" i="4"/>
  <c r="G83" i="4"/>
  <c r="G89" i="4"/>
  <c r="G88" i="4"/>
  <c r="G84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<sst xmlns="http://schemas.openxmlformats.org/spreadsheetml/2006/main" count="232" uniqueCount="128">
  <si>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</si>
  <si>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</si>
  <si>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</si>
  <si>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</si>
  <si>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</si>
  <si>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</si>
  <si>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</si>
  <si>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</si>
  <si>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</si>
  <si>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</si>
  <si>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</si>
  <si>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</si>
  <si>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</si>
  <si>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</si>
  <si>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</si>
  <si>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</si>
  <si>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</si>
  <si>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</si>
  <si>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</si>
  <si>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</si>
  <si>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</si>
  <si>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</si>
  <si>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</si>
  <si>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</si>
  <si>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</si>
  <si>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</si>
  <si>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</si>
  <si>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</si>
  <si>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</si>
  <si>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</si>
  <si>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</si>
  <si>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</si>
  <si>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</si>
  <si>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</si>
  <si>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</si>
  <si>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</si>
  <si>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</si>
  <si>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</si>
  <si>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</si>
  <si>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</si>
  <si>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</si>
  <si>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</si>
  <si>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</si>
  <si>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</si>
  <si>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</si>
  <si>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</si>
  <si>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</si>
  <si>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</si>
  <si>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</si>
  <si>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</si>
  <si>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</si>
  <si>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</si>
  <si>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</si>
  <si>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</si>
  <si>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</si>
  <si>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</si>
  <si>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</si>
  <si>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</si>
  <si>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</si>
  <si>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</si>
  <si>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</si>
  <si>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</si>
  <si>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</si>
  <si>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</si>
  <si>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</si>
  <si>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</si>
  <si>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</si>
  <si>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</si>
  <si>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</si>
  <si>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</si>
  <si>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</si>
  <si>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</si>
  <si>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</si>
  <si>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</si>
  <si>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</si>
  <si>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</si>
  <si>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</si>
  <si>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</si>
  <si>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</si>
  <si>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</si>
  <si>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</si>
  <si>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</si>
  <si>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</si>
  <si>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</si>
  <si>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</si>
  <si>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</si>
  <si>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</si>
  <si>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</si>
  <si>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</si>
  <si>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</si>
  <si>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</si>
  <si>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</si>
  <si>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</si>
  <si>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</si>
  <si>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</si>
  <si>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</si>
  <si>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</si>
  <si>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</si>
  <si>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</si>
  <si>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</si>
  <si>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</si>
  <si>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</si>
  <si>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</si>
  <si>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</si>
  <si>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</si>
  <si>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</si>
  <si>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</si>
  <si>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</si>
  <si>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</si>
  <si>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</si>
  <si>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</si>
  <si>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</si>
  <si>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৩১-০৮-২০২৫ তারিখে মূল্য বৃদ্ধি পেয়েছে।</t>
  </si>
  <si>
    <t>স্মারক নং-২৬.০৫.০০০০.০১৭.৩১.০১.২৫-৬২১</t>
  </si>
  <si>
    <t xml:space="preserve">বৃহস্পতিবার ০৪ সেপ্টেম্বর ২০২৫ খ্রিঃ, ২০ ভাদ্র ১৪৩২ বাংলা, ১০ রবিউল আউয়াল ১৪৪৭ হিজরি </t>
  </si>
  <si>
    <t xml:space="preserve">   সিরিয়াল নংঃ     ২২১</t>
  </si>
  <si>
    <t>০৪-০৯-২০২৫ তারিখে মূল্য হ্রাস পেয়েছে।</t>
  </si>
  <si>
    <t>০৪-০৯-২০২৫ তারিখে মূল্য বৃদ্ধি পেয়েছে।</t>
  </si>
  <si>
    <t>(১)     আটা (খোলা), সয়াবিন তেল (লুজ), রশুন (দেশী)  এর মূল্য বৃদ্ধি পেয়েছে।</t>
  </si>
  <si>
    <t>(২ )    সুপার পাম অয়েল লুজ, আদা (আম), তেজপাতা, মুরগী ব্রয়লার    এর মূল্য হ্রাস পেয়েছে।</t>
  </si>
  <si>
    <t>(মোনালিসা পরভীন)</t>
  </si>
  <si>
    <t>উপ পরিচালক (বাজার তথ্য)(প্রতিকল্প)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</si>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</sst>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A86" zoomScale="98" zoomScaleNormal="98" workbookViewId="0">
      <selection activeCell="J95" sqref="J95"/>
    </sheetView>
  </sheetViews>
  <sheetFormatPr defaultRowHeight="15.75"/>
  <cols>
    <col min="1" max="1" width="16.0976562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115</v>
      </c>
      <c r="L4" s="84"/>
    </row>
    <row r="5" spans="1:12" ht="19.5" customHeight="1">
      <c r="A5" s="18"/>
      <c r="B5" s="8"/>
      <c r="C5" s="8"/>
      <c r="D5" s="18"/>
      <c r="E5" s="8"/>
      <c r="F5" s="8" t="s">
        <v>114</v>
      </c>
      <c r="G5" s="8"/>
      <c r="H5" s="8"/>
      <c r="I5" s="8"/>
      <c r="J5" s="8"/>
      <c r="K5" s="8"/>
      <c r="L5" s="50"/>
    </row>
    <row r="6" spans="1:12" ht="21.75">
      <c r="A6" s="21" t="s">
        <v>113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45904</v>
      </c>
    </row>
    <row r="7" spans="1:12" ht="21.7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.75">
      <c r="A8" s="26"/>
      <c r="B8" s="27"/>
      <c r="C8" s="83">
        <v>45904</v>
      </c>
      <c r="D8" s="84"/>
      <c r="E8" s="83">
        <v>45897</v>
      </c>
      <c r="F8" s="84"/>
      <c r="G8" s="83">
        <v>45873</v>
      </c>
      <c r="H8" s="84"/>
      <c r="I8" s="27" t="s">
        <v>12</v>
      </c>
      <c r="J8" s="83">
        <v>45539</v>
      </c>
      <c r="K8" s="84"/>
      <c r="L8" s="27" t="s">
        <v>12</v>
      </c>
    </row>
    <row r="9" spans="1:12" ht="21.75">
      <c r="A9" s="69" t="s">
        <v>13</v>
      </c>
      <c r="B9" s="70"/>
      <c r="C9" s="70" t="s">
        <v>14</v>
      </c>
      <c r="D9" s="70" t="s">
        <v>15</v>
      </c>
      <c r="E9" s="70" t="s">
        <v>14</v>
      </c>
      <c r="F9" s="70" t="s">
        <v>15</v>
      </c>
      <c r="G9" s="70" t="s">
        <v>14</v>
      </c>
      <c r="H9" s="70" t="s">
        <v>15</v>
      </c>
      <c r="I9" s="70" t="s">
        <v>16</v>
      </c>
      <c r="J9" s="29" t="s">
        <v>14</v>
      </c>
      <c r="K9" s="29" t="s">
        <v>15</v>
      </c>
      <c r="L9" s="70" t="s">
        <v>16</v>
      </c>
    </row>
    <row r="10" spans="1:12" ht="21.75">
      <c r="A10" s="71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1" t="s">
        <v>105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0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1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2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1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50</v>
      </c>
      <c r="G14" s="30">
        <v>40</v>
      </c>
      <c r="H14" s="30">
        <v>45</v>
      </c>
      <c r="I14" s="31">
        <f>((C14+D14)/2-(G14+H14)/2)/((G14+H14)/2)*100</f>
        <v>14.117647058823529</v>
      </c>
      <c r="J14" s="30">
        <v>38</v>
      </c>
      <c r="K14" s="30">
        <v>45</v>
      </c>
      <c r="L14" s="32">
        <f>((C14+D14)/2-(J14+K14)/2)/((J14+K14)/2)*100</f>
        <v>16.867469879518072</v>
      </c>
    </row>
    <row r="15" spans="1:12" ht="21.75">
      <c r="A15" s="71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1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1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60</v>
      </c>
      <c r="H17" s="30">
        <v>70</v>
      </c>
      <c r="I17" s="31">
        <f>((C17+D17)/2-(G17+H17)/2)/((G17+H17)/2)*100</f>
        <v>7.6923076923076925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2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1" t="s">
        <v>27</v>
      </c>
      <c r="B19" s="6" t="s">
        <v>28</v>
      </c>
      <c r="C19" s="30">
        <v>166</v>
      </c>
      <c r="D19" s="30">
        <v>174</v>
      </c>
      <c r="E19" s="30">
        <v>165</v>
      </c>
      <c r="F19" s="30">
        <v>172</v>
      </c>
      <c r="G19" s="30">
        <v>162</v>
      </c>
      <c r="H19" s="30">
        <v>170</v>
      </c>
      <c r="I19" s="31">
        <f t="shared" ref="I19:I25" si="0">((C19+D19)/2-(G19+H19)/2)/((G19+H19)/2)*100</f>
        <v>2.4096385542168677</v>
      </c>
      <c r="J19" s="30">
        <v>145</v>
      </c>
      <c r="K19" s="30">
        <v>155</v>
      </c>
      <c r="L19" s="32">
        <f t="shared" ref="L19:L25" si="1">((C19+D19)/2-(J19+K19)/2)/((J19+K19)/2)*100</f>
        <v>13.333333333333334</v>
      </c>
    </row>
    <row r="20" spans="1:12" ht="21.75">
      <c r="A20" s="71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1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1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1" t="s">
        <v>33</v>
      </c>
      <c r="B23" s="6" t="s">
        <v>28</v>
      </c>
      <c r="C23" s="30">
        <v>153</v>
      </c>
      <c r="D23" s="30">
        <v>158</v>
      </c>
      <c r="E23" s="30">
        <v>153</v>
      </c>
      <c r="F23" s="30">
        <v>158</v>
      </c>
      <c r="G23" s="30">
        <v>150</v>
      </c>
      <c r="H23" s="30">
        <v>160</v>
      </c>
      <c r="I23" s="31">
        <f t="shared" si="0"/>
        <v>0.32258064516129031</v>
      </c>
      <c r="J23" s="30">
        <v>130</v>
      </c>
      <c r="K23" s="30">
        <v>135</v>
      </c>
      <c r="L23" s="32">
        <f t="shared" si="1"/>
        <v>17.358490566037734</v>
      </c>
    </row>
    <row r="24" spans="1:12" ht="21.75">
      <c r="A24" s="71" t="s">
        <v>106</v>
      </c>
      <c r="B24" s="6" t="s">
        <v>28</v>
      </c>
      <c r="C24" s="30">
        <v>155</v>
      </c>
      <c r="D24" s="30">
        <v>164</v>
      </c>
      <c r="E24" s="30">
        <v>158</v>
      </c>
      <c r="F24" s="30">
        <v>164</v>
      </c>
      <c r="G24" s="30">
        <v>152</v>
      </c>
      <c r="H24" s="30">
        <v>163</v>
      </c>
      <c r="I24" s="31">
        <f t="shared" si="0"/>
        <v>1.2698412698412698</v>
      </c>
      <c r="J24" s="30">
        <v>135</v>
      </c>
      <c r="K24" s="30">
        <v>140</v>
      </c>
      <c r="L24" s="32">
        <f t="shared" si="1"/>
        <v>16</v>
      </c>
    </row>
    <row r="25" spans="1:12" ht="21.75">
      <c r="A25" s="71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2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1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1" t="s">
        <v>110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110</v>
      </c>
      <c r="H28" s="30">
        <v>135</v>
      </c>
      <c r="I28" s="31">
        <f t="shared" si="2"/>
        <v>0</v>
      </c>
      <c r="J28" s="30">
        <v>115</v>
      </c>
      <c r="K28" s="30">
        <v>120</v>
      </c>
      <c r="L28" s="32">
        <f t="shared" si="3"/>
        <v>4.2553191489361701</v>
      </c>
    </row>
    <row r="29" spans="1:12" ht="21.75">
      <c r="A29" s="71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145</v>
      </c>
      <c r="H29" s="30">
        <v>155</v>
      </c>
      <c r="I29" s="31">
        <f t="shared" si="2"/>
        <v>3.3333333333333335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1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1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1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110</v>
      </c>
      <c r="K32" s="30">
        <v>120</v>
      </c>
      <c r="L32" s="32">
        <f t="shared" si="3"/>
        <v>-10.869565217391305</v>
      </c>
    </row>
    <row r="33" spans="1:12" ht="21.75">
      <c r="A33" s="71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30</v>
      </c>
      <c r="I33" s="31">
        <f t="shared" si="2"/>
        <v>10</v>
      </c>
      <c r="J33" s="30">
        <v>52</v>
      </c>
      <c r="K33" s="30">
        <v>60</v>
      </c>
      <c r="L33" s="32">
        <f t="shared" si="3"/>
        <v>-50.892857142857139</v>
      </c>
    </row>
    <row r="34" spans="1:12" ht="21.75">
      <c r="A34" s="72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1" t="s">
        <v>90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70</v>
      </c>
      <c r="H35" s="30">
        <v>85</v>
      </c>
      <c r="I35" s="31">
        <f t="shared" ref="I35:I50" si="4">((C35+D35)/2-(G35+H35)/2)/((G35+H35)/2)*100</f>
        <v>3.225806451612903</v>
      </c>
      <c r="J35" s="30">
        <v>105</v>
      </c>
      <c r="K35" s="30">
        <v>120</v>
      </c>
      <c r="L35" s="32">
        <f t="shared" ref="L35:L50" si="5">((C35+D35)/2-(J35+K35)/2)/((J35+K35)/2)*100</f>
        <v>-28.888888888888886</v>
      </c>
    </row>
    <row r="36" spans="1:12" ht="21.75">
      <c r="A36" s="71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90</v>
      </c>
      <c r="K36" s="30">
        <v>110</v>
      </c>
      <c r="L36" s="32">
        <f t="shared" si="5"/>
        <v>-100</v>
      </c>
    </row>
    <row r="37" spans="1:12" ht="21.75">
      <c r="A37" s="71" t="s">
        <v>45</v>
      </c>
      <c r="B37" s="6" t="s">
        <v>18</v>
      </c>
      <c r="C37" s="30">
        <v>100</v>
      </c>
      <c r="D37" s="30">
        <v>140</v>
      </c>
      <c r="E37" s="30">
        <v>90</v>
      </c>
      <c r="F37" s="30">
        <v>140</v>
      </c>
      <c r="G37" s="30">
        <v>80</v>
      </c>
      <c r="H37" s="30">
        <v>160</v>
      </c>
      <c r="I37" s="31">
        <f t="shared" si="4"/>
        <v>0</v>
      </c>
      <c r="J37" s="30">
        <v>200</v>
      </c>
      <c r="K37" s="30">
        <v>230</v>
      </c>
      <c r="L37" s="32">
        <f t="shared" si="5"/>
        <v>-44.186046511627907</v>
      </c>
    </row>
    <row r="38" spans="1:12" ht="21.75">
      <c r="A38" s="71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160</v>
      </c>
      <c r="H38" s="30">
        <v>210</v>
      </c>
      <c r="I38" s="31">
        <f t="shared" si="4"/>
        <v>-10.810810810810811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1" t="s">
        <v>47</v>
      </c>
      <c r="B39" s="6" t="s">
        <v>18</v>
      </c>
      <c r="C39" s="30">
        <v>270</v>
      </c>
      <c r="D39" s="30">
        <v>350</v>
      </c>
      <c r="E39" s="30">
        <v>280</v>
      </c>
      <c r="F39" s="30">
        <v>350</v>
      </c>
      <c r="G39" s="30">
        <v>240</v>
      </c>
      <c r="H39" s="30">
        <v>350</v>
      </c>
      <c r="I39" s="31">
        <f t="shared" si="4"/>
        <v>5.0847457627118651</v>
      </c>
      <c r="J39" s="30">
        <v>320</v>
      </c>
      <c r="K39" s="30">
        <v>400</v>
      </c>
      <c r="L39" s="32">
        <f t="shared" si="5"/>
        <v>-13.888888888888889</v>
      </c>
    </row>
    <row r="40" spans="1:12" ht="21.75">
      <c r="A40" s="71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420</v>
      </c>
      <c r="K40" s="30">
        <v>500</v>
      </c>
      <c r="L40" s="32">
        <f t="shared" si="5"/>
        <v>-18.478260869565215</v>
      </c>
    </row>
    <row r="41" spans="1:12" ht="21.75">
      <c r="A41" s="71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1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1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1" t="s">
        <v>52</v>
      </c>
      <c r="B44" s="6" t="s">
        <v>18</v>
      </c>
      <c r="C44" s="30">
        <v>140</v>
      </c>
      <c r="D44" s="30">
        <v>260</v>
      </c>
      <c r="E44" s="30">
        <v>150</v>
      </c>
      <c r="F44" s="30">
        <v>270</v>
      </c>
      <c r="G44" s="30">
        <v>180</v>
      </c>
      <c r="H44" s="30">
        <v>280</v>
      </c>
      <c r="I44" s="31">
        <f t="shared" si="4"/>
        <v>-13.043478260869565</v>
      </c>
      <c r="J44" s="30">
        <v>200</v>
      </c>
      <c r="K44" s="30">
        <v>270</v>
      </c>
      <c r="L44" s="32">
        <f t="shared" si="5"/>
        <v>-14.893617021276595</v>
      </c>
    </row>
    <row r="45" spans="1:12" ht="21.75">
      <c r="A45" s="71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750</v>
      </c>
      <c r="L45" s="32">
        <f t="shared" si="5"/>
        <v>-3.5714285714285712</v>
      </c>
    </row>
    <row r="46" spans="1:12" ht="21.75">
      <c r="A46" s="71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480</v>
      </c>
      <c r="K46" s="30">
        <v>500</v>
      </c>
      <c r="L46" s="32">
        <f t="shared" si="5"/>
        <v>12.244897959183673</v>
      </c>
    </row>
    <row r="47" spans="1:12" ht="21.75">
      <c r="A47" s="71" t="s">
        <v>55</v>
      </c>
      <c r="B47" s="6" t="s">
        <v>18</v>
      </c>
      <c r="C47" s="30">
        <v>1350</v>
      </c>
      <c r="D47" s="30">
        <v>1700</v>
      </c>
      <c r="E47" s="30">
        <v>1350</v>
      </c>
      <c r="F47" s="30">
        <v>1700</v>
      </c>
      <c r="G47" s="30">
        <v>1400</v>
      </c>
      <c r="H47" s="30">
        <v>1600</v>
      </c>
      <c r="I47" s="31">
        <f t="shared" si="4"/>
        <v>1.6666666666666667</v>
      </c>
      <c r="J47" s="30">
        <v>1200</v>
      </c>
      <c r="K47" s="30">
        <v>1500</v>
      </c>
      <c r="L47" s="32">
        <f t="shared" si="5"/>
        <v>12.962962962962962</v>
      </c>
    </row>
    <row r="48" spans="1:12" ht="21.75">
      <c r="A48" s="71" t="s">
        <v>56</v>
      </c>
      <c r="B48" s="6" t="s">
        <v>18</v>
      </c>
      <c r="C48" s="30">
        <v>4600</v>
      </c>
      <c r="D48" s="30">
        <v>5500</v>
      </c>
      <c r="E48" s="30">
        <v>4600</v>
      </c>
      <c r="F48" s="30">
        <v>5500</v>
      </c>
      <c r="G48" s="30">
        <v>4500</v>
      </c>
      <c r="H48" s="30">
        <v>5200</v>
      </c>
      <c r="I48" s="31">
        <f t="shared" si="4"/>
        <v>4.1237113402061851</v>
      </c>
      <c r="J48" s="30">
        <v>3200</v>
      </c>
      <c r="K48" s="30">
        <v>3600</v>
      </c>
      <c r="L48" s="32">
        <f t="shared" si="5"/>
        <v>48.529411764705884</v>
      </c>
    </row>
    <row r="49" spans="1:12" ht="21.75">
      <c r="A49" s="71" t="s">
        <v>57</v>
      </c>
      <c r="B49" s="6" t="s">
        <v>18</v>
      </c>
      <c r="C49" s="30">
        <v>200</v>
      </c>
      <c r="D49" s="30">
        <v>280</v>
      </c>
      <c r="E49" s="30">
        <v>200</v>
      </c>
      <c r="F49" s="30">
        <v>280</v>
      </c>
      <c r="G49" s="30">
        <v>180</v>
      </c>
      <c r="H49" s="30">
        <v>280</v>
      </c>
      <c r="I49" s="31">
        <f t="shared" si="4"/>
        <v>4.3478260869565215</v>
      </c>
      <c r="J49" s="30">
        <v>200</v>
      </c>
      <c r="K49" s="30">
        <v>260</v>
      </c>
      <c r="L49" s="32">
        <f t="shared" si="5"/>
        <v>4.3478260869565215</v>
      </c>
    </row>
    <row r="50" spans="1:12" ht="21.75">
      <c r="A50" s="71" t="s">
        <v>58</v>
      </c>
      <c r="B50" s="6" t="s">
        <v>18</v>
      </c>
      <c r="C50" s="30">
        <v>190</v>
      </c>
      <c r="D50" s="30">
        <v>225</v>
      </c>
      <c r="E50" s="30">
        <v>200</v>
      </c>
      <c r="F50" s="30">
        <v>220</v>
      </c>
      <c r="G50" s="30">
        <v>180</v>
      </c>
      <c r="H50" s="30">
        <v>220</v>
      </c>
      <c r="I50" s="31">
        <f t="shared" si="4"/>
        <v>3.75</v>
      </c>
      <c r="J50" s="30">
        <v>120</v>
      </c>
      <c r="K50" s="30">
        <v>200</v>
      </c>
      <c r="L50" s="32">
        <f t="shared" si="5"/>
        <v>29.6875</v>
      </c>
    </row>
    <row r="51" spans="1:12" ht="21.75">
      <c r="A51" s="69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1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1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1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1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1" t="s">
        <v>62</v>
      </c>
      <c r="B56" s="6" t="s">
        <v>18</v>
      </c>
      <c r="C56" s="30">
        <v>170</v>
      </c>
      <c r="D56" s="30">
        <v>180</v>
      </c>
      <c r="E56" s="30">
        <v>170</v>
      </c>
      <c r="F56" s="30">
        <v>185</v>
      </c>
      <c r="G56" s="30">
        <v>145</v>
      </c>
      <c r="H56" s="30">
        <v>170</v>
      </c>
      <c r="I56" s="31">
        <f t="shared" si="6"/>
        <v>11.111111111111111</v>
      </c>
      <c r="J56" s="30">
        <v>160</v>
      </c>
      <c r="K56" s="30">
        <v>170</v>
      </c>
      <c r="L56" s="32">
        <f t="shared" si="7"/>
        <v>6.0606060606060606</v>
      </c>
    </row>
    <row r="57" spans="1:12" ht="21.75">
      <c r="A57" s="71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3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1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1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1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4" customHeight="1">
      <c r="A62" s="71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0.25" customHeight="1">
      <c r="A63" s="74"/>
      <c r="B63" s="63"/>
      <c r="C63" s="64"/>
      <c r="D63" s="64"/>
      <c r="E63" s="64"/>
      <c r="F63" s="64"/>
      <c r="G63" s="64"/>
      <c r="H63" s="64"/>
      <c r="I63" s="10"/>
      <c r="J63" s="80"/>
      <c r="K63" s="80"/>
      <c r="L63" s="81"/>
    </row>
    <row r="64" spans="1:12" ht="20.25" customHeight="1">
      <c r="A64" s="74"/>
      <c r="B64" s="3"/>
      <c r="C64" s="64"/>
      <c r="D64" s="64"/>
      <c r="E64" s="64"/>
      <c r="F64" s="64"/>
      <c r="G64" s="64"/>
      <c r="H64" s="64"/>
      <c r="I64" s="10"/>
      <c r="J64" s="77"/>
      <c r="K64" s="77"/>
      <c r="L64" s="65"/>
    </row>
    <row r="65" spans="1:12" ht="20.25" customHeight="1">
      <c r="A65" s="74"/>
      <c r="B65" s="3"/>
      <c r="C65" s="64"/>
      <c r="D65" s="64"/>
      <c r="E65" s="64"/>
      <c r="F65" s="64"/>
      <c r="G65" s="64"/>
      <c r="H65" s="64"/>
      <c r="I65" s="10"/>
      <c r="J65" s="77"/>
      <c r="K65" s="77"/>
      <c r="L65" s="65"/>
    </row>
    <row r="66" spans="1:12" ht="21.75">
      <c r="A66" s="71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>
      <c r="A67" s="75"/>
      <c r="B67" s="66"/>
      <c r="C67" s="83">
        <v>45904</v>
      </c>
      <c r="D67" s="84"/>
      <c r="E67" s="83">
        <v>45897</v>
      </c>
      <c r="F67" s="84"/>
      <c r="G67" s="83">
        <v>45873</v>
      </c>
      <c r="H67" s="84"/>
      <c r="I67" s="27" t="s">
        <v>12</v>
      </c>
      <c r="J67" s="83">
        <v>45539</v>
      </c>
      <c r="K67" s="84"/>
      <c r="L67" s="27" t="s">
        <v>12</v>
      </c>
    </row>
    <row r="68" spans="1:12" ht="21.75">
      <c r="A68" s="76" t="s">
        <v>70</v>
      </c>
      <c r="B68" s="67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1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1" t="s">
        <v>72</v>
      </c>
      <c r="B70" s="68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1" t="s">
        <v>108</v>
      </c>
      <c r="B71" s="68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1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40</v>
      </c>
      <c r="H72" s="38">
        <v>46</v>
      </c>
      <c r="I72" s="31">
        <f t="shared" si="9"/>
        <v>10.465116279069768</v>
      </c>
      <c r="J72" s="38">
        <v>50</v>
      </c>
      <c r="K72" s="38">
        <v>53</v>
      </c>
      <c r="L72" s="32">
        <f t="shared" si="8"/>
        <v>-7.7669902912621351</v>
      </c>
    </row>
    <row r="73" spans="1:12" ht="21.75">
      <c r="A73" s="71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1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1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122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118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119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9" t="s">
        <v>12</v>
      </c>
      <c r="H82" s="88" t="s">
        <v>84</v>
      </c>
      <c r="I82" s="92"/>
      <c r="J82" s="89"/>
      <c r="K82" s="51"/>
      <c r="L82" s="18"/>
    </row>
    <row r="83" spans="1:12" ht="21.75">
      <c r="A83" s="5" t="s">
        <v>21</v>
      </c>
      <c r="B83" s="6" t="s">
        <v>18</v>
      </c>
      <c r="C83" s="30">
        <v>45</v>
      </c>
      <c r="D83" s="30">
        <v>52</v>
      </c>
      <c r="E83" s="30">
        <v>45</v>
      </c>
      <c r="F83" s="30">
        <v>50</v>
      </c>
      <c r="G83" s="7">
        <f t="shared" ref="G83" si="10">((C83+D83)/2-(E83+F83)/2)/((E83+F83)/2)*100</f>
        <v>2.1052631578947367</v>
      </c>
      <c r="H83" s="5" t="s">
        <v>112</v>
      </c>
      <c r="I83" s="6"/>
      <c r="J83" s="6"/>
      <c r="K83" s="51"/>
      <c r="L83" s="18"/>
    </row>
    <row r="84" spans="1:12" ht="21.75">
      <c r="A84" s="71" t="s">
        <v>27</v>
      </c>
      <c r="B84" s="6" t="s">
        <v>28</v>
      </c>
      <c r="C84" s="30">
        <v>166</v>
      </c>
      <c r="D84" s="30">
        <v>174</v>
      </c>
      <c r="E84" s="30">
        <v>165</v>
      </c>
      <c r="F84" s="30">
        <v>172</v>
      </c>
      <c r="G84" s="7">
        <f t="shared" ref="G84:G87" si="11">((C84+D84)/2-(E84+F84)/2)/((E84+F84)/2)*100</f>
        <v>0.89020771513353114</v>
      </c>
      <c r="H84" s="5" t="s">
        <v>117</v>
      </c>
      <c r="I84" s="6"/>
      <c r="J84" s="6"/>
      <c r="K84" s="51"/>
      <c r="L84" s="18"/>
    </row>
    <row r="85" spans="1:12" ht="21.75">
      <c r="A85" s="71" t="s">
        <v>106</v>
      </c>
      <c r="B85" s="6" t="s">
        <v>28</v>
      </c>
      <c r="C85" s="30">
        <v>155</v>
      </c>
      <c r="D85" s="30">
        <v>164</v>
      </c>
      <c r="E85" s="30">
        <v>158</v>
      </c>
      <c r="F85" s="30">
        <v>164</v>
      </c>
      <c r="G85" s="7">
        <f t="shared" si="11"/>
        <v>-0.93167701863354035</v>
      </c>
      <c r="H85" s="5" t="s">
        <v>116</v>
      </c>
      <c r="I85" s="6"/>
      <c r="J85" s="6"/>
      <c r="K85" s="51"/>
      <c r="L85" s="18"/>
    </row>
    <row r="86" spans="1:12" ht="21.75">
      <c r="A86" s="71" t="s">
        <v>45</v>
      </c>
      <c r="B86" s="6" t="s">
        <v>18</v>
      </c>
      <c r="C86" s="30">
        <v>100</v>
      </c>
      <c r="D86" s="30">
        <v>140</v>
      </c>
      <c r="E86" s="30">
        <v>90</v>
      </c>
      <c r="F86" s="30">
        <v>140</v>
      </c>
      <c r="G86" s="7">
        <f t="shared" si="11"/>
        <v>4.3478260869565215</v>
      </c>
      <c r="H86" s="5" t="s">
        <v>117</v>
      </c>
      <c r="I86" s="6"/>
      <c r="J86" s="6"/>
      <c r="K86" s="51"/>
      <c r="L86" s="18"/>
    </row>
    <row r="87" spans="1:12" ht="21.75">
      <c r="A87" s="71" t="s">
        <v>52</v>
      </c>
      <c r="B87" s="6" t="s">
        <v>18</v>
      </c>
      <c r="C87" s="30">
        <v>140</v>
      </c>
      <c r="D87" s="30">
        <v>260</v>
      </c>
      <c r="E87" s="30">
        <v>150</v>
      </c>
      <c r="F87" s="30">
        <v>270</v>
      </c>
      <c r="G87" s="7">
        <f t="shared" si="11"/>
        <v>-4.7619047619047619</v>
      </c>
      <c r="H87" s="5" t="s">
        <v>116</v>
      </c>
      <c r="I87" s="6"/>
      <c r="J87" s="6"/>
      <c r="K87" s="51"/>
      <c r="L87" s="18"/>
    </row>
    <row r="88" spans="1:12" ht="21.75">
      <c r="A88" s="71" t="s">
        <v>58</v>
      </c>
      <c r="B88" s="6" t="s">
        <v>18</v>
      </c>
      <c r="C88" s="30">
        <v>190</v>
      </c>
      <c r="D88" s="30">
        <v>225</v>
      </c>
      <c r="E88" s="30">
        <v>200</v>
      </c>
      <c r="F88" s="30">
        <v>220</v>
      </c>
      <c r="G88" s="7">
        <f t="shared" ref="G88:G89" si="12">((C88+D88)/2-(E88+F88)/2)/((E88+F88)/2)*100</f>
        <v>-1.1904761904761905</v>
      </c>
      <c r="H88" s="5" t="s">
        <v>116</v>
      </c>
      <c r="I88" s="6"/>
      <c r="J88" s="6"/>
      <c r="K88" s="51"/>
      <c r="L88" s="18"/>
    </row>
    <row r="89" spans="1:12" ht="21.75">
      <c r="A89" s="71" t="s">
        <v>62</v>
      </c>
      <c r="B89" s="6" t="s">
        <v>18</v>
      </c>
      <c r="C89" s="30">
        <v>170</v>
      </c>
      <c r="D89" s="30">
        <v>180</v>
      </c>
      <c r="E89" s="30">
        <v>170</v>
      </c>
      <c r="F89" s="30">
        <v>185</v>
      </c>
      <c r="G89" s="7">
        <f t="shared" si="12"/>
        <v>-1.4084507042253522</v>
      </c>
      <c r="H89" s="5" t="s">
        <v>116</v>
      </c>
      <c r="I89" s="6"/>
      <c r="J89" s="6"/>
      <c r="K89" s="51"/>
      <c r="L89" s="18"/>
    </row>
    <row r="90" spans="1:12" ht="21.75">
      <c r="A90" s="74"/>
      <c r="B90" s="3"/>
      <c r="C90" s="82"/>
      <c r="D90" s="82"/>
      <c r="E90" s="82"/>
      <c r="F90" s="82"/>
      <c r="G90" s="10"/>
      <c r="H90" s="1"/>
      <c r="I90" s="3"/>
      <c r="J90" s="3"/>
      <c r="K90" s="51"/>
      <c r="L90" s="18"/>
    </row>
    <row r="91" spans="1:12" ht="24.75">
      <c r="A91" s="1"/>
      <c r="B91" s="3"/>
      <c r="C91" s="9"/>
      <c r="D91" s="9"/>
      <c r="E91" s="9"/>
      <c r="F91" s="9"/>
      <c r="G91" s="10"/>
      <c r="H91" s="1"/>
      <c r="I91" s="3"/>
      <c r="J91" s="3"/>
      <c r="K91" s="12"/>
      <c r="L91" s="12"/>
    </row>
    <row r="92" spans="1:12" ht="24.75">
      <c r="A92" s="1"/>
      <c r="B92" s="3"/>
      <c r="C92" s="9"/>
      <c r="D92" s="9"/>
      <c r="E92" s="9"/>
      <c r="F92" s="9"/>
      <c r="G92" s="10"/>
      <c r="H92" s="1"/>
      <c r="I92" s="3"/>
      <c r="J92" s="3"/>
      <c r="K92" s="12"/>
      <c r="L92" s="12"/>
    </row>
    <row r="93" spans="1:12" ht="24.75">
      <c r="A93" s="1"/>
      <c r="B93" s="14"/>
      <c r="C93" s="15"/>
      <c r="D93" s="15"/>
      <c r="E93" s="14"/>
      <c r="F93" s="15"/>
      <c r="G93" s="39"/>
      <c r="H93" s="40"/>
      <c r="I93" s="41"/>
      <c r="J93" s="41"/>
      <c r="K93" s="41"/>
      <c r="L93" s="12"/>
    </row>
    <row r="94" spans="1:12" ht="24.75">
      <c r="A94" s="1"/>
      <c r="B94" s="42"/>
      <c r="C94" s="43" t="s">
        <v>120</v>
      </c>
      <c r="D94" s="11"/>
      <c r="E94" s="42"/>
      <c r="F94" s="14"/>
      <c r="G94" s="11"/>
      <c r="H94" s="40"/>
      <c r="I94" s="13"/>
      <c r="J94" s="14" t="s">
        <v>126</v>
      </c>
      <c r="K94" s="11"/>
      <c r="L94" s="11"/>
    </row>
    <row r="95" spans="1:12" ht="24.75">
      <c r="A95" s="1"/>
      <c r="B95" s="44"/>
      <c r="C95" s="43" t="s">
        <v>121</v>
      </c>
      <c r="D95" s="14"/>
      <c r="E95" s="42"/>
      <c r="F95" s="45"/>
      <c r="G95" s="47"/>
      <c r="H95" s="47"/>
      <c r="I95" s="78"/>
      <c r="J95" s="14" t="s">
        <v>127</v>
      </c>
      <c r="K95" s="14"/>
      <c r="L95" s="14"/>
    </row>
    <row r="96" spans="1:12" ht="24.75">
      <c r="A96" s="1"/>
      <c r="B96" s="14"/>
      <c r="C96" s="15"/>
      <c r="D96" s="14"/>
      <c r="E96" s="15"/>
      <c r="F96" s="45"/>
      <c r="G96" s="47"/>
      <c r="H96" s="47"/>
      <c r="I96" s="46"/>
      <c r="J96" s="11"/>
      <c r="K96" s="11"/>
      <c r="L96" s="2"/>
    </row>
    <row r="97" spans="1:12" ht="19.5">
      <c r="A97" s="56" t="s">
        <v>93</v>
      </c>
      <c r="B97" s="54"/>
      <c r="C97" s="52"/>
      <c r="D97" s="54"/>
      <c r="E97" s="52"/>
      <c r="F97" s="52"/>
      <c r="G97" s="52"/>
      <c r="H97" s="53"/>
      <c r="I97" s="58"/>
      <c r="J97" s="2"/>
      <c r="K97" s="2"/>
      <c r="L97" s="2"/>
    </row>
    <row r="98" spans="1:12" ht="19.5">
      <c r="A98" s="55" t="s">
        <v>99</v>
      </c>
      <c r="B98" s="54"/>
      <c r="C98" s="52"/>
      <c r="D98" s="54"/>
      <c r="E98" s="52"/>
      <c r="F98" s="52"/>
      <c r="G98" s="54"/>
      <c r="H98" s="53"/>
      <c r="I98" s="58"/>
      <c r="J98" s="2"/>
      <c r="K98" s="2"/>
      <c r="L98" s="2"/>
    </row>
    <row r="99" spans="1:12" ht="19.5">
      <c r="A99" s="55" t="s">
        <v>98</v>
      </c>
      <c r="B99" s="54"/>
      <c r="C99" s="54"/>
      <c r="D99" s="54"/>
      <c r="E99" s="54"/>
      <c r="F99" s="52"/>
      <c r="G99" s="54"/>
      <c r="H99" s="53"/>
      <c r="I99" s="58"/>
      <c r="J99" s="2"/>
      <c r="K99" s="2"/>
      <c r="L99" s="2"/>
    </row>
    <row r="100" spans="1:12" ht="19.5">
      <c r="A100" s="55" t="s">
        <v>85</v>
      </c>
      <c r="B100" s="54"/>
      <c r="C100" s="54"/>
      <c r="D100" s="54"/>
      <c r="E100" s="54"/>
      <c r="F100" s="53"/>
      <c r="G100" s="53"/>
      <c r="H100" s="53"/>
      <c r="I100" s="58"/>
      <c r="J100" s="2"/>
      <c r="K100" s="2"/>
      <c r="L100" s="2"/>
    </row>
    <row r="101" spans="1:12" ht="19.5">
      <c r="A101" s="55" t="s">
        <v>97</v>
      </c>
      <c r="B101" s="54"/>
      <c r="C101" s="54"/>
      <c r="D101" s="54"/>
      <c r="E101" s="54"/>
      <c r="F101" s="54"/>
      <c r="G101" s="53"/>
      <c r="H101" s="53"/>
      <c r="I101" s="58"/>
      <c r="J101" s="2"/>
      <c r="K101" s="2"/>
      <c r="L101" s="2"/>
    </row>
    <row r="102" spans="1:12" ht="19.5">
      <c r="A102" s="55" t="s">
        <v>96</v>
      </c>
      <c r="B102" s="54"/>
      <c r="C102" s="54"/>
      <c r="D102" s="54"/>
      <c r="E102" s="54"/>
      <c r="F102" s="54"/>
      <c r="G102" s="54"/>
      <c r="H102" s="53"/>
      <c r="I102" s="58"/>
      <c r="J102" s="2"/>
      <c r="K102" s="2"/>
      <c r="L102" s="2"/>
    </row>
    <row r="103" spans="1:12" ht="19.5">
      <c r="A103" s="55" t="s">
        <v>107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9.5">
      <c r="A104" s="55" t="s">
        <v>95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94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86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101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100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102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103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87</v>
      </c>
      <c r="B111" s="54"/>
      <c r="C111" s="54"/>
      <c r="D111" s="54"/>
      <c r="E111" s="54"/>
      <c r="F111" s="54"/>
      <c r="G111" s="54"/>
      <c r="H111" s="57"/>
      <c r="I111" s="59"/>
      <c r="J111" s="12"/>
      <c r="K111" s="12"/>
      <c r="L111" s="12"/>
    </row>
    <row r="112" spans="1:12" ht="19.5">
      <c r="A112" s="55"/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9.5">
      <c r="A113" s="56" t="s">
        <v>88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5" t="s">
        <v>89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 t="s">
        <v>125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 t="s">
        <v>124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123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2025-08-27T09:17:51Z</cp:lastPrinted>
  <dcterms:created xsi:type="dcterms:W3CDTF">2021-06-05T07:13:00Z</dcterms:created>
  <dcterms:modified xsi:type="dcterms:W3CDTF">2025-09-09T09:40:39Z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