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84" i="4" l="1"/>
  <c r="G89" i="4"/>
  <c r="G87" i="4" l="1"/>
  <c r="G88" i="4"/>
  <c r="G86" i="4" l="1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<sst xmlns="http://schemas.openxmlformats.org/spreadsheetml/2006/main" count="232" uniqueCount="131">
  <si>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</si>
  <si>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</si>
  <si>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</si>
  <si>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</si>
  <si>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</si>
  <si>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</si>
  <si>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</si>
  <si>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</si>
  <si>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</si>
  <si>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</si>
  <si>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</si>
  <si>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</si>
  <si>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</si>
  <si>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</si>
  <si>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</si>
  <si>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</si>
  <si>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</si>
  <si>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</si>
  <si>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</si>
  <si>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</si>
  <si>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</si>
  <si>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</si>
  <si>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</si>
  <si>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</si>
  <si>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</si>
  <si>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</si>
  <si>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</si>
  <si>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</si>
  <si>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</si>
  <si>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</si>
  <si>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</si>
  <si>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</si>
  <si>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</si>
  <si>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</si>
  <si>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</si>
  <si>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</si>
  <si>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</si>
  <si>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</si>
  <si>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</si>
  <si>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</si>
  <si>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</si>
  <si>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</si>
  <si>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</si>
  <si>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</si>
  <si>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</si>
  <si>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</si>
  <si>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</si>
  <si>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</si>
  <si>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</si>
  <si>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</si>
  <si>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</si>
  <si>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</si>
  <si>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</si>
  <si>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</si>
  <si>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</si>
  <si>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</si>
  <si>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</si>
  <si>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</si>
  <si>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</si>
  <si>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</si>
  <si>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</si>
  <si>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</si>
  <si>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</si>
  <si>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</si>
  <si>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</si>
  <si>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</si>
  <si>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</si>
  <si>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</si>
  <si>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</si>
  <si>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</si>
  <si>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</si>
  <si>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</si>
  <si>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</si>
  <si>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</si>
  <si>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</si>
  <si>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</si>
  <si>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</si>
  <si>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</si>
  <si>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</si>
  <si>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</si>
  <si>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</si>
  <si>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</si>
  <si>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</si>
  <si>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</si>
  <si>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</si>
  <si>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</si>
  <si>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</si>
  <si>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</si>
  <si>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</si>
  <si>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</si>
  <si>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</si>
  <si>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</si>
  <si>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</si>
  <si>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</si>
  <si>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</si>
  <si>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</si>
  <si>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</si>
  <si>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</si>
  <si>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</si>
  <si>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</si>
  <si>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</si>
  <si>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</si>
  <si>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</si>
  <si>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</si>
  <si>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</si>
  <si>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</si>
  <si>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</si>
  <si>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</si>
  <si>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</si>
  <si>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</si>
  <si>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</si>
  <si>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</si>
  <si>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</si>
  <si>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</si>
  <si>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</si>
  <si>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</si>
  <si>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</si>
  <si>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</si>
  <si>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</si>
  <si>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০৭-১০-২০২৫ তারিখে মূল্য হ্রাস পেয়েছে।</t>
  </si>
  <si>
    <t>সয়াবিন তেল (১ লিটার)</t>
  </si>
  <si>
    <t>সয়াবিন তেল (২ লিটার)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</si>
  <si>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</si>
  <si>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</si>
  <si>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মঙ্গলবার ১৪ অক্টোবর ২০২৫ খ্রিঃ, ২৯ আশ্বিন ১৪৩২ বাংলা, ১৯ রবিউল সানি ১৪৪৭ হিজরি 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</si>
  <si>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</si>
  <si>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স্মারক নং-২৬.০৫.০০০০.০১৭.৩১.০১.২৫-৭২৮</t>
  </si>
  <si>
    <t xml:space="preserve">   সিরিয়াল নংঃ     ২৫৪</t>
  </si>
  <si>
    <t>১২-১০-২০২৫ তারিখে মূল্য হ্রাস পেয়েছে।</t>
  </si>
  <si>
    <t>(২ )    শুকনা মরিচ (আম), চিনি    এর মূল্য হ্রাস পেয়েছে।</t>
  </si>
  <si>
    <t>(১)      সয়াবিন তেল (লুজ, ১লি:,২লি:,৫লি: বোতল), পাম অয়েল লুজ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</si>
</sst>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5"/>
  <sheetViews>
    <sheetView tabSelected="1" topLeftCell="A22" zoomScale="98" zoomScaleNormal="98" workbookViewId="0">
      <selection activeCell="D44" sqref="D4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127</v>
      </c>
      <c r="L4" s="83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45944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45944</v>
      </c>
      <c r="D8" s="83"/>
      <c r="E8" s="82">
        <v>45937</v>
      </c>
      <c r="F8" s="83"/>
      <c r="G8" s="82">
        <v>45914</v>
      </c>
      <c r="H8" s="83"/>
      <c r="I8" s="26" t="s">
        <v>12</v>
      </c>
      <c r="J8" s="82">
        <v>45579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88</v>
      </c>
      <c r="G10" s="29">
        <v>75</v>
      </c>
      <c r="H10" s="29">
        <v>86</v>
      </c>
      <c r="I10" s="30">
        <f>((C10+D10)/2-(G10+H10)/2)/((G10+H10)/2)*100</f>
        <v>-2.4844720496894408</v>
      </c>
      <c r="J10" s="29">
        <v>72</v>
      </c>
      <c r="K10" s="29">
        <v>80</v>
      </c>
      <c r="L10" s="31">
        <f>((C10+D10)/2-(J10+K10)/2)/((J10+K10)/2)*100</f>
        <v>3.2894736842105261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58</v>
      </c>
      <c r="K11" s="29">
        <v>61</v>
      </c>
      <c r="L11" s="31">
        <f>((C11+D11)/2-(J11+K11)/2)/((J11+K11)/2)*100</f>
        <v>9.2436974789915975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54</v>
      </c>
      <c r="L12" s="31">
        <f>((C12+D12)/2-(J12+K12)/2)/((J12+K12)/2)*100</f>
        <v>8.4905660377358494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43</v>
      </c>
      <c r="K14" s="29">
        <v>45</v>
      </c>
      <c r="L14" s="31">
        <f>((C14+D14)/2-(J14+K14)/2)/((J14+K14)/2)*100</f>
        <v>10.227272727272728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60</v>
      </c>
      <c r="K15" s="29">
        <v>65</v>
      </c>
      <c r="L15" s="31">
        <f>((C15+D15)/2-(J15+K15)/2)/((J15+K15)/2)*100</f>
        <v>-4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56</v>
      </c>
      <c r="K16" s="29">
        <v>60</v>
      </c>
      <c r="L16" s="31">
        <f>((C16+D16)/2-(J16+K16)/2)/((J16+K16)/2)*100</f>
        <v>3.4482758620689653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70</v>
      </c>
      <c r="K17" s="29">
        <v>72</v>
      </c>
      <c r="L17" s="31">
        <f>((C17+D17)/2-(J17+K17)/2)/((J17+K17)/2)*100</f>
        <v>-1.4084507042253522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2.9239766081871341</v>
      </c>
      <c r="J19" s="29">
        <v>153</v>
      </c>
      <c r="K19" s="29">
        <v>154</v>
      </c>
      <c r="L19" s="31">
        <f t="shared" ref="L19:L25" si="1">((C19+D19)/2-(J19+K19)/2)/((J19+K19)/2)*100</f>
        <v>14.65798045602606</v>
      </c>
    </row>
    <row r="20" spans="1:12" ht="21.75">
      <c r="A20" s="69" t="s">
        <v>29</v>
      </c>
      <c r="B20" s="6" t="s">
        <v>30</v>
      </c>
      <c r="C20" s="29">
        <v>890</v>
      </c>
      <c r="D20" s="29">
        <v>935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0.82872928176795579</v>
      </c>
      <c r="J20" s="29">
        <v>800</v>
      </c>
      <c r="K20" s="29">
        <v>810</v>
      </c>
      <c r="L20" s="31">
        <f t="shared" si="1"/>
        <v>13.354037267080745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388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1.3280212483399734</v>
      </c>
      <c r="J21" s="29">
        <v>0</v>
      </c>
      <c r="K21" s="29">
        <v>0</v>
      </c>
      <c r="L21" s="31" t="e">
        <f t="shared" si="1"/>
        <v>#DIV/0!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167</v>
      </c>
      <c r="K22" s="29">
        <v>170</v>
      </c>
      <c r="L22" s="31">
        <f t="shared" si="1"/>
        <v>13.649851632047477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162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1.2861736334405145</v>
      </c>
      <c r="J23" s="29">
        <v>149</v>
      </c>
      <c r="K23" s="29">
        <v>150</v>
      </c>
      <c r="L23" s="31">
        <f t="shared" si="1"/>
        <v>5.3511705685618729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163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-0.625</v>
      </c>
      <c r="J24" s="29">
        <v>148</v>
      </c>
      <c r="K24" s="29">
        <v>150</v>
      </c>
      <c r="L24" s="31">
        <f t="shared" si="1"/>
        <v>6.7114093959731544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110</v>
      </c>
      <c r="K27" s="29">
        <v>110</v>
      </c>
      <c r="L27" s="31">
        <f t="shared" ref="L27:L33" si="3">((C27+D27)/2-(J27+K27)/2)/((J27+K27)/2)*100</f>
        <v>-6.8181818181818175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110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130</v>
      </c>
      <c r="H29" s="29">
        <v>160</v>
      </c>
      <c r="I29" s="30">
        <f t="shared" si="2"/>
        <v>6.8965517241379306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165</v>
      </c>
      <c r="K30" s="29">
        <v>170</v>
      </c>
      <c r="L30" s="31">
        <f t="shared" si="3"/>
        <v>-10.44776119402985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80</v>
      </c>
      <c r="K31" s="29">
        <v>85</v>
      </c>
      <c r="L31" s="31">
        <f t="shared" si="3"/>
        <v>-18.181818181818183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110</v>
      </c>
      <c r="K32" s="29">
        <v>120</v>
      </c>
      <c r="L32" s="31">
        <f t="shared" si="3"/>
        <v>-6.5217391304347823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25</v>
      </c>
      <c r="H33" s="29">
        <v>30</v>
      </c>
      <c r="I33" s="30">
        <f t="shared" si="2"/>
        <v>-18.181818181818183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-6.25</v>
      </c>
      <c r="J35" s="29">
        <v>115</v>
      </c>
      <c r="K35" s="29">
        <v>130</v>
      </c>
      <c r="L35" s="31">
        <f t="shared" ref="L35:L50" si="5">((C35+D35)/2-(J35+K35)/2)/((J35+K35)/2)*100</f>
        <v>-38.775510204081634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110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240</v>
      </c>
      <c r="K37" s="29">
        <v>250</v>
      </c>
      <c r="L37" s="31">
        <f t="shared" si="5"/>
        <v>-51.020408163265309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210</v>
      </c>
      <c r="K38" s="29">
        <v>220</v>
      </c>
      <c r="L38" s="31">
        <f t="shared" si="5"/>
        <v>-23.255813953488371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280</v>
      </c>
      <c r="H39" s="29">
        <v>450</v>
      </c>
      <c r="I39" s="30">
        <f t="shared" si="4"/>
        <v>-24.657534246575342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450</v>
      </c>
      <c r="G40" s="29">
        <v>300</v>
      </c>
      <c r="H40" s="29">
        <v>400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400</v>
      </c>
      <c r="K42" s="29">
        <v>420</v>
      </c>
      <c r="L42" s="31">
        <f t="shared" si="5"/>
        <v>-12.195121951219512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300</v>
      </c>
      <c r="K43" s="29">
        <v>320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140</v>
      </c>
      <c r="H44" s="29">
        <v>260</v>
      </c>
      <c r="I44" s="30">
        <f t="shared" si="4"/>
        <v>-2.5</v>
      </c>
      <c r="J44" s="29">
        <v>260</v>
      </c>
      <c r="K44" s="29">
        <v>270</v>
      </c>
      <c r="L44" s="31">
        <f t="shared" si="5"/>
        <v>-26.415094339622641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500</v>
      </c>
      <c r="L46" s="31">
        <f t="shared" si="5"/>
        <v>10.204081632653061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1700</v>
      </c>
      <c r="I47" s="30">
        <f t="shared" si="4"/>
        <v>-3.278688524590164</v>
      </c>
      <c r="J47" s="29">
        <v>1450</v>
      </c>
      <c r="K47" s="29">
        <v>1500</v>
      </c>
      <c r="L47" s="31">
        <f t="shared" si="5"/>
        <v>0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3650</v>
      </c>
      <c r="L48" s="31">
        <f t="shared" si="5"/>
        <v>50.364963503649641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230</v>
      </c>
      <c r="K49" s="29">
        <v>250</v>
      </c>
      <c r="L49" s="31">
        <f t="shared" si="5"/>
        <v>0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200</v>
      </c>
      <c r="K50" s="29">
        <v>200</v>
      </c>
      <c r="L50" s="31">
        <f t="shared" si="5"/>
        <v>6.25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320</v>
      </c>
      <c r="K52" s="29">
        <v>450</v>
      </c>
      <c r="L52" s="31">
        <f t="shared" ref="L52:L57" si="7">((C52+D52)/2-(J52+K52)/2)/((J52+K52)/2)*100</f>
        <v>-2.5974025974025974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1200</v>
      </c>
      <c r="K53" s="29">
        <v>1800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750</v>
      </c>
      <c r="K54" s="29">
        <v>800</v>
      </c>
      <c r="L54" s="31">
        <f t="shared" si="7"/>
        <v>-1.2903225806451613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1100</v>
      </c>
      <c r="L55" s="31">
        <f t="shared" si="7"/>
        <v>7.3170731707317067</v>
      </c>
    </row>
    <row r="56" spans="1:12" ht="21.75">
      <c r="A56" s="69" t="s">
        <v>62</v>
      </c>
      <c r="B56" s="6" t="s">
        <v>18</v>
      </c>
      <c r="C56" s="29">
        <v>170</v>
      </c>
      <c r="D56" s="29">
        <v>190</v>
      </c>
      <c r="E56" s="29">
        <v>160</v>
      </c>
      <c r="F56" s="29">
        <v>185</v>
      </c>
      <c r="G56" s="29">
        <v>170</v>
      </c>
      <c r="H56" s="29">
        <v>180</v>
      </c>
      <c r="I56" s="30">
        <f t="shared" si="6"/>
        <v>2.8571428571428572</v>
      </c>
      <c r="J56" s="29">
        <v>190</v>
      </c>
      <c r="K56" s="29">
        <v>200</v>
      </c>
      <c r="L56" s="31">
        <f t="shared" si="7"/>
        <v>-7.6923076923076925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600</v>
      </c>
      <c r="L57" s="31">
        <f t="shared" si="7"/>
        <v>9.0909090909090917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810</v>
      </c>
      <c r="K59" s="29">
        <v>830</v>
      </c>
      <c r="L59" s="31">
        <f>((C59+D59)/2-(J59+K59)/2)/((J59+K59)/2)*100</f>
        <v>-3.6585365853658534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830</v>
      </c>
      <c r="K60" s="29">
        <v>860</v>
      </c>
      <c r="L60" s="31">
        <f>((C60+D60)/2-(J60+K60)/2)/((J60+K60)/2)*100</f>
        <v>4.7337278106508878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820</v>
      </c>
      <c r="K61" s="29">
        <v>860</v>
      </c>
      <c r="L61" s="31">
        <f>((C61+D61)/2-(J61+K61)/2)/((J61+K61)/2)*100</f>
        <v>2.3809523809523809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820</v>
      </c>
      <c r="K62" s="29">
        <v>860</v>
      </c>
      <c r="L62" s="31">
        <f>((C62+D62)/2-(J62+K62)/2)/((J62+K62)/2)*100</f>
        <v>2.9761904761904758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45944</v>
      </c>
      <c r="D67" s="83"/>
      <c r="E67" s="82">
        <v>45937</v>
      </c>
      <c r="F67" s="83"/>
      <c r="G67" s="82">
        <v>45914</v>
      </c>
      <c r="H67" s="83"/>
      <c r="I67" s="26" t="s">
        <v>12</v>
      </c>
      <c r="J67" s="82">
        <v>45579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-2.2727272727272729</v>
      </c>
      <c r="J69" s="29">
        <v>125</v>
      </c>
      <c r="K69" s="29">
        <v>130</v>
      </c>
      <c r="L69" s="31">
        <f t="shared" ref="L69:L75" si="8">((C69+D69)/2-(J69+K69)/2)/((J69+K69)/2)*100</f>
        <v>-15.686274509803921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160</v>
      </c>
      <c r="K70" s="29">
        <v>1100</v>
      </c>
      <c r="L70" s="31">
        <f t="shared" si="8"/>
        <v>-38.888888888888893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35</v>
      </c>
      <c r="K71" s="29">
        <v>40</v>
      </c>
      <c r="L71" s="31">
        <f t="shared" si="8"/>
        <v>6.666666666666667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55</v>
      </c>
      <c r="K72" s="37">
        <v>56</v>
      </c>
      <c r="L72" s="31">
        <f t="shared" si="8"/>
        <v>-14.414414414414415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35</v>
      </c>
      <c r="K73" s="37">
        <v>40</v>
      </c>
      <c r="L73" s="31">
        <f t="shared" si="8"/>
        <v>-6.666666666666667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>
      <c r="A76" s="85" t="s">
        <v>125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122</v>
      </c>
      <c r="I83" s="6"/>
      <c r="J83" s="6"/>
      <c r="K83" s="50"/>
      <c r="L83" s="17"/>
    </row>
    <row r="84" spans="1:12" ht="21.75">
      <c r="A84" s="5" t="s">
        <v>29</v>
      </c>
      <c r="B84" s="6" t="s">
        <v>30</v>
      </c>
      <c r="C84" s="29">
        <v>890</v>
      </c>
      <c r="D84" s="29">
        <v>935</v>
      </c>
      <c r="E84" s="29">
        <v>890</v>
      </c>
      <c r="F84" s="29">
        <v>920</v>
      </c>
      <c r="G84" s="7">
        <f t="shared" si="10"/>
        <v>0.82872928176795579</v>
      </c>
      <c r="H84" s="5" t="s">
        <v>122</v>
      </c>
      <c r="I84" s="6"/>
      <c r="J84" s="6"/>
      <c r="K84" s="50"/>
      <c r="L84" s="17"/>
    </row>
    <row r="85" spans="1:12" ht="21.75">
      <c r="A85" s="69" t="s">
        <v>120</v>
      </c>
      <c r="B85" s="6" t="s">
        <v>28</v>
      </c>
      <c r="C85" s="29">
        <v>188</v>
      </c>
      <c r="D85" s="29">
        <v>195</v>
      </c>
      <c r="E85" s="29">
        <v>188</v>
      </c>
      <c r="F85" s="29">
        <v>190</v>
      </c>
      <c r="G85" s="7">
        <f t="shared" si="10"/>
        <v>1.3227513227513228</v>
      </c>
      <c r="H85" s="5" t="s">
        <v>122</v>
      </c>
      <c r="I85" s="6"/>
      <c r="J85" s="6"/>
      <c r="K85" s="50"/>
      <c r="L85" s="17"/>
    </row>
    <row r="86" spans="1:12" ht="21.75">
      <c r="A86" s="69" t="s">
        <v>121</v>
      </c>
      <c r="B86" s="6" t="s">
        <v>28</v>
      </c>
      <c r="C86" s="29">
        <v>375</v>
      </c>
      <c r="D86" s="29">
        <v>388</v>
      </c>
      <c r="E86" s="29">
        <v>375</v>
      </c>
      <c r="F86" s="29">
        <v>380</v>
      </c>
      <c r="G86" s="7">
        <f t="shared" si="10"/>
        <v>1.0596026490066226</v>
      </c>
      <c r="H86" s="5" t="s">
        <v>123</v>
      </c>
      <c r="I86" s="6"/>
      <c r="J86" s="6"/>
      <c r="K86" s="11"/>
      <c r="L86" s="11"/>
    </row>
    <row r="87" spans="1:12" ht="21.75">
      <c r="A87" s="69" t="s">
        <v>33</v>
      </c>
      <c r="B87" s="6" t="s">
        <v>28</v>
      </c>
      <c r="C87" s="29">
        <v>153</v>
      </c>
      <c r="D87" s="29">
        <v>162</v>
      </c>
      <c r="E87" s="29">
        <v>153</v>
      </c>
      <c r="F87" s="29">
        <v>160</v>
      </c>
      <c r="G87" s="7">
        <f t="shared" ref="G87:G89" si="11">((C87+D87)/2-(E87+F87)/2)/((E87+F87)/2)*100</f>
        <v>0.63897763578274758</v>
      </c>
      <c r="H87" s="5" t="s">
        <v>122</v>
      </c>
      <c r="I87" s="6"/>
      <c r="J87" s="6"/>
      <c r="K87" s="11"/>
      <c r="L87" s="11"/>
    </row>
    <row r="88" spans="1:12" ht="21.75">
      <c r="A88" s="69" t="s">
        <v>48</v>
      </c>
      <c r="B88" s="6" t="s">
        <v>18</v>
      </c>
      <c r="C88" s="29">
        <v>300</v>
      </c>
      <c r="D88" s="29">
        <v>400</v>
      </c>
      <c r="E88" s="29">
        <v>320</v>
      </c>
      <c r="F88" s="29">
        <v>420</v>
      </c>
      <c r="G88" s="7">
        <f t="shared" si="11"/>
        <v>-5.4054054054054053</v>
      </c>
      <c r="H88" s="5" t="s">
        <v>119</v>
      </c>
      <c r="I88" s="6"/>
      <c r="J88" s="6"/>
      <c r="K88" s="11"/>
      <c r="L88" s="11"/>
    </row>
    <row r="89" spans="1:12" ht="21.75">
      <c r="A89" s="69" t="s">
        <v>71</v>
      </c>
      <c r="B89" s="6" t="s">
        <v>18</v>
      </c>
      <c r="C89" s="29">
        <v>105</v>
      </c>
      <c r="D89" s="29">
        <v>110</v>
      </c>
      <c r="E89" s="29">
        <v>105</v>
      </c>
      <c r="F89" s="29">
        <v>115</v>
      </c>
      <c r="G89" s="7">
        <f t="shared" si="11"/>
        <v>-2.2727272727272729</v>
      </c>
      <c r="H89" s="5" t="s">
        <v>128</v>
      </c>
      <c r="I89" s="6"/>
      <c r="J89" s="6"/>
      <c r="K89" s="11"/>
      <c r="L89" s="11"/>
    </row>
    <row r="90" spans="1:12" ht="21.75">
      <c r="A90" s="72"/>
      <c r="B90" s="3"/>
      <c r="C90" s="78"/>
      <c r="D90" s="78"/>
      <c r="E90" s="78"/>
      <c r="F90" s="78"/>
      <c r="G90" s="9"/>
      <c r="H90" s="1"/>
      <c r="I90" s="3"/>
      <c r="J90" s="3"/>
      <c r="K90" s="11"/>
      <c r="L90" s="11"/>
    </row>
    <row r="91" spans="1:12" ht="24.75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1"/>
      <c r="B92" s="41"/>
      <c r="C92" s="42" t="s">
        <v>115</v>
      </c>
      <c r="D92" s="10"/>
      <c r="E92" s="41"/>
      <c r="F92" s="13"/>
      <c r="G92" s="10"/>
      <c r="H92" s="39"/>
      <c r="I92" s="12"/>
      <c r="J92" s="13" t="s">
        <v>117</v>
      </c>
      <c r="K92" s="10"/>
      <c r="L92" s="10"/>
    </row>
    <row r="93" spans="1:12" ht="24.75">
      <c r="A93" s="1"/>
      <c r="B93" s="43"/>
      <c r="C93" s="42" t="s">
        <v>116</v>
      </c>
      <c r="D93" s="13"/>
      <c r="E93" s="41"/>
      <c r="F93" s="44"/>
      <c r="G93" s="46"/>
      <c r="H93" s="46"/>
      <c r="I93" s="76"/>
      <c r="J93" s="13" t="s">
        <v>118</v>
      </c>
      <c r="K93" s="13"/>
      <c r="L93" s="13"/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93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99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98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85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107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114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113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112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2025-10-14T11:09:13Z</cp:lastPrinted>
  <dcterms:created xsi:type="dcterms:W3CDTF">2021-06-05T07:13:00Z</dcterms:created>
  <dcterms:modified xsi:type="dcterms:W3CDTF">2025-10-15T04:56:55Z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