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8_{40E02D7B-BA76-1D42-86FB-FAE0CA4B92C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5" i="4"/>
  <c r="G99" i="4"/>
  <c r="G98" i="4"/>
  <c r="G86" i="4"/>
  <c r="G91" i="4"/>
  <c r="G93" i="4"/>
  <c r="G92" i="4"/>
  <c r="G95" i="4"/>
  <c r="G94" i="4"/>
  <c r="G88" i="4"/>
  <c r="G87" i="4"/>
  <c r="G97" i="4"/>
  <c r="G90" i="4"/>
  <c r="G96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<sst xmlns="http://schemas.openxmlformats.org/spreadsheetml/2006/main" count="259" uniqueCount="136">
  <si>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</si>
  <si>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</si>
  <si>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</si>
  <si>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</si>
  <si>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</si>
  <si>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</si>
  <si>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</si>
  <si>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</si>
  <si>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</si>
  <si>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</si>
  <si>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</si>
  <si>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</si>
  <si>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</si>
  <si>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</si>
  <si>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</si>
  <si>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</si>
  <si>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</si>
  <si>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</si>
  <si>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</si>
  <si>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</si>
  <si>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</si>
  <si>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</si>
  <si>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</si>
  <si>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</si>
  <si>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</si>
  <si>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</si>
  <si>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</si>
  <si>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</si>
  <si>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</si>
  <si>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</si>
  <si>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</si>
  <si>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</si>
  <si>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</si>
  <si>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</si>
  <si>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</si>
  <si>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</si>
  <si>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</si>
  <si>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</si>
  <si>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</si>
  <si>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</si>
  <si>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</si>
  <si>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</si>
  <si>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</si>
  <si>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</si>
  <si>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</si>
  <si>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</si>
  <si>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</si>
  <si>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</si>
  <si>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</si>
  <si>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</si>
  <si>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</si>
  <si>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</si>
  <si>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</si>
  <si>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</si>
  <si>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</si>
  <si>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</si>
  <si>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</si>
  <si>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</si>
  <si>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</si>
  <si>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</si>
  <si>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</si>
  <si>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</si>
  <si>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</si>
  <si>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</si>
  <si>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</si>
  <si>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</si>
  <si>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</si>
  <si>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</si>
  <si>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</si>
  <si>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</si>
  <si>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</si>
  <si>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</si>
  <si>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</si>
  <si>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</si>
  <si>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</si>
  <si>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</si>
  <si>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</si>
  <si>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</si>
  <si>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</si>
  <si>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</si>
  <si>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</si>
  <si>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</si>
  <si>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</si>
  <si>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</si>
  <si>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</si>
  <si>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</si>
  <si>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</si>
  <si>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</si>
  <si>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</si>
  <si>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</si>
  <si>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</si>
  <si>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</si>
  <si>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</si>
  <si>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</si>
  <si>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</si>
  <si>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</si>
  <si>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</si>
  <si>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</si>
  <si>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</si>
  <si>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</si>
  <si>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</si>
  <si>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</si>
  <si>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</si>
  <si>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</si>
  <si>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</si>
  <si>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</si>
  <si>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</si>
  <si>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</si>
  <si>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</si>
  <si>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</si>
  <si>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</si>
  <si>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</si>
  <si>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</si>
  <si>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</si>
  <si>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</si>
  <si>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</si>
  <si>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</si>
  <si>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০৩-০৮-২০২৫ তারিখে মূল্য হ্রাস পেয়েছে।</t>
  </si>
  <si>
    <t>০৩-০৮-২০২৫ তারিখে মূল্য বৃদ্ধি পেয়েছে।</t>
  </si>
  <si>
    <t>০৪-০৮-২০২৫ তারিখে মূল্য বৃদ্ধি পেয়েছে।</t>
  </si>
  <si>
    <t>০৪-০৮-২০২৫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</si>
  <si>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</si>
  <si>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</si>
  <si>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০৬-০৮-২০২৫ তারিখে মূল্য বৃদ্ধি পেয়েছে।</t>
  </si>
  <si>
    <t>০৭-০৮-২০২৫ তারিখে মূল্য বৃদ্ধি পেয়েছে।</t>
  </si>
  <si>
    <t>(১)   ময়দা (খোলা), সয়াবিন তেল (লুজ), পাম অয়েল লুজ, সুপার পাম অয়েল লুজ, মসুর ডাল (মাঝারী, ছোট), মুরগী ব্রয়লার,</t>
  </si>
  <si>
    <t>স্মারক নং-২৬.০৫.০০০০.০১৭.৩১.০১.২৫-৫৫৮</t>
  </si>
  <si>
    <t xml:space="preserve">শনিবার ০৯ আগষ্ট ২০২৫ খ্রিঃ, ২৫ শ্রাবণ ১৪৩২ বাংলা, ১৬ সফর ১৪৪৭ হিজরি </t>
  </si>
  <si>
    <t xml:space="preserve">   সিরিয়াল নংঃ     ১৯৬</t>
  </si>
  <si>
    <t>০৮-০৮-২০২৫ তারিখে মূল্য বৃদ্ধি পেয়েছে।</t>
  </si>
  <si>
    <t>০৯-০৮-২০২৫ তারিখে মূল্য বৃদ্ধি পেয়েছে।</t>
  </si>
  <si>
    <t xml:space="preserve">       পেঁয়াজ (দেশী), আলু,  রশুন (আম), আদা (আম), এলাচ, ডিম  এর মূল্য বৃদ্ধি পেয়েছে।</t>
  </si>
  <si>
    <t>(২ )   রশুন (দেশী), এম এস রড (৬০,৪০ গ্রেড)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</si>
</sst>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7" fontId="23" fillId="0" borderId="1" xfId="1" applyNumberFormat="1" applyFont="1" applyFill="1" applyBorder="1" applyAlignment="1">
      <alignment horizontal="center"/>
    </xf>
    <xf numFmtId="167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7" fontId="23" fillId="2" borderId="1" xfId="3" applyNumberFormat="1" applyFont="1" applyFill="1" applyBorder="1" applyAlignment="1">
      <alignment horizontal="center"/>
    </xf>
    <xf numFmtId="167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23" fillId="0" borderId="9" xfId="1" applyNumberFormat="1" applyFont="1" applyFill="1" applyBorder="1" applyAlignment="1">
      <alignment horizontal="center"/>
    </xf>
    <xf numFmtId="168" fontId="3" fillId="0" borderId="9" xfId="3" applyNumberFormat="1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5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8"/>
  <sheetViews>
    <sheetView tabSelected="1" topLeftCell="I1" zoomScale="98" zoomScaleNormal="98" workbookViewId="0">
      <selection activeCell="B80" sqref="B80"/>
    </sheetView>
  </sheetViews>
  <sheetFormatPr defaultRowHeight="16.5" x14ac:dyDescent="0.25"/>
  <cols>
    <col min="1" max="1" width="17.3515625" customWidth="1"/>
    <col min="2" max="2" width="8.875" customWidth="1"/>
    <col min="3" max="4" width="10.625" customWidth="1"/>
    <col min="5" max="5" width="10.89453125" customWidth="1"/>
    <col min="6" max="7" width="9.55078125" customWidth="1"/>
    <col min="8" max="8" width="9.953125" customWidth="1"/>
    <col min="9" max="9" width="9.28125" customWidth="1"/>
    <col min="10" max="10" width="8.875" customWidth="1"/>
    <col min="11" max="11" width="9.4140625" customWidth="1"/>
    <col min="12" max="12" width="10.3554687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128</v>
      </c>
      <c r="L4" s="94"/>
    </row>
    <row r="5" spans="1:12" ht="19.5" customHeight="1" x14ac:dyDescent="0.25">
      <c r="A5" s="18"/>
      <c r="B5" s="8"/>
      <c r="C5" s="8"/>
      <c r="D5" s="18"/>
      <c r="E5" s="8"/>
      <c r="F5" s="8" t="s">
        <v>127</v>
      </c>
      <c r="G5" s="8"/>
      <c r="H5" s="8"/>
      <c r="I5" s="8"/>
      <c r="J5" s="8"/>
      <c r="K5" s="8"/>
      <c r="L5" s="50"/>
    </row>
    <row r="6" spans="1:12" ht="21" x14ac:dyDescent="0.25">
      <c r="A6" s="21" t="s">
        <v>126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45878</v>
      </c>
    </row>
    <row r="7" spans="1:12" ht="21" x14ac:dyDescent="0.2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" x14ac:dyDescent="0.25">
      <c r="A8" s="26"/>
      <c r="B8" s="27"/>
      <c r="C8" s="95">
        <v>45878</v>
      </c>
      <c r="D8" s="94"/>
      <c r="E8" s="95">
        <v>45871</v>
      </c>
      <c r="F8" s="94"/>
      <c r="G8" s="95">
        <v>45847</v>
      </c>
      <c r="H8" s="94"/>
      <c r="I8" s="27" t="s">
        <v>12</v>
      </c>
      <c r="J8" s="91">
        <v>45513</v>
      </c>
      <c r="K8" s="92"/>
      <c r="L8" s="27" t="s">
        <v>12</v>
      </c>
    </row>
    <row r="9" spans="1:12" ht="21" x14ac:dyDescent="0.2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" x14ac:dyDescent="0.3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" x14ac:dyDescent="0.3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54</v>
      </c>
      <c r="K11" s="62">
        <v>58</v>
      </c>
      <c r="L11" s="32">
        <f>((C11+D11)/2-(J11+K11)/2)/((J11+K11)/2)*100</f>
        <v>20.535714285714285</v>
      </c>
    </row>
    <row r="12" spans="1:12" ht="21" x14ac:dyDescent="0.3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 x14ac:dyDescent="0.3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" x14ac:dyDescent="0.3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" x14ac:dyDescent="0.3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" x14ac:dyDescent="0.3">
      <c r="A16" s="76" t="s">
        <v>24</v>
      </c>
      <c r="B16" s="6" t="s">
        <v>18</v>
      </c>
      <c r="C16" s="30">
        <v>55</v>
      </c>
      <c r="D16" s="30">
        <v>65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" x14ac:dyDescent="0.3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 x14ac:dyDescent="0.3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" x14ac:dyDescent="0.3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1.2121212121212122</v>
      </c>
      <c r="J19" s="62">
        <v>145</v>
      </c>
      <c r="K19" s="62">
        <v>155</v>
      </c>
      <c r="L19" s="32">
        <f t="shared" ref="L19:L25" si="1">((C19+D19)/2-(J19+K19)/2)/((J19+K19)/2)*100</f>
        <v>11.333333333333332</v>
      </c>
    </row>
    <row r="20" spans="1:12" ht="21" x14ac:dyDescent="0.3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800</v>
      </c>
      <c r="L20" s="32">
        <f t="shared" si="1"/>
        <v>14.556962025316455</v>
      </c>
    </row>
    <row r="21" spans="1:12" ht="21" x14ac:dyDescent="0.3">
      <c r="A21" s="76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62">
        <v>322</v>
      </c>
      <c r="K21" s="62">
        <v>325</v>
      </c>
      <c r="L21" s="32">
        <f t="shared" si="1"/>
        <v>16.383307573415763</v>
      </c>
    </row>
    <row r="22" spans="1:12" ht="21" x14ac:dyDescent="0.3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" x14ac:dyDescent="0.3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155</v>
      </c>
      <c r="G23" s="30">
        <v>147</v>
      </c>
      <c r="H23" s="30">
        <v>155</v>
      </c>
      <c r="I23" s="31">
        <f t="shared" si="0"/>
        <v>2.6490066225165565</v>
      </c>
      <c r="J23" s="62">
        <v>125</v>
      </c>
      <c r="K23" s="62">
        <v>135</v>
      </c>
      <c r="L23" s="32">
        <f t="shared" si="1"/>
        <v>19.230769230769234</v>
      </c>
    </row>
    <row r="24" spans="1:12" ht="21" x14ac:dyDescent="0.3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162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" x14ac:dyDescent="0.3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" x14ac:dyDescent="0.3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" x14ac:dyDescent="0.3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6" t="s">
        <v>112</v>
      </c>
      <c r="B28" s="6" t="s">
        <v>18</v>
      </c>
      <c r="C28" s="30">
        <v>110</v>
      </c>
      <c r="D28" s="30">
        <v>135</v>
      </c>
      <c r="E28" s="30">
        <v>105</v>
      </c>
      <c r="F28" s="30">
        <v>125</v>
      </c>
      <c r="G28" s="30">
        <v>105</v>
      </c>
      <c r="H28" s="30">
        <v>120</v>
      </c>
      <c r="I28" s="31">
        <f t="shared" si="2"/>
        <v>8.8888888888888893</v>
      </c>
      <c r="J28" s="62">
        <v>120</v>
      </c>
      <c r="K28" s="62">
        <v>125</v>
      </c>
      <c r="L28" s="32">
        <f t="shared" si="3"/>
        <v>0</v>
      </c>
    </row>
    <row r="29" spans="1:12" ht="21" x14ac:dyDescent="0.3">
      <c r="A29" s="76" t="s">
        <v>38</v>
      </c>
      <c r="B29" s="6" t="s">
        <v>18</v>
      </c>
      <c r="C29" s="30">
        <v>150</v>
      </c>
      <c r="D29" s="30">
        <v>155</v>
      </c>
      <c r="E29" s="30">
        <v>130</v>
      </c>
      <c r="F29" s="30">
        <v>145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" x14ac:dyDescent="0.3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" x14ac:dyDescent="0.3">
      <c r="A31" s="76" t="s">
        <v>40</v>
      </c>
      <c r="B31" s="6" t="s">
        <v>18</v>
      </c>
      <c r="C31" s="30">
        <v>60</v>
      </c>
      <c r="D31" s="30">
        <v>80</v>
      </c>
      <c r="E31" s="30">
        <v>65</v>
      </c>
      <c r="F31" s="30">
        <v>80</v>
      </c>
      <c r="G31" s="30">
        <v>50</v>
      </c>
      <c r="H31" s="30">
        <v>80</v>
      </c>
      <c r="I31" s="31">
        <f t="shared" si="2"/>
        <v>7.6923076923076925</v>
      </c>
      <c r="J31" s="62">
        <v>80</v>
      </c>
      <c r="K31" s="62">
        <v>90</v>
      </c>
      <c r="L31" s="32">
        <f t="shared" si="3"/>
        <v>-17.647058823529413</v>
      </c>
    </row>
    <row r="32" spans="1:12" ht="21" x14ac:dyDescent="0.3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" x14ac:dyDescent="0.3">
      <c r="A33" s="76" t="s">
        <v>42</v>
      </c>
      <c r="B33" s="6" t="s">
        <v>18</v>
      </c>
      <c r="C33" s="30">
        <v>22</v>
      </c>
      <c r="D33" s="30">
        <v>30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-5.4545454545454541</v>
      </c>
      <c r="J33" s="62">
        <v>55</v>
      </c>
      <c r="K33" s="62">
        <v>60</v>
      </c>
      <c r="L33" s="32">
        <f t="shared" si="3"/>
        <v>-54.782608695652172</v>
      </c>
    </row>
    <row r="34" spans="1:12" ht="21" x14ac:dyDescent="0.3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" x14ac:dyDescent="0.3">
      <c r="A35" s="76" t="s">
        <v>92</v>
      </c>
      <c r="B35" s="6" t="s">
        <v>18</v>
      </c>
      <c r="C35" s="30">
        <v>75</v>
      </c>
      <c r="D35" s="30">
        <v>85</v>
      </c>
      <c r="E35" s="30">
        <v>60</v>
      </c>
      <c r="F35" s="30">
        <v>75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" x14ac:dyDescent="0.3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" x14ac:dyDescent="0.3">
      <c r="A37" s="76" t="s">
        <v>45</v>
      </c>
      <c r="B37" s="6" t="s">
        <v>18</v>
      </c>
      <c r="C37" s="30">
        <v>80</v>
      </c>
      <c r="D37" s="30">
        <v>160</v>
      </c>
      <c r="E37" s="30">
        <v>100</v>
      </c>
      <c r="F37" s="30">
        <v>150</v>
      </c>
      <c r="G37" s="30">
        <v>100</v>
      </c>
      <c r="H37" s="30">
        <v>150</v>
      </c>
      <c r="I37" s="31">
        <f t="shared" si="4"/>
        <v>-4</v>
      </c>
      <c r="J37" s="62">
        <v>200</v>
      </c>
      <c r="K37" s="62">
        <v>220</v>
      </c>
      <c r="L37" s="32">
        <f t="shared" si="5"/>
        <v>-42.857142857142854</v>
      </c>
    </row>
    <row r="38" spans="1:12" ht="21" x14ac:dyDescent="0.3">
      <c r="A38" s="76" t="s">
        <v>46</v>
      </c>
      <c r="B38" s="6" t="s">
        <v>18</v>
      </c>
      <c r="C38" s="30">
        <v>160</v>
      </c>
      <c r="D38" s="30">
        <v>220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8.5714285714285712</v>
      </c>
      <c r="J38" s="62">
        <v>200</v>
      </c>
      <c r="K38" s="62">
        <v>230</v>
      </c>
      <c r="L38" s="32">
        <f t="shared" si="5"/>
        <v>-11.627906976744185</v>
      </c>
    </row>
    <row r="39" spans="1:12" ht="21" x14ac:dyDescent="0.3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" x14ac:dyDescent="0.3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" x14ac:dyDescent="0.3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" x14ac:dyDescent="0.3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" x14ac:dyDescent="0.3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" x14ac:dyDescent="0.3">
      <c r="A44" s="76" t="s">
        <v>52</v>
      </c>
      <c r="B44" s="6" t="s">
        <v>18</v>
      </c>
      <c r="C44" s="30">
        <v>180</v>
      </c>
      <c r="D44" s="30">
        <v>280</v>
      </c>
      <c r="E44" s="30">
        <v>120</v>
      </c>
      <c r="F44" s="30">
        <v>240</v>
      </c>
      <c r="G44" s="30">
        <v>120</v>
      </c>
      <c r="H44" s="30">
        <v>200</v>
      </c>
      <c r="I44" s="31">
        <f t="shared" si="4"/>
        <v>43.75</v>
      </c>
      <c r="J44" s="62">
        <v>240</v>
      </c>
      <c r="K44" s="62">
        <v>280</v>
      </c>
      <c r="L44" s="32">
        <f t="shared" si="5"/>
        <v>-11.538461538461538</v>
      </c>
    </row>
    <row r="45" spans="1:12" ht="21" x14ac:dyDescent="0.3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680</v>
      </c>
      <c r="K45" s="62">
        <v>800</v>
      </c>
      <c r="L45" s="32">
        <f t="shared" si="5"/>
        <v>-8.7837837837837842</v>
      </c>
    </row>
    <row r="46" spans="1:12" ht="21" x14ac:dyDescent="0.3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" x14ac:dyDescent="0.3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" x14ac:dyDescent="0.3">
      <c r="A48" s="76" t="s">
        <v>56</v>
      </c>
      <c r="B48" s="6" t="s">
        <v>18</v>
      </c>
      <c r="C48" s="30">
        <v>4700</v>
      </c>
      <c r="D48" s="30">
        <v>5200</v>
      </c>
      <c r="E48" s="30">
        <v>4500</v>
      </c>
      <c r="F48" s="30">
        <v>5200</v>
      </c>
      <c r="G48" s="30">
        <v>4200</v>
      </c>
      <c r="H48" s="30">
        <v>5200</v>
      </c>
      <c r="I48" s="31">
        <f t="shared" si="4"/>
        <v>5.3191489361702127</v>
      </c>
      <c r="J48" s="62">
        <v>3200</v>
      </c>
      <c r="K48" s="62">
        <v>3600</v>
      </c>
      <c r="L48" s="32">
        <f t="shared" si="5"/>
        <v>45.588235294117645</v>
      </c>
    </row>
    <row r="49" spans="1:12" ht="21" x14ac:dyDescent="0.3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" x14ac:dyDescent="0.3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" x14ac:dyDescent="0.3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" x14ac:dyDescent="0.3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450</v>
      </c>
      <c r="I52" s="31">
        <f t="shared" ref="I52:I57" si="6">((C52+D52)/2-(G52+H52)/2)/((G52+H52)/2)*100</f>
        <v>2.7397260273972601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" x14ac:dyDescent="0.3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" x14ac:dyDescent="0.3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" x14ac:dyDescent="0.3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" x14ac:dyDescent="0.3">
      <c r="A56" s="76" t="s">
        <v>62</v>
      </c>
      <c r="B56" s="6" t="s">
        <v>18</v>
      </c>
      <c r="C56" s="30">
        <v>160</v>
      </c>
      <c r="D56" s="30">
        <v>170</v>
      </c>
      <c r="E56" s="30">
        <v>145</v>
      </c>
      <c r="F56" s="30">
        <v>170</v>
      </c>
      <c r="G56" s="30">
        <v>150</v>
      </c>
      <c r="H56" s="30">
        <v>170</v>
      </c>
      <c r="I56" s="31">
        <f t="shared" si="6"/>
        <v>3.125</v>
      </c>
      <c r="J56" s="62">
        <v>160</v>
      </c>
      <c r="K56" s="62">
        <v>180</v>
      </c>
      <c r="L56" s="32">
        <f t="shared" si="7"/>
        <v>-2.9411764705882351</v>
      </c>
    </row>
    <row r="57" spans="1:12" ht="21" x14ac:dyDescent="0.3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" x14ac:dyDescent="0.3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 x14ac:dyDescent="0.3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 x14ac:dyDescent="0.3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 x14ac:dyDescent="0.3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 x14ac:dyDescent="0.3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 x14ac:dyDescent="0.3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 x14ac:dyDescent="0.3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 x14ac:dyDescent="0.3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" x14ac:dyDescent="0.2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 x14ac:dyDescent="0.25">
      <c r="A67" s="80"/>
      <c r="B67" s="71"/>
      <c r="C67" s="95">
        <v>45878</v>
      </c>
      <c r="D67" s="94"/>
      <c r="E67" s="95">
        <v>45871</v>
      </c>
      <c r="F67" s="94"/>
      <c r="G67" s="95">
        <v>45847</v>
      </c>
      <c r="H67" s="94"/>
      <c r="I67" s="27" t="s">
        <v>12</v>
      </c>
      <c r="J67" s="91">
        <v>45513</v>
      </c>
      <c r="K67" s="92"/>
      <c r="L67" s="27" t="s">
        <v>12</v>
      </c>
    </row>
    <row r="68" spans="1:12" ht="21" x14ac:dyDescent="0.2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 x14ac:dyDescent="0.3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" x14ac:dyDescent="0.3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" x14ac:dyDescent="0.3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 x14ac:dyDescent="0.3">
      <c r="A72" s="76" t="s">
        <v>73</v>
      </c>
      <c r="B72" s="6" t="s">
        <v>74</v>
      </c>
      <c r="C72" s="38">
        <v>40</v>
      </c>
      <c r="D72" s="38">
        <v>48</v>
      </c>
      <c r="E72" s="38">
        <v>38</v>
      </c>
      <c r="F72" s="38">
        <v>45</v>
      </c>
      <c r="G72" s="38">
        <v>38</v>
      </c>
      <c r="H72" s="38">
        <v>46</v>
      </c>
      <c r="I72" s="31">
        <f t="shared" si="9"/>
        <v>4.7619047619047619</v>
      </c>
      <c r="J72" s="63">
        <v>48</v>
      </c>
      <c r="K72" s="63">
        <v>54</v>
      </c>
      <c r="L72" s="32">
        <f t="shared" si="8"/>
        <v>-13.725490196078432</v>
      </c>
    </row>
    <row r="73" spans="1:12" ht="21" x14ac:dyDescent="0.3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" x14ac:dyDescent="0.3">
      <c r="A74" s="76" t="s">
        <v>77</v>
      </c>
      <c r="B74" s="6" t="s">
        <v>78</v>
      </c>
      <c r="C74" s="30">
        <v>83500</v>
      </c>
      <c r="D74" s="30">
        <v>87000</v>
      </c>
      <c r="E74" s="30">
        <v>85000</v>
      </c>
      <c r="F74" s="30">
        <v>89000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" x14ac:dyDescent="0.3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82000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 x14ac:dyDescent="0.25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" x14ac:dyDescent="0.2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132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" x14ac:dyDescent="0.2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" x14ac:dyDescent="0.25">
      <c r="A83" s="5" t="s">
        <v>81</v>
      </c>
      <c r="B83" s="6" t="s">
        <v>82</v>
      </c>
      <c r="C83" s="98" t="s">
        <v>6</v>
      </c>
      <c r="D83" s="99"/>
      <c r="E83" s="100" t="s">
        <v>83</v>
      </c>
      <c r="F83" s="101"/>
      <c r="G83" s="87" t="s">
        <v>12</v>
      </c>
      <c r="H83" s="98" t="s">
        <v>84</v>
      </c>
      <c r="I83" s="102"/>
      <c r="J83" s="99"/>
      <c r="K83" s="51"/>
      <c r="L83" s="18"/>
    </row>
    <row r="84" spans="1:12" ht="21" x14ac:dyDescent="0.3">
      <c r="A84" s="5" t="s">
        <v>24</v>
      </c>
      <c r="B84" s="6" t="s">
        <v>18</v>
      </c>
      <c r="C84" s="30">
        <v>55</v>
      </c>
      <c r="D84" s="30">
        <v>65</v>
      </c>
      <c r="E84" s="30">
        <v>50</v>
      </c>
      <c r="F84" s="30">
        <v>60</v>
      </c>
      <c r="G84" s="7">
        <f t="shared" ref="G84:G99" si="10">((C84+D84)/2-(E84+F84)/2)/((E84+F84)/2)*100</f>
        <v>9.0909090909090917</v>
      </c>
      <c r="H84" s="5" t="s">
        <v>129</v>
      </c>
      <c r="I84" s="6"/>
      <c r="J84" s="6"/>
      <c r="K84" s="51"/>
      <c r="L84" s="18"/>
    </row>
    <row r="85" spans="1:12" ht="21" x14ac:dyDescent="0.3">
      <c r="A85" s="76" t="s">
        <v>27</v>
      </c>
      <c r="B85" s="6" t="s">
        <v>28</v>
      </c>
      <c r="C85" s="30">
        <v>162</v>
      </c>
      <c r="D85" s="30">
        <v>172</v>
      </c>
      <c r="E85" s="30">
        <v>162</v>
      </c>
      <c r="F85" s="30">
        <v>170</v>
      </c>
      <c r="G85" s="7">
        <f t="shared" si="10"/>
        <v>0.60240963855421692</v>
      </c>
      <c r="H85" s="5" t="s">
        <v>123</v>
      </c>
      <c r="I85" s="6"/>
      <c r="J85" s="6"/>
      <c r="K85" s="51"/>
      <c r="L85" s="18"/>
    </row>
    <row r="86" spans="1:12" ht="21" x14ac:dyDescent="0.3">
      <c r="A86" s="76" t="s">
        <v>33</v>
      </c>
      <c r="B86" s="6" t="s">
        <v>28</v>
      </c>
      <c r="C86" s="30">
        <v>150</v>
      </c>
      <c r="D86" s="30">
        <v>160</v>
      </c>
      <c r="E86" s="30">
        <v>150</v>
      </c>
      <c r="F86" s="30">
        <v>155</v>
      </c>
      <c r="G86" s="7">
        <f t="shared" si="10"/>
        <v>1.639344262295082</v>
      </c>
      <c r="H86" s="5" t="s">
        <v>119</v>
      </c>
      <c r="I86" s="6"/>
      <c r="J86" s="6"/>
      <c r="K86" s="51"/>
      <c r="L86" s="18"/>
    </row>
    <row r="87" spans="1:12" ht="21" x14ac:dyDescent="0.3">
      <c r="A87" s="76" t="s">
        <v>108</v>
      </c>
      <c r="B87" s="6" t="s">
        <v>28</v>
      </c>
      <c r="C87" s="30">
        <v>152</v>
      </c>
      <c r="D87" s="30">
        <v>163</v>
      </c>
      <c r="E87" s="30">
        <v>152</v>
      </c>
      <c r="F87" s="30">
        <v>162</v>
      </c>
      <c r="G87" s="7">
        <f t="shared" si="10"/>
        <v>0.31847133757961787</v>
      </c>
      <c r="H87" s="5" t="s">
        <v>119</v>
      </c>
      <c r="I87" s="6"/>
      <c r="J87" s="6"/>
      <c r="K87" s="51"/>
      <c r="L87" s="18"/>
    </row>
    <row r="88" spans="1:12" ht="21" x14ac:dyDescent="0.3">
      <c r="A88" s="76" t="s">
        <v>112</v>
      </c>
      <c r="B88" s="6" t="s">
        <v>18</v>
      </c>
      <c r="C88" s="30">
        <v>110</v>
      </c>
      <c r="D88" s="30">
        <v>135</v>
      </c>
      <c r="E88" s="30">
        <v>105</v>
      </c>
      <c r="F88" s="30">
        <v>125</v>
      </c>
      <c r="G88" s="7">
        <f t="shared" si="10"/>
        <v>6.5217391304347823</v>
      </c>
      <c r="H88" s="5" t="s">
        <v>118</v>
      </c>
      <c r="I88" s="6"/>
      <c r="J88" s="6"/>
      <c r="K88" s="51"/>
      <c r="L88" s="18"/>
    </row>
    <row r="89" spans="1:12" ht="21" x14ac:dyDescent="0.3">
      <c r="A89" s="76" t="s">
        <v>38</v>
      </c>
      <c r="B89" s="6" t="s">
        <v>18</v>
      </c>
      <c r="C89" s="30">
        <v>150</v>
      </c>
      <c r="D89" s="30">
        <v>155</v>
      </c>
      <c r="E89" s="30">
        <v>130</v>
      </c>
      <c r="F89" s="30">
        <v>145</v>
      </c>
      <c r="G89" s="7">
        <f t="shared" si="10"/>
        <v>10.909090909090908</v>
      </c>
      <c r="H89" s="5" t="s">
        <v>119</v>
      </c>
      <c r="I89" s="6"/>
      <c r="J89" s="6"/>
      <c r="K89" s="51"/>
      <c r="L89" s="18"/>
    </row>
    <row r="90" spans="1:12" ht="21" x14ac:dyDescent="0.3">
      <c r="A90" s="76" t="s">
        <v>42</v>
      </c>
      <c r="B90" s="6" t="s">
        <v>18</v>
      </c>
      <c r="C90" s="30">
        <v>22</v>
      </c>
      <c r="D90" s="30">
        <v>30</v>
      </c>
      <c r="E90" s="30">
        <v>20</v>
      </c>
      <c r="F90" s="30">
        <v>30</v>
      </c>
      <c r="G90" s="7">
        <f t="shared" si="10"/>
        <v>4</v>
      </c>
      <c r="H90" s="5" t="s">
        <v>130</v>
      </c>
      <c r="I90" s="6"/>
      <c r="J90" s="6"/>
      <c r="K90" s="51"/>
      <c r="L90" s="18"/>
    </row>
    <row r="91" spans="1:12" ht="21" x14ac:dyDescent="0.3">
      <c r="A91" s="76" t="s">
        <v>92</v>
      </c>
      <c r="B91" s="6" t="s">
        <v>18</v>
      </c>
      <c r="C91" s="30">
        <v>75</v>
      </c>
      <c r="D91" s="30">
        <v>85</v>
      </c>
      <c r="E91" s="30">
        <v>60</v>
      </c>
      <c r="F91" s="30">
        <v>75</v>
      </c>
      <c r="G91" s="7">
        <f t="shared" si="10"/>
        <v>18.518518518518519</v>
      </c>
      <c r="H91" s="5" t="s">
        <v>123</v>
      </c>
      <c r="I91" s="6"/>
      <c r="J91" s="6"/>
      <c r="K91" s="51"/>
      <c r="L91" s="18"/>
    </row>
    <row r="92" spans="1:12" ht="21" x14ac:dyDescent="0.3">
      <c r="A92" s="76" t="s">
        <v>45</v>
      </c>
      <c r="B92" s="6" t="s">
        <v>18</v>
      </c>
      <c r="C92" s="30">
        <v>80</v>
      </c>
      <c r="D92" s="30">
        <v>160</v>
      </c>
      <c r="E92" s="30">
        <v>100</v>
      </c>
      <c r="F92" s="30">
        <v>150</v>
      </c>
      <c r="G92" s="7">
        <f t="shared" si="10"/>
        <v>-4</v>
      </c>
      <c r="H92" s="5" t="s">
        <v>117</v>
      </c>
      <c r="I92" s="6"/>
      <c r="J92" s="6"/>
      <c r="K92" s="51"/>
      <c r="L92" s="18"/>
    </row>
    <row r="93" spans="1:12" ht="21" x14ac:dyDescent="0.3">
      <c r="A93" s="76" t="s">
        <v>46</v>
      </c>
      <c r="B93" s="6" t="s">
        <v>18</v>
      </c>
      <c r="C93" s="30">
        <v>160</v>
      </c>
      <c r="D93" s="30">
        <v>220</v>
      </c>
      <c r="E93" s="30">
        <v>160</v>
      </c>
      <c r="F93" s="30">
        <v>200</v>
      </c>
      <c r="G93" s="7">
        <f t="shared" si="10"/>
        <v>5.5555555555555554</v>
      </c>
      <c r="H93" s="5" t="s">
        <v>118</v>
      </c>
      <c r="I93" s="6"/>
      <c r="J93" s="6"/>
      <c r="K93" s="51"/>
      <c r="L93" s="18"/>
    </row>
    <row r="94" spans="1:12" ht="21" x14ac:dyDescent="0.3">
      <c r="A94" s="76" t="s">
        <v>52</v>
      </c>
      <c r="B94" s="6" t="s">
        <v>18</v>
      </c>
      <c r="C94" s="30">
        <v>180</v>
      </c>
      <c r="D94" s="30">
        <v>280</v>
      </c>
      <c r="E94" s="30">
        <v>120</v>
      </c>
      <c r="F94" s="30">
        <v>240</v>
      </c>
      <c r="G94" s="7">
        <f t="shared" si="10"/>
        <v>27.777777777777779</v>
      </c>
      <c r="H94" s="5" t="s">
        <v>118</v>
      </c>
      <c r="I94" s="6"/>
      <c r="J94" s="6"/>
      <c r="K94" s="51"/>
      <c r="L94" s="18"/>
    </row>
    <row r="95" spans="1:12" ht="21" x14ac:dyDescent="0.3">
      <c r="A95" s="76" t="s">
        <v>56</v>
      </c>
      <c r="B95" s="6" t="s">
        <v>18</v>
      </c>
      <c r="C95" s="30">
        <v>4700</v>
      </c>
      <c r="D95" s="30">
        <v>5200</v>
      </c>
      <c r="E95" s="30">
        <v>4500</v>
      </c>
      <c r="F95" s="30">
        <v>5200</v>
      </c>
      <c r="G95" s="7">
        <f t="shared" si="10"/>
        <v>2.0618556701030926</v>
      </c>
      <c r="H95" s="5" t="s">
        <v>130</v>
      </c>
      <c r="I95" s="6"/>
      <c r="J95" s="6"/>
      <c r="K95" s="51"/>
      <c r="L95" s="18"/>
    </row>
    <row r="96" spans="1:12" ht="21" x14ac:dyDescent="0.3">
      <c r="A96" s="76" t="s">
        <v>62</v>
      </c>
      <c r="B96" s="6" t="s">
        <v>18</v>
      </c>
      <c r="C96" s="30">
        <v>160</v>
      </c>
      <c r="D96" s="30">
        <v>170</v>
      </c>
      <c r="E96" s="30">
        <v>145</v>
      </c>
      <c r="F96" s="30">
        <v>170</v>
      </c>
      <c r="G96" s="7">
        <f t="shared" si="10"/>
        <v>4.7619047619047619</v>
      </c>
      <c r="H96" s="5" t="s">
        <v>124</v>
      </c>
      <c r="I96" s="6"/>
      <c r="J96" s="6"/>
      <c r="K96" s="51"/>
      <c r="L96" s="18"/>
    </row>
    <row r="97" spans="1:12" ht="21" x14ac:dyDescent="0.3">
      <c r="A97" s="76" t="s">
        <v>73</v>
      </c>
      <c r="B97" s="6" t="s">
        <v>74</v>
      </c>
      <c r="C97" s="38">
        <v>40</v>
      </c>
      <c r="D97" s="38">
        <v>48</v>
      </c>
      <c r="E97" s="38">
        <v>38</v>
      </c>
      <c r="F97" s="38">
        <v>45</v>
      </c>
      <c r="G97" s="7">
        <f t="shared" si="10"/>
        <v>6.024096385542169</v>
      </c>
      <c r="H97" s="5" t="s">
        <v>124</v>
      </c>
      <c r="I97" s="6"/>
      <c r="J97" s="6"/>
      <c r="K97" s="51"/>
      <c r="L97" s="18"/>
    </row>
    <row r="98" spans="1:12" ht="21" x14ac:dyDescent="0.3">
      <c r="A98" s="76" t="s">
        <v>77</v>
      </c>
      <c r="B98" s="6" t="s">
        <v>78</v>
      </c>
      <c r="C98" s="30">
        <v>83500</v>
      </c>
      <c r="D98" s="30">
        <v>87000</v>
      </c>
      <c r="E98" s="30">
        <v>85000</v>
      </c>
      <c r="F98" s="30">
        <v>89000</v>
      </c>
      <c r="G98" s="7">
        <f t="shared" si="10"/>
        <v>-2.0114942528735633</v>
      </c>
      <c r="H98" s="5" t="s">
        <v>120</v>
      </c>
      <c r="I98" s="6"/>
      <c r="J98" s="6"/>
      <c r="K98" s="51"/>
      <c r="L98" s="18"/>
    </row>
    <row r="99" spans="1:12" ht="21" x14ac:dyDescent="0.3">
      <c r="A99" s="76" t="s">
        <v>79</v>
      </c>
      <c r="B99" s="6" t="s">
        <v>78</v>
      </c>
      <c r="C99" s="30">
        <v>78500</v>
      </c>
      <c r="D99" s="38">
        <v>80000</v>
      </c>
      <c r="E99" s="30">
        <v>78500</v>
      </c>
      <c r="F99" s="38">
        <v>82000</v>
      </c>
      <c r="G99" s="7">
        <f t="shared" si="10"/>
        <v>-1.2461059190031152</v>
      </c>
      <c r="H99" s="5" t="s">
        <v>120</v>
      </c>
      <c r="I99" s="6"/>
      <c r="J99" s="6"/>
      <c r="K99" s="51"/>
      <c r="L99" s="18"/>
    </row>
    <row r="100" spans="1:12" ht="21" x14ac:dyDescent="0.3">
      <c r="A100" s="79"/>
      <c r="B100" s="3"/>
      <c r="C100" s="90"/>
      <c r="D100" s="90"/>
      <c r="E100" s="90"/>
      <c r="F100" s="90"/>
      <c r="G100" s="10"/>
      <c r="H100" s="1"/>
      <c r="I100" s="3"/>
      <c r="J100" s="3"/>
      <c r="K100" s="51"/>
      <c r="L100" s="18"/>
    </row>
    <row r="101" spans="1:12" ht="21" x14ac:dyDescent="0.3">
      <c r="A101" s="79"/>
      <c r="B101" s="3"/>
      <c r="C101" s="90"/>
      <c r="D101" s="90"/>
      <c r="E101" s="90"/>
      <c r="F101" s="90"/>
      <c r="G101" s="10"/>
      <c r="H101" s="1"/>
      <c r="I101" s="3"/>
      <c r="J101" s="3"/>
      <c r="K101" s="51"/>
      <c r="L101" s="18"/>
    </row>
    <row r="102" spans="1:12" ht="23.25" x14ac:dyDescent="0.3">
      <c r="A102" s="1"/>
      <c r="B102" s="3"/>
      <c r="C102" s="9"/>
      <c r="D102" s="9"/>
      <c r="E102" s="9"/>
      <c r="F102" s="9"/>
      <c r="G102" s="10"/>
      <c r="H102" s="1"/>
      <c r="I102" s="3"/>
      <c r="J102" s="3"/>
      <c r="K102" s="12"/>
      <c r="L102" s="12"/>
    </row>
    <row r="103" spans="1:12" ht="23.25" x14ac:dyDescent="0.3">
      <c r="A103" s="1"/>
      <c r="B103" s="3"/>
      <c r="C103" s="9"/>
      <c r="D103" s="9"/>
      <c r="E103" s="9"/>
      <c r="F103" s="9"/>
      <c r="G103" s="10"/>
      <c r="H103" s="1"/>
      <c r="I103" s="3"/>
      <c r="J103" s="3"/>
      <c r="K103" s="12"/>
      <c r="L103" s="12"/>
    </row>
    <row r="104" spans="1:12" ht="23.25" x14ac:dyDescent="0.3">
      <c r="A104" s="1"/>
      <c r="B104" s="14"/>
      <c r="C104" s="15"/>
      <c r="D104" s="15"/>
      <c r="E104" s="14"/>
      <c r="F104" s="15"/>
      <c r="G104" s="39"/>
      <c r="H104" s="40"/>
      <c r="I104" s="41"/>
      <c r="J104" s="41"/>
      <c r="K104" s="41"/>
      <c r="L104" s="12"/>
    </row>
    <row r="105" spans="1:12" ht="23.25" x14ac:dyDescent="0.3">
      <c r="A105" s="1"/>
      <c r="B105" s="42"/>
      <c r="C105" s="43" t="s">
        <v>113</v>
      </c>
      <c r="D105" s="11"/>
      <c r="E105" s="42"/>
      <c r="F105" s="14"/>
      <c r="G105" s="11"/>
      <c r="H105" s="40"/>
      <c r="I105" s="13"/>
      <c r="J105" s="14" t="s">
        <v>121</v>
      </c>
      <c r="K105" s="11"/>
      <c r="L105" s="11"/>
    </row>
    <row r="106" spans="1:12" ht="23.25" x14ac:dyDescent="0.3">
      <c r="A106" s="1"/>
      <c r="B106" s="44"/>
      <c r="C106" s="43" t="s">
        <v>114</v>
      </c>
      <c r="D106" s="14"/>
      <c r="E106" s="42"/>
      <c r="F106" s="45"/>
      <c r="G106" s="47"/>
      <c r="H106" s="47"/>
      <c r="I106" s="86"/>
      <c r="J106" s="14" t="s">
        <v>122</v>
      </c>
      <c r="K106" s="14"/>
      <c r="L106" s="14"/>
    </row>
    <row r="107" spans="1:12" ht="23.25" x14ac:dyDescent="0.3">
      <c r="A107" s="1"/>
      <c r="B107" s="14"/>
      <c r="C107" s="15"/>
      <c r="D107" s="14"/>
      <c r="E107" s="15"/>
      <c r="F107" s="45"/>
      <c r="G107" s="47"/>
      <c r="H107" s="47"/>
      <c r="I107" s="46"/>
      <c r="J107" s="11"/>
      <c r="K107" s="11"/>
      <c r="L107" s="2"/>
    </row>
    <row r="108" spans="1:12" ht="18.75" x14ac:dyDescent="0.25">
      <c r="A108" s="56" t="s">
        <v>95</v>
      </c>
      <c r="B108" s="54"/>
      <c r="C108" s="52"/>
      <c r="D108" s="54"/>
      <c r="E108" s="52"/>
      <c r="F108" s="52"/>
      <c r="G108" s="52"/>
      <c r="H108" s="53"/>
      <c r="I108" s="58"/>
      <c r="J108" s="2"/>
      <c r="K108" s="2"/>
      <c r="L108" s="2"/>
    </row>
    <row r="109" spans="1:12" ht="18.75" x14ac:dyDescent="0.25">
      <c r="A109" s="55" t="s">
        <v>101</v>
      </c>
      <c r="B109" s="54"/>
      <c r="C109" s="52"/>
      <c r="D109" s="54"/>
      <c r="E109" s="52"/>
      <c r="F109" s="52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100</v>
      </c>
      <c r="B110" s="54"/>
      <c r="C110" s="54"/>
      <c r="D110" s="54"/>
      <c r="E110" s="54"/>
      <c r="F110" s="52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85</v>
      </c>
      <c r="B111" s="54"/>
      <c r="C111" s="54"/>
      <c r="D111" s="54"/>
      <c r="E111" s="54"/>
      <c r="F111" s="53"/>
      <c r="G111" s="53"/>
      <c r="H111" s="53"/>
      <c r="I111" s="58"/>
      <c r="J111" s="2"/>
      <c r="K111" s="2"/>
      <c r="L111" s="2"/>
    </row>
    <row r="112" spans="1:12" ht="18.75" x14ac:dyDescent="0.25">
      <c r="A112" s="55" t="s">
        <v>99</v>
      </c>
      <c r="B112" s="54"/>
      <c r="C112" s="54"/>
      <c r="D112" s="54"/>
      <c r="E112" s="54"/>
      <c r="F112" s="54"/>
      <c r="G112" s="53"/>
      <c r="H112" s="53"/>
      <c r="I112" s="58"/>
      <c r="J112" s="2"/>
      <c r="K112" s="2"/>
      <c r="L112" s="2"/>
    </row>
    <row r="113" spans="1:12" ht="18.75" x14ac:dyDescent="0.25">
      <c r="A113" s="55" t="s">
        <v>98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8.75" x14ac:dyDescent="0.25">
      <c r="A114" s="55" t="s">
        <v>109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8.75" x14ac:dyDescent="0.25">
      <c r="A115" s="55" t="s">
        <v>97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8.75" x14ac:dyDescent="0.25">
      <c r="A116" s="55" t="s">
        <v>96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8.75" x14ac:dyDescent="0.25">
      <c r="A117" s="55" t="s">
        <v>86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8.75" x14ac:dyDescent="0.25">
      <c r="A118" s="55" t="s">
        <v>103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8.75" x14ac:dyDescent="0.25">
      <c r="A119" s="55" t="s">
        <v>102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8.75" x14ac:dyDescent="0.25">
      <c r="A120" s="55" t="s">
        <v>104</v>
      </c>
      <c r="B120" s="54"/>
      <c r="C120" s="54"/>
      <c r="D120" s="54"/>
      <c r="E120" s="54"/>
      <c r="F120" s="54"/>
      <c r="G120" s="54"/>
      <c r="H120" s="53"/>
      <c r="I120" s="58"/>
      <c r="J120" s="2"/>
      <c r="K120" s="2"/>
      <c r="L120" s="2"/>
    </row>
    <row r="121" spans="1:12" ht="18.75" x14ac:dyDescent="0.25">
      <c r="A121" s="55" t="s">
        <v>105</v>
      </c>
      <c r="B121" s="54"/>
      <c r="C121" s="54"/>
      <c r="D121" s="54"/>
      <c r="E121" s="54"/>
      <c r="F121" s="54"/>
      <c r="G121" s="54"/>
      <c r="H121" s="53"/>
      <c r="I121" s="58"/>
      <c r="J121" s="2"/>
      <c r="K121" s="2"/>
      <c r="L121" s="2"/>
    </row>
    <row r="122" spans="1:12" ht="18.75" x14ac:dyDescent="0.25">
      <c r="A122" s="55" t="s">
        <v>87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8.75" x14ac:dyDescent="0.25">
      <c r="A123" s="55"/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8.75" x14ac:dyDescent="0.25">
      <c r="A124" s="56" t="s">
        <v>88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.75" x14ac:dyDescent="0.25">
      <c r="A125" s="55" t="s">
        <v>89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8.75" x14ac:dyDescent="0.25">
      <c r="A126" s="55" t="s">
        <v>90</v>
      </c>
      <c r="B126" s="54"/>
      <c r="C126" s="54"/>
      <c r="D126" s="54"/>
      <c r="E126" s="54"/>
      <c r="F126" s="54"/>
      <c r="G126" s="54"/>
      <c r="H126" s="57"/>
      <c r="I126" s="59"/>
      <c r="J126" s="12"/>
      <c r="K126" s="12"/>
      <c r="L126" s="12"/>
    </row>
    <row r="127" spans="1:12" ht="18.75" x14ac:dyDescent="0.25">
      <c r="A127" s="55" t="s">
        <v>91</v>
      </c>
      <c r="B127" s="54"/>
      <c r="C127" s="54"/>
      <c r="D127" s="54"/>
      <c r="E127" s="54"/>
      <c r="F127" s="54"/>
      <c r="G127" s="54"/>
      <c r="H127" s="57"/>
      <c r="I127" s="59"/>
      <c r="J127" s="12"/>
      <c r="K127" s="12"/>
      <c r="L127" s="12"/>
    </row>
    <row r="128" spans="1:12" ht="18" x14ac:dyDescent="0.25">
      <c r="A128" s="60"/>
      <c r="B128" s="58"/>
      <c r="C128" s="58"/>
      <c r="D128" s="58"/>
      <c r="E128" s="58"/>
      <c r="F128" s="58"/>
      <c r="G128" s="58"/>
      <c r="H128" s="61"/>
      <c r="I128" s="59"/>
      <c r="J128" s="12"/>
      <c r="K128" s="12"/>
      <c r="L128" s="12"/>
    </row>
  </sheetData>
  <mergeCells count="21"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2025-08-07T08:54:38Z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