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E8C8DE58-F3C3-4DF8-A370-6532F01C33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5" i="4"/>
  <c r="G86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<sst xmlns="http://schemas.openxmlformats.org/spreadsheetml/2006/main" count="225" uniqueCount="130">
  <si>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</si>
  <si>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</si>
  <si>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</si>
  <si>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</si>
  <si>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</si>
  <si>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</si>
  <si>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</si>
  <si>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</si>
  <si>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</si>
  <si>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</si>
  <si>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</si>
  <si>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</si>
  <si>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</si>
  <si>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</si>
  <si>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</si>
  <si>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</si>
  <si>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</si>
  <si>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</si>
  <si>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</si>
  <si>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</si>
  <si>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</si>
  <si>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</si>
  <si>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</si>
  <si>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</si>
  <si>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</si>
  <si>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</si>
  <si>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</si>
  <si>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</si>
  <si>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</si>
  <si>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</si>
  <si>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</si>
  <si>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</si>
  <si>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</si>
  <si>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</si>
  <si>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</si>
  <si>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</si>
  <si>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</si>
  <si>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</si>
  <si>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</si>
  <si>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</si>
  <si>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</si>
  <si>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</si>
  <si>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</si>
  <si>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</si>
  <si>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</si>
  <si>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</si>
  <si>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</si>
  <si>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</si>
  <si>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</si>
  <si>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</si>
  <si>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</si>
  <si>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</si>
  <si>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</si>
  <si>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</si>
  <si>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</si>
  <si>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</si>
  <si>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</si>
  <si>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</si>
  <si>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</si>
  <si>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</si>
  <si>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</si>
  <si>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</si>
  <si>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</si>
  <si>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</si>
  <si>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</si>
  <si>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</si>
  <si>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</si>
  <si>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</si>
  <si>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</si>
  <si>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</si>
  <si>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</si>
  <si>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</si>
  <si>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</si>
  <si>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</si>
  <si>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</si>
  <si>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</si>
  <si>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</si>
  <si>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</si>
  <si>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</si>
  <si>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</si>
  <si>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</si>
  <si>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</si>
  <si>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</si>
  <si>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</si>
  <si>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</si>
  <si>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</si>
  <si>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</si>
  <si>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</si>
  <si>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</si>
  <si>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</si>
  <si>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</si>
  <si>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</si>
  <si>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</si>
  <si>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</si>
  <si>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</si>
  <si>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</si>
  <si>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</si>
  <si>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</si>
  <si>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</si>
  <si>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</si>
  <si>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</si>
  <si>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</si>
  <si>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</si>
  <si>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</si>
  <si>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</si>
  <si>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</si>
  <si>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</si>
  <si>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</si>
  <si>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</si>
  <si>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</si>
  <si>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</si>
  <si>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</si>
  <si>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</si>
  <si>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</si>
  <si>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</si>
  <si>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</si>
  <si>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</si>
  <si>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</si>
  <si>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</si>
  <si>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</si>
  <si>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১৭-১২-২০২৫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</si>
  <si>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</si>
  <si>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</si>
  <si>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২১-১২-২০২৫ তারিখে মূল্য বৃদ্ধি পেয়েছে।</t>
  </si>
  <si>
    <t>২১-১২-২০২৫ তারিখে মূল্য হ্রাস পেয়েছে।</t>
  </si>
  <si>
    <t>(২)     সয়াবিন তেল লুজ, পাম অয়েল লুজ  এর মূল্য বৃদ্ধি পেয়েছে।</t>
  </si>
  <si>
    <t>স্মারক নং-২৬.০৫.০০০০.০১৭.৩১.০১.২৫-৯৪১</t>
  </si>
  <si>
    <t xml:space="preserve">সোমবার ২২ ডিসেম্বর ২০২৫ খ্রিঃ, ০৭ পৌষ ১৪৩২ বাংলা, ৩০ জমা-সানি ১৪৪৭ হিজরি </t>
  </si>
  <si>
    <t xml:space="preserve">   সিরিয়াল নংঃ     ৩১৮</t>
  </si>
  <si>
    <t>(১ )     ছোলা,  এম এস রড (৬০ গ্রেড)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</si>
</sst>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A67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128</v>
      </c>
      <c r="L4" s="88"/>
    </row>
    <row r="5" spans="1:12" ht="19.5" customHeight="1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.7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46013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46013</v>
      </c>
      <c r="D8" s="88"/>
      <c r="E8" s="89">
        <v>46006</v>
      </c>
      <c r="F8" s="88"/>
      <c r="G8" s="89">
        <v>45983</v>
      </c>
      <c r="H8" s="88"/>
      <c r="I8" s="26" t="s">
        <v>12</v>
      </c>
      <c r="J8" s="89">
        <v>45648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56</v>
      </c>
      <c r="K11" s="29">
        <v>63</v>
      </c>
      <c r="L11" s="31">
        <f>((C11+D11)/2-(J11+K11)/2)/((J11+K11)/2)*100</f>
        <v>5.8823529411764701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185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165</v>
      </c>
      <c r="L19" s="31">
        <f t="shared" ref="L19:L25" si="1">((C19+D19)/2-(J19+K19)/2)/((J19+K19)/2)*100</f>
        <v>8.8414634146341466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168</v>
      </c>
      <c r="K22" s="29">
        <v>175</v>
      </c>
      <c r="L22" s="31">
        <f t="shared" si="1"/>
        <v>12.827988338192419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150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156</v>
      </c>
      <c r="K23" s="29">
        <v>157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130</v>
      </c>
      <c r="H30" s="29">
        <v>180</v>
      </c>
      <c r="I30" s="30">
        <f t="shared" si="2"/>
        <v>3.225806451612903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80</v>
      </c>
      <c r="D32" s="29">
        <v>110</v>
      </c>
      <c r="E32" s="29">
        <v>90</v>
      </c>
      <c r="F32" s="29">
        <v>110</v>
      </c>
      <c r="G32" s="29">
        <v>100</v>
      </c>
      <c r="H32" s="29">
        <v>110</v>
      </c>
      <c r="I32" s="30">
        <f t="shared" si="2"/>
        <v>-9.5238095238095237</v>
      </c>
      <c r="J32" s="29">
        <v>125</v>
      </c>
      <c r="K32" s="29">
        <v>135</v>
      </c>
      <c r="L32" s="31">
        <f t="shared" si="3"/>
        <v>-26.923076923076923</v>
      </c>
    </row>
    <row r="33" spans="1:12" ht="21.75">
      <c r="A33" s="69" t="s">
        <v>117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20</v>
      </c>
      <c r="H33" s="29">
        <v>25</v>
      </c>
      <c r="I33" s="30">
        <f t="shared" si="2"/>
        <v>11.111111111111111</v>
      </c>
      <c r="J33" s="29">
        <v>60</v>
      </c>
      <c r="K33" s="29">
        <v>80</v>
      </c>
      <c r="L33" s="31">
        <f t="shared" si="3"/>
        <v>-64.285714285714292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118</v>
      </c>
      <c r="B35" s="6" t="s">
        <v>18</v>
      </c>
      <c r="C35" s="29">
        <v>60</v>
      </c>
      <c r="D35" s="29">
        <v>140</v>
      </c>
      <c r="E35" s="29">
        <v>80</v>
      </c>
      <c r="F35" s="29">
        <v>120</v>
      </c>
      <c r="G35" s="29">
        <v>100</v>
      </c>
      <c r="H35" s="29">
        <v>120</v>
      </c>
      <c r="I35" s="30">
        <f t="shared" ref="I35:I50" si="4">((C35+D35)/2-(G35+H35)/2)/((G35+H35)/2)*100</f>
        <v>-9.0909090909090917</v>
      </c>
      <c r="J35" s="29">
        <v>80</v>
      </c>
      <c r="K35" s="29">
        <v>120</v>
      </c>
      <c r="L35" s="31">
        <f t="shared" ref="L35:L50" si="5">((C35+D35)/2-(J35+K35)/2)/((J35+K35)/2)*100</f>
        <v>0</v>
      </c>
    </row>
    <row r="36" spans="1:12" ht="21.75">
      <c r="A36" s="69" t="s">
        <v>43</v>
      </c>
      <c r="B36" s="6" t="s">
        <v>18</v>
      </c>
      <c r="C36" s="29">
        <v>100</v>
      </c>
      <c r="D36" s="29">
        <v>110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70</v>
      </c>
      <c r="K36" s="29">
        <v>90</v>
      </c>
      <c r="L36" s="31">
        <f t="shared" si="5"/>
        <v>31.25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230</v>
      </c>
      <c r="K37" s="29">
        <v>280</v>
      </c>
      <c r="L37" s="31">
        <f t="shared" si="5"/>
        <v>-56.862745098039213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150</v>
      </c>
      <c r="D43" s="29">
        <v>200</v>
      </c>
      <c r="E43" s="29">
        <v>150</v>
      </c>
      <c r="F43" s="29">
        <v>200</v>
      </c>
      <c r="G43" s="29">
        <v>140</v>
      </c>
      <c r="H43" s="29">
        <v>180</v>
      </c>
      <c r="I43" s="30">
        <f t="shared" si="4"/>
        <v>9.375</v>
      </c>
      <c r="J43" s="29">
        <v>450</v>
      </c>
      <c r="K43" s="29">
        <v>500</v>
      </c>
      <c r="L43" s="31">
        <f t="shared" si="5"/>
        <v>-63.157894736842103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260</v>
      </c>
      <c r="L44" s="31">
        <f t="shared" si="5"/>
        <v>0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160</v>
      </c>
      <c r="H56" s="29">
        <v>190</v>
      </c>
      <c r="I56" s="30">
        <f t="shared" si="6"/>
        <v>-8.5714285714285712</v>
      </c>
      <c r="J56" s="29">
        <v>190</v>
      </c>
      <c r="K56" s="29">
        <v>200</v>
      </c>
      <c r="L56" s="31">
        <f t="shared" si="7"/>
        <v>-17.948717948717949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46013</v>
      </c>
      <c r="D67" s="88"/>
      <c r="E67" s="89">
        <v>46006</v>
      </c>
      <c r="F67" s="88"/>
      <c r="G67" s="89">
        <v>45983</v>
      </c>
      <c r="H67" s="88"/>
      <c r="I67" s="26" t="s">
        <v>12</v>
      </c>
      <c r="J67" s="89">
        <v>45648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95</v>
      </c>
      <c r="H69" s="29">
        <v>110</v>
      </c>
      <c r="I69" s="30">
        <f>((C69+D69)/2-(G69+H69)/2)/((G69+H69)/2)*100</f>
        <v>0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40</v>
      </c>
      <c r="H72" s="37">
        <v>50</v>
      </c>
      <c r="I72" s="30">
        <f t="shared" si="9"/>
        <v>-10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80000</v>
      </c>
      <c r="D74" s="29">
        <v>85000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125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27</v>
      </c>
      <c r="B83" s="6" t="s">
        <v>28</v>
      </c>
      <c r="C83" s="29">
        <v>172</v>
      </c>
      <c r="D83" s="29">
        <v>185</v>
      </c>
      <c r="E83" s="29">
        <v>170</v>
      </c>
      <c r="F83" s="29">
        <v>180</v>
      </c>
      <c r="G83" s="7">
        <f t="shared" ref="G83:G84" si="10">((C83+D83)/2-(E83+F83)/2)/((E83+F83)/2)*100</f>
        <v>2</v>
      </c>
      <c r="H83" s="5" t="s">
        <v>123</v>
      </c>
      <c r="I83" s="6"/>
      <c r="J83" s="6"/>
      <c r="K83" s="50"/>
      <c r="L83" s="17"/>
    </row>
    <row r="84" spans="1:12" ht="21.75">
      <c r="A84" s="69" t="s">
        <v>33</v>
      </c>
      <c r="B84" s="6" t="s">
        <v>28</v>
      </c>
      <c r="C84" s="29">
        <v>152</v>
      </c>
      <c r="D84" s="29">
        <v>162</v>
      </c>
      <c r="E84" s="29">
        <v>150</v>
      </c>
      <c r="F84" s="29">
        <v>162</v>
      </c>
      <c r="G84" s="7">
        <f t="shared" si="10"/>
        <v>0.64102564102564097</v>
      </c>
      <c r="H84" s="5" t="s">
        <v>123</v>
      </c>
      <c r="I84" s="6"/>
      <c r="J84" s="6"/>
      <c r="K84" s="50"/>
      <c r="L84" s="17"/>
    </row>
    <row r="85" spans="1:12" ht="21.75">
      <c r="A85" s="69" t="s">
        <v>41</v>
      </c>
      <c r="B85" s="6" t="s">
        <v>18</v>
      </c>
      <c r="C85" s="29">
        <v>80</v>
      </c>
      <c r="D85" s="29">
        <v>110</v>
      </c>
      <c r="E85" s="29">
        <v>90</v>
      </c>
      <c r="F85" s="29">
        <v>110</v>
      </c>
      <c r="G85" s="7">
        <f t="shared" ref="G85:G86" si="11">((C85+D85)/2-(E85+F85)/2)/((E85+F85)/2)*100</f>
        <v>-5</v>
      </c>
      <c r="H85" s="5" t="s">
        <v>124</v>
      </c>
      <c r="I85" s="6"/>
      <c r="J85" s="6"/>
      <c r="K85" s="50"/>
      <c r="L85" s="17"/>
    </row>
    <row r="86" spans="1:12" ht="24.75">
      <c r="A86" s="69" t="s">
        <v>76</v>
      </c>
      <c r="B86" s="6" t="s">
        <v>77</v>
      </c>
      <c r="C86" s="29">
        <v>80000</v>
      </c>
      <c r="D86" s="29">
        <v>85000</v>
      </c>
      <c r="E86" s="29">
        <v>81000</v>
      </c>
      <c r="F86" s="29">
        <v>86000</v>
      </c>
      <c r="G86" s="7">
        <f t="shared" si="11"/>
        <v>-1.1976047904191618</v>
      </c>
      <c r="H86" s="5" t="s">
        <v>120</v>
      </c>
      <c r="I86" s="6"/>
      <c r="J86" s="6"/>
      <c r="K86" s="40"/>
      <c r="L86" s="11"/>
    </row>
    <row r="87" spans="1:12" ht="24.75">
      <c r="A87" s="72"/>
      <c r="B87" s="3"/>
      <c r="C87" s="78"/>
      <c r="D87" s="78"/>
      <c r="E87" s="78"/>
      <c r="F87" s="78"/>
      <c r="G87" s="9"/>
      <c r="H87" s="39"/>
      <c r="I87" s="40"/>
      <c r="J87" s="40"/>
      <c r="K87" s="40"/>
      <c r="L87" s="11"/>
    </row>
    <row r="88" spans="1:12" ht="24.75">
      <c r="A88" s="1"/>
      <c r="B88" s="3"/>
      <c r="C88" s="82"/>
      <c r="D88" s="82"/>
      <c r="E88" s="8"/>
      <c r="F88" s="82"/>
      <c r="G88" s="38"/>
      <c r="H88" s="39"/>
      <c r="I88" s="40"/>
      <c r="J88" s="40"/>
      <c r="K88" s="40"/>
      <c r="L88" s="11"/>
    </row>
    <row r="89" spans="1:12" ht="24.75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4.75">
      <c r="A90" s="41"/>
      <c r="B90" s="42" t="s">
        <v>112</v>
      </c>
      <c r="C90" s="10"/>
      <c r="E90" s="84"/>
      <c r="F90" s="85" t="s">
        <v>115</v>
      </c>
      <c r="G90" s="86"/>
      <c r="I90" s="12"/>
      <c r="J90" s="13" t="s">
        <v>121</v>
      </c>
      <c r="K90" s="10"/>
    </row>
    <row r="91" spans="1:12" ht="24.75">
      <c r="A91" s="43"/>
      <c r="B91" s="42" t="s">
        <v>113</v>
      </c>
      <c r="C91" s="13"/>
      <c r="E91" s="43"/>
      <c r="F91" s="85" t="s">
        <v>116</v>
      </c>
      <c r="G91" s="86"/>
      <c r="I91" s="76"/>
      <c r="J91" s="13" t="s">
        <v>122</v>
      </c>
    </row>
    <row r="92" spans="1:12" ht="24.75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9.5">
      <c r="A93" s="55" t="s">
        <v>91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9.5">
      <c r="A94" s="54" t="s">
        <v>97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9.5">
      <c r="A95" s="54" t="s">
        <v>96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9.5">
      <c r="A96" s="54" t="s">
        <v>84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9.5">
      <c r="A97" s="54" t="s">
        <v>95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9.5">
      <c r="A98" s="54" t="s">
        <v>94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105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93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92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85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99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98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100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101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86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5" t="s">
        <v>87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88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111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110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109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2025-12-22T07:27:48Z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