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20" yWindow="-120" windowWidth="24240" windowHeight="13140"/>
  </bookViews>
  <sheets>
    <sheet name="Daily retail price" sheetId="4" r:id="rId1"/>
  </sheets>
  <calcPr calcId="152511"/>
</workbook>
</file>

<file path=xl/calcChain.xml><?xml version="1.0" encoding="utf-8"?>
<calcChain xmlns="http://schemas.openxmlformats.org/spreadsheetml/2006/main">
  <c r="G85" i="4" l="1"/>
  <c r="G84" i="4"/>
  <c r="G89" i="4"/>
  <c r="G86" i="4"/>
  <c r="G83" i="4"/>
  <c r="G87" i="4"/>
  <c r="G88" i="4"/>
  <c r="G90" i="4"/>
  <c r="G91" i="4"/>
  <c r="G93" i="4"/>
  <c r="G92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<sst xmlns="http://schemas.openxmlformats.org/spreadsheetml/2006/main" count="243" uniqueCount="131">
  <si>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</si>
  <si>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</si>
  <si>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</si>
  <si>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</si>
  <si>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</si>
  <si>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</si>
  <si>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</si>
  <si>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</si>
  <si>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</si>
  <si>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</si>
  <si>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</si>
  <si>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</si>
  <si>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</si>
  <si>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</si>
  <si>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</si>
  <si>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</si>
  <si>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</si>
  <si>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</si>
  <si>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</si>
  <si>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</si>
  <si>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</si>
  <si>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</si>
  <si>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</si>
  <si>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</si>
  <si>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</si>
  <si>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</si>
  <si>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</si>
  <si>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</si>
  <si>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</si>
  <si>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</si>
  <si>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</si>
  <si>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</si>
  <si>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</si>
  <si>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</si>
  <si>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</si>
  <si>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</si>
  <si>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</si>
  <si>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</si>
  <si>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</si>
  <si>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</si>
  <si>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</si>
  <si>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</si>
  <si>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</si>
  <si>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</si>
  <si>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</si>
  <si>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</si>
  <si>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</si>
  <si>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</si>
  <si>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</si>
  <si>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</si>
  <si>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</si>
  <si>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</si>
  <si>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</si>
  <si>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</si>
  <si>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</si>
  <si>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</si>
  <si>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</si>
  <si>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</si>
  <si>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</si>
  <si>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</si>
  <si>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</si>
  <si>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</si>
  <si>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</si>
  <si>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</si>
  <si>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</si>
  <si>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</si>
  <si>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</si>
  <si>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</si>
  <si>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</si>
  <si>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</si>
  <si>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</si>
  <si>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</si>
  <si>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</si>
  <si>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</si>
  <si>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</si>
  <si>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</si>
  <si>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</si>
  <si>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</si>
  <si>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</si>
  <si>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</si>
  <si>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</si>
  <si>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</si>
  <si>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</si>
  <si>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</si>
  <si>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</si>
  <si>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</si>
  <si>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</si>
  <si>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</si>
  <si>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</si>
  <si>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</si>
  <si>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</si>
  <si>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</si>
  <si>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</si>
  <si>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</si>
  <si>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</si>
  <si>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</si>
  <si>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</si>
  <si>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</si>
  <si>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</si>
  <si>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</si>
  <si>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</si>
  <si>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</si>
  <si>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</si>
  <si>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</si>
  <si>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</si>
  <si>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</si>
  <si>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</si>
  <si>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</si>
  <si>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</si>
  <si>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</si>
  <si>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</si>
  <si>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</si>
  <si>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</si>
  <si>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</si>
  <si>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</si>
  <si>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০৬-০৮-২০২৫ তারিখে মূল্য বৃদ্ধি পেয়েছে।</t>
  </si>
  <si>
    <t>০৭-০৮-২০২৫ তারিখে মূল্য বৃদ্ধি পেয়েছে।</t>
  </si>
  <si>
    <t>১০-০৮-২০২৫ তারিখে মূল্য বৃদ্ধি পেয়েছে।</t>
  </si>
  <si>
    <t>১০-০৮-২০২৫ তারিখে মূল্য হ্রাস পেয়েছে।</t>
  </si>
  <si>
    <t>১১-০৮-২০২৫ তারিখে মূল্য বৃদ্ধি পেয়েছে।</t>
  </si>
  <si>
    <t>(২ )   চাল (মাঝারী), সয়াবিন তেল (২লি: বোতল), রশুন (আম)   এর মূল্য হ্রাস পেয়েছে।</t>
  </si>
  <si>
    <t>১২-০৮-২০২৫ তারিখে মূল্য বৃদ্ধি পেয়েছে।</t>
  </si>
  <si>
    <t>১২-০৮-২০২৫ তারিখে মূল্য হ্রাস পেয়েছে।</t>
  </si>
  <si>
    <t>স্মারক নং-২৬.০৫.০০০০.০১৭.৩১.০১.২৫-৫৬৮</t>
  </si>
  <si>
    <t xml:space="preserve">বুধবার ১৩ আগষ্ট ২০২৫ খ্রিঃ, ২৯ শ্রাবণ ১৪৩২ বাংলা, ১৮ সফর ১৪৪৭ হিজরি </t>
  </si>
  <si>
    <t xml:space="preserve">   সিরিয়াল নংঃ     ২০০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</si>
  <si>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</si>
  <si>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</si>
  <si>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(১)   ময়দা (খোলা, প্যা:), আটা (খোলা, প্যা:), ছোলা, মুরগী ব্রয়লার, আলু, ডিম  এর মূল্য বৃদ্ধি পেয়েছে।</t>
  </si>
  <si>
    <t>(মোঃ হুমায়ুন কবির)</t>
  </si>
  <si>
    <t>যুগ্ম পরিচালক (বাজার তথ্য)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</si>
</sst>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22"/>
  <sheetViews>
    <sheetView tabSelected="1" topLeftCell="A76" zoomScale="98" zoomScaleNormal="98" workbookViewId="0">
      <selection activeCell="C100" sqref="C100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125</v>
      </c>
      <c r="L4" s="94"/>
    </row>
    <row r="5" spans="1:12" ht="19.5" customHeight="1">
      <c r="A5" s="18"/>
      <c r="B5" s="8"/>
      <c r="C5" s="8"/>
      <c r="D5" s="18"/>
      <c r="E5" s="8"/>
      <c r="F5" s="8" t="s">
        <v>124</v>
      </c>
      <c r="G5" s="8"/>
      <c r="H5" s="8"/>
      <c r="I5" s="8"/>
      <c r="J5" s="8"/>
      <c r="K5" s="8"/>
      <c r="L5" s="50"/>
    </row>
    <row r="6" spans="1:12" ht="21.75">
      <c r="A6" s="21" t="s">
        <v>123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45882</v>
      </c>
    </row>
    <row r="7" spans="1:12" ht="21.7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.75">
      <c r="A8" s="26"/>
      <c r="B8" s="27"/>
      <c r="C8" s="95">
        <v>45882</v>
      </c>
      <c r="D8" s="94"/>
      <c r="E8" s="95">
        <v>45875</v>
      </c>
      <c r="F8" s="94"/>
      <c r="G8" s="95">
        <v>45851</v>
      </c>
      <c r="H8" s="94"/>
      <c r="I8" s="27" t="s">
        <v>12</v>
      </c>
      <c r="J8" s="91">
        <v>45517</v>
      </c>
      <c r="K8" s="9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.75">
      <c r="A11" s="76" t="s">
        <v>107</v>
      </c>
      <c r="B11" s="6" t="s">
        <v>18</v>
      </c>
      <c r="C11" s="30">
        <v>60</v>
      </c>
      <c r="D11" s="30">
        <v>72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1.5384615384615385</v>
      </c>
      <c r="J11" s="62">
        <v>54</v>
      </c>
      <c r="K11" s="62">
        <v>58</v>
      </c>
      <c r="L11" s="32">
        <f>((C11+D11)/2-(J11+K11)/2)/((J11+K11)/2)*100</f>
        <v>17.857142857142858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42</v>
      </c>
      <c r="D14" s="30">
        <v>45</v>
      </c>
      <c r="E14" s="30">
        <v>40</v>
      </c>
      <c r="F14" s="30">
        <v>45</v>
      </c>
      <c r="G14" s="30">
        <v>40</v>
      </c>
      <c r="H14" s="30">
        <v>43</v>
      </c>
      <c r="I14" s="31">
        <f>((C14+D14)/2-(G14+H14)/2)/((G14+H14)/2)*100</f>
        <v>4.8192771084337354</v>
      </c>
      <c r="J14" s="62">
        <v>40</v>
      </c>
      <c r="K14" s="62">
        <v>45</v>
      </c>
      <c r="L14" s="32">
        <f>((C14+D14)/2-(J14+K14)/2)/((J14+K14)/2)*100</f>
        <v>2.3529411764705883</v>
      </c>
    </row>
    <row r="15" spans="1:12" ht="21.75">
      <c r="A15" s="76" t="s">
        <v>22</v>
      </c>
      <c r="B15" s="6" t="s">
        <v>23</v>
      </c>
      <c r="C15" s="30">
        <v>52</v>
      </c>
      <c r="D15" s="30">
        <v>60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6.666666666666667</v>
      </c>
      <c r="J15" s="62">
        <v>50</v>
      </c>
      <c r="K15" s="62">
        <v>55</v>
      </c>
      <c r="L15" s="32">
        <f>((C15+D15)/2-(J15+K15)/2)/((J15+K15)/2)*100</f>
        <v>6.666666666666667</v>
      </c>
    </row>
    <row r="16" spans="1:12" ht="21.75">
      <c r="A16" s="76" t="s">
        <v>24</v>
      </c>
      <c r="B16" s="6" t="s">
        <v>18</v>
      </c>
      <c r="C16" s="30">
        <v>55</v>
      </c>
      <c r="D16" s="30">
        <v>65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9.0909090909090917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75</v>
      </c>
      <c r="E17" s="30">
        <v>60</v>
      </c>
      <c r="F17" s="30">
        <v>70</v>
      </c>
      <c r="G17" s="30">
        <v>65</v>
      </c>
      <c r="H17" s="30">
        <v>70</v>
      </c>
      <c r="I17" s="31">
        <f>((C17+D17)/2-(G17+H17)/2)/((G17+H17)/2)*100</f>
        <v>3.7037037037037033</v>
      </c>
      <c r="J17" s="62">
        <v>65</v>
      </c>
      <c r="K17" s="62">
        <v>70</v>
      </c>
      <c r="L17" s="32">
        <f>((C17+D17)/2-(J17+K17)/2)/((J17+K17)/2)*100</f>
        <v>3.7037037037037033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172</v>
      </c>
      <c r="E19" s="30">
        <v>162</v>
      </c>
      <c r="F19" s="30">
        <v>172</v>
      </c>
      <c r="G19" s="30">
        <v>160</v>
      </c>
      <c r="H19" s="30">
        <v>170</v>
      </c>
      <c r="I19" s="31">
        <f t="shared" ref="I19:I25" si="0">((C19+D19)/2-(G19+H19)/2)/((G19+H19)/2)*100</f>
        <v>1.2121212121212122</v>
      </c>
      <c r="J19" s="62">
        <v>145</v>
      </c>
      <c r="K19" s="62">
        <v>152</v>
      </c>
      <c r="L19" s="32">
        <f t="shared" ref="L19:L25" si="1">((C19+D19)/2-(J19+K19)/2)/((J19+K19)/2)*100</f>
        <v>12.457912457912458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800</v>
      </c>
      <c r="L20" s="32">
        <f t="shared" si="1"/>
        <v>14.556962025316455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189</v>
      </c>
      <c r="I22" s="31">
        <f t="shared" si="0"/>
        <v>0.26737967914438499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160</v>
      </c>
      <c r="E23" s="30">
        <v>150</v>
      </c>
      <c r="F23" s="30">
        <v>160</v>
      </c>
      <c r="G23" s="30">
        <v>147</v>
      </c>
      <c r="H23" s="30">
        <v>155</v>
      </c>
      <c r="I23" s="31">
        <f t="shared" si="0"/>
        <v>2.6490066225165565</v>
      </c>
      <c r="J23" s="62">
        <v>125</v>
      </c>
      <c r="K23" s="62">
        <v>135</v>
      </c>
      <c r="L23" s="32">
        <f t="shared" si="1"/>
        <v>19.230769230769234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150</v>
      </c>
      <c r="F29" s="30">
        <v>155</v>
      </c>
      <c r="G29" s="30">
        <v>125</v>
      </c>
      <c r="H29" s="30">
        <v>135</v>
      </c>
      <c r="I29" s="31">
        <f t="shared" si="2"/>
        <v>17.307692307692307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70</v>
      </c>
      <c r="H31" s="30">
        <v>80</v>
      </c>
      <c r="I31" s="31">
        <f t="shared" si="2"/>
        <v>-6.666666666666667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95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62">
        <v>110</v>
      </c>
      <c r="K32" s="62">
        <v>120</v>
      </c>
      <c r="L32" s="32">
        <f t="shared" si="3"/>
        <v>-10.869565217391305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20</v>
      </c>
      <c r="F33" s="30">
        <v>30</v>
      </c>
      <c r="G33" s="30">
        <v>25</v>
      </c>
      <c r="H33" s="30">
        <v>28</v>
      </c>
      <c r="I33" s="31">
        <f t="shared" si="2"/>
        <v>3.7735849056603774</v>
      </c>
      <c r="J33" s="62">
        <v>52</v>
      </c>
      <c r="K33" s="62">
        <v>60</v>
      </c>
      <c r="L33" s="32">
        <f t="shared" si="3"/>
        <v>-50.892857142857139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62">
        <v>110</v>
      </c>
      <c r="K35" s="62">
        <v>120</v>
      </c>
      <c r="L35" s="32">
        <f t="shared" ref="L35:L50" si="5">((C35+D35)/2-(J35+K35)/2)/((J35+K35)/2)*100</f>
        <v>-30.434782608695656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110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160</v>
      </c>
      <c r="E37" s="30">
        <v>80</v>
      </c>
      <c r="F37" s="30">
        <v>160</v>
      </c>
      <c r="G37" s="30">
        <v>100</v>
      </c>
      <c r="H37" s="30">
        <v>150</v>
      </c>
      <c r="I37" s="31">
        <f t="shared" si="4"/>
        <v>-4</v>
      </c>
      <c r="J37" s="62">
        <v>200</v>
      </c>
      <c r="K37" s="62">
        <v>220</v>
      </c>
      <c r="L37" s="32">
        <f t="shared" si="5"/>
        <v>-42.857142857142854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220</v>
      </c>
      <c r="G38" s="30">
        <v>160</v>
      </c>
      <c r="H38" s="30">
        <v>200</v>
      </c>
      <c r="I38" s="31">
        <f t="shared" si="4"/>
        <v>0</v>
      </c>
      <c r="J38" s="62">
        <v>190</v>
      </c>
      <c r="K38" s="62">
        <v>230</v>
      </c>
      <c r="L38" s="32">
        <f t="shared" si="5"/>
        <v>-14.285714285714285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180</v>
      </c>
      <c r="D44" s="30">
        <v>280</v>
      </c>
      <c r="E44" s="30">
        <v>180</v>
      </c>
      <c r="F44" s="30">
        <v>280</v>
      </c>
      <c r="G44" s="30">
        <v>130</v>
      </c>
      <c r="H44" s="30">
        <v>200</v>
      </c>
      <c r="I44" s="31">
        <f t="shared" si="4"/>
        <v>39.393939393939391</v>
      </c>
      <c r="J44" s="62">
        <v>200</v>
      </c>
      <c r="K44" s="62">
        <v>280</v>
      </c>
      <c r="L44" s="32">
        <f t="shared" si="5"/>
        <v>-4.1666666666666661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680</v>
      </c>
      <c r="K45" s="62">
        <v>800</v>
      </c>
      <c r="L45" s="32">
        <f t="shared" si="5"/>
        <v>-8.7837837837837842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1400</v>
      </c>
      <c r="K47" s="62">
        <v>1650</v>
      </c>
      <c r="L47" s="32">
        <f t="shared" si="5"/>
        <v>-1.639344262295082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1.0416666666666665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220</v>
      </c>
      <c r="K49" s="62">
        <v>260</v>
      </c>
      <c r="L49" s="32">
        <f t="shared" si="5"/>
        <v>-4.1666666666666661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180</v>
      </c>
      <c r="H50" s="30">
        <v>220</v>
      </c>
      <c r="I50" s="31">
        <f t="shared" si="4"/>
        <v>0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160</v>
      </c>
      <c r="D56" s="30">
        <v>175</v>
      </c>
      <c r="E56" s="30">
        <v>155</v>
      </c>
      <c r="F56" s="30">
        <v>170</v>
      </c>
      <c r="G56" s="30">
        <v>150</v>
      </c>
      <c r="H56" s="30">
        <v>170</v>
      </c>
      <c r="I56" s="31">
        <f t="shared" si="6"/>
        <v>4.6875</v>
      </c>
      <c r="J56" s="62">
        <v>150</v>
      </c>
      <c r="K56" s="62">
        <v>165</v>
      </c>
      <c r="L56" s="32">
        <f t="shared" si="7"/>
        <v>6.3492063492063489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520</v>
      </c>
      <c r="K57" s="62">
        <v>650</v>
      </c>
      <c r="L57" s="32">
        <f t="shared" si="7"/>
        <v>9.4017094017094021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>
      <c r="A67" s="80"/>
      <c r="B67" s="71"/>
      <c r="C67" s="95">
        <v>45882</v>
      </c>
      <c r="D67" s="94"/>
      <c r="E67" s="95">
        <v>45875</v>
      </c>
      <c r="F67" s="94"/>
      <c r="G67" s="95">
        <v>45851</v>
      </c>
      <c r="H67" s="94"/>
      <c r="I67" s="27" t="s">
        <v>12</v>
      </c>
      <c r="J67" s="91">
        <v>45517</v>
      </c>
      <c r="K67" s="9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115</v>
      </c>
      <c r="I69" s="31">
        <f>((C69+D69)/2-(G69+H69)/2)/((G69+H69)/2)*100</f>
        <v>-2.2222222222222223</v>
      </c>
      <c r="J69" s="62">
        <v>130</v>
      </c>
      <c r="K69" s="62">
        <v>135</v>
      </c>
      <c r="L69" s="32">
        <f t="shared" ref="L69:L75" si="8">((C69+D69)/2-(J69+K69)/2)/((J69+K69)/2)*100</f>
        <v>-16.981132075471699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250</v>
      </c>
      <c r="K70" s="62">
        <v>350</v>
      </c>
      <c r="L70" s="32">
        <f t="shared" si="8"/>
        <v>28.333333333333332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40</v>
      </c>
      <c r="D72" s="38">
        <v>50</v>
      </c>
      <c r="E72" s="38">
        <v>40</v>
      </c>
      <c r="F72" s="38">
        <v>46</v>
      </c>
      <c r="G72" s="38">
        <v>38</v>
      </c>
      <c r="H72" s="38">
        <v>45</v>
      </c>
      <c r="I72" s="31">
        <f t="shared" si="9"/>
        <v>8.4337349397590362</v>
      </c>
      <c r="J72" s="63">
        <v>48</v>
      </c>
      <c r="K72" s="63">
        <v>50</v>
      </c>
      <c r="L72" s="32">
        <f t="shared" si="8"/>
        <v>-8.1632653061224492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6" t="s">
        <v>114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.75">
      <c r="A83" s="5" t="s">
        <v>107</v>
      </c>
      <c r="B83" s="6" t="s">
        <v>18</v>
      </c>
      <c r="C83" s="30">
        <v>60</v>
      </c>
      <c r="D83" s="30">
        <v>72</v>
      </c>
      <c r="E83" s="30">
        <v>60</v>
      </c>
      <c r="F83" s="30">
        <v>75</v>
      </c>
      <c r="G83" s="7">
        <f t="shared" ref="G83:G93" si="10">((C83+D83)/2-(E83+F83)/2)/((E83+F83)/2)*100</f>
        <v>-2.2222222222222223</v>
      </c>
      <c r="H83" s="5" t="s">
        <v>122</v>
      </c>
      <c r="I83" s="6"/>
      <c r="J83" s="6"/>
      <c r="K83" s="51"/>
      <c r="L83" s="18"/>
    </row>
    <row r="84" spans="1:12" ht="21.75">
      <c r="A84" s="5" t="s">
        <v>21</v>
      </c>
      <c r="B84" s="6" t="s">
        <v>18</v>
      </c>
      <c r="C84" s="30">
        <v>42</v>
      </c>
      <c r="D84" s="30">
        <v>45</v>
      </c>
      <c r="E84" s="30">
        <v>40</v>
      </c>
      <c r="F84" s="30">
        <v>45</v>
      </c>
      <c r="G84" s="7">
        <f t="shared" si="10"/>
        <v>2.3529411764705883</v>
      </c>
      <c r="H84" s="5" t="s">
        <v>119</v>
      </c>
      <c r="I84" s="6"/>
      <c r="J84" s="6"/>
      <c r="K84" s="51"/>
      <c r="L84" s="18"/>
    </row>
    <row r="85" spans="1:12" ht="21.75">
      <c r="A85" s="5" t="s">
        <v>22</v>
      </c>
      <c r="B85" s="6" t="s">
        <v>23</v>
      </c>
      <c r="C85" s="30">
        <v>52</v>
      </c>
      <c r="D85" s="30">
        <v>60</v>
      </c>
      <c r="E85" s="30">
        <v>50</v>
      </c>
      <c r="F85" s="30">
        <v>55</v>
      </c>
      <c r="G85" s="7">
        <f t="shared" si="10"/>
        <v>6.666666666666667</v>
      </c>
      <c r="H85" s="5" t="s">
        <v>119</v>
      </c>
      <c r="I85" s="6"/>
      <c r="J85" s="6"/>
      <c r="K85" s="51"/>
      <c r="L85" s="18"/>
    </row>
    <row r="86" spans="1:12" ht="21.75">
      <c r="A86" s="5" t="s">
        <v>24</v>
      </c>
      <c r="B86" s="6" t="s">
        <v>18</v>
      </c>
      <c r="C86" s="30">
        <v>55</v>
      </c>
      <c r="D86" s="30">
        <v>65</v>
      </c>
      <c r="E86" s="30">
        <v>50</v>
      </c>
      <c r="F86" s="30">
        <v>60</v>
      </c>
      <c r="G86" s="7">
        <f t="shared" si="10"/>
        <v>9.0909090909090917</v>
      </c>
      <c r="H86" s="5" t="s">
        <v>115</v>
      </c>
      <c r="I86" s="6"/>
      <c r="J86" s="6"/>
      <c r="K86" s="51"/>
      <c r="L86" s="18"/>
    </row>
    <row r="87" spans="1:12" ht="21.75">
      <c r="A87" s="76" t="s">
        <v>25</v>
      </c>
      <c r="B87" s="6" t="s">
        <v>23</v>
      </c>
      <c r="C87" s="30">
        <v>65</v>
      </c>
      <c r="D87" s="30">
        <v>75</v>
      </c>
      <c r="E87" s="30">
        <v>60</v>
      </c>
      <c r="F87" s="30">
        <v>70</v>
      </c>
      <c r="G87" s="7">
        <f t="shared" si="10"/>
        <v>7.6923076923076925</v>
      </c>
      <c r="H87" s="5" t="s">
        <v>121</v>
      </c>
      <c r="I87" s="6"/>
      <c r="J87" s="6"/>
      <c r="K87" s="51"/>
      <c r="L87" s="18"/>
    </row>
    <row r="88" spans="1:12" ht="21.75">
      <c r="A88" s="76" t="s">
        <v>29</v>
      </c>
      <c r="B88" s="6" t="s">
        <v>31</v>
      </c>
      <c r="C88" s="30">
        <v>370</v>
      </c>
      <c r="D88" s="30">
        <v>378</v>
      </c>
      <c r="E88" s="30">
        <v>375</v>
      </c>
      <c r="F88" s="30">
        <v>378</v>
      </c>
      <c r="G88" s="7">
        <f t="shared" si="10"/>
        <v>-0.66401062416998669</v>
      </c>
      <c r="H88" s="5" t="s">
        <v>118</v>
      </c>
      <c r="I88" s="6"/>
      <c r="J88" s="6"/>
      <c r="K88" s="51"/>
      <c r="L88" s="18"/>
    </row>
    <row r="89" spans="1:12" ht="21.75">
      <c r="A89" s="76" t="s">
        <v>41</v>
      </c>
      <c r="B89" s="6" t="s">
        <v>18</v>
      </c>
      <c r="C89" s="30">
        <v>95</v>
      </c>
      <c r="D89" s="30">
        <v>110</v>
      </c>
      <c r="E89" s="30">
        <v>90</v>
      </c>
      <c r="F89" s="30">
        <v>110</v>
      </c>
      <c r="G89" s="7">
        <f t="shared" si="10"/>
        <v>2.5</v>
      </c>
      <c r="H89" s="5" t="s">
        <v>119</v>
      </c>
      <c r="I89" s="6"/>
      <c r="J89" s="6"/>
      <c r="K89" s="51"/>
      <c r="L89" s="18"/>
    </row>
    <row r="90" spans="1:12" ht="21.75">
      <c r="A90" s="76" t="s">
        <v>42</v>
      </c>
      <c r="B90" s="6" t="s">
        <v>18</v>
      </c>
      <c r="C90" s="30">
        <v>25</v>
      </c>
      <c r="D90" s="30">
        <v>30</v>
      </c>
      <c r="E90" s="30">
        <v>20</v>
      </c>
      <c r="F90" s="30">
        <v>30</v>
      </c>
      <c r="G90" s="7">
        <f t="shared" si="10"/>
        <v>10</v>
      </c>
      <c r="H90" s="5" t="s">
        <v>117</v>
      </c>
      <c r="I90" s="6"/>
      <c r="J90" s="6"/>
      <c r="K90" s="51"/>
      <c r="L90" s="18"/>
    </row>
    <row r="91" spans="1:12" ht="21.75">
      <c r="A91" s="76" t="s">
        <v>46</v>
      </c>
      <c r="B91" s="6" t="s">
        <v>18</v>
      </c>
      <c r="C91" s="30">
        <v>160</v>
      </c>
      <c r="D91" s="30">
        <v>200</v>
      </c>
      <c r="E91" s="30">
        <v>160</v>
      </c>
      <c r="F91" s="30">
        <v>220</v>
      </c>
      <c r="G91" s="7">
        <f t="shared" si="10"/>
        <v>-5.2631578947368416</v>
      </c>
      <c r="H91" s="5" t="s">
        <v>118</v>
      </c>
      <c r="I91" s="6"/>
      <c r="J91" s="6"/>
      <c r="K91" s="51"/>
      <c r="L91" s="18"/>
    </row>
    <row r="92" spans="1:12" ht="21.75">
      <c r="A92" s="76" t="s">
        <v>62</v>
      </c>
      <c r="B92" s="6" t="s">
        <v>18</v>
      </c>
      <c r="C92" s="30">
        <v>160</v>
      </c>
      <c r="D92" s="30">
        <v>175</v>
      </c>
      <c r="E92" s="30">
        <v>155</v>
      </c>
      <c r="F92" s="30">
        <v>170</v>
      </c>
      <c r="G92" s="7">
        <f t="shared" si="10"/>
        <v>3.0769230769230771</v>
      </c>
      <c r="H92" s="5" t="s">
        <v>121</v>
      </c>
      <c r="I92" s="6"/>
      <c r="J92" s="6"/>
      <c r="K92" s="51"/>
      <c r="L92" s="18"/>
    </row>
    <row r="93" spans="1:12" ht="21.75">
      <c r="A93" s="76" t="s">
        <v>73</v>
      </c>
      <c r="B93" s="6" t="s">
        <v>74</v>
      </c>
      <c r="C93" s="38">
        <v>40</v>
      </c>
      <c r="D93" s="38">
        <v>50</v>
      </c>
      <c r="E93" s="38">
        <v>40</v>
      </c>
      <c r="F93" s="38">
        <v>46</v>
      </c>
      <c r="G93" s="7">
        <f t="shared" si="10"/>
        <v>4.6511627906976747</v>
      </c>
      <c r="H93" s="5" t="s">
        <v>116</v>
      </c>
      <c r="I93" s="6"/>
      <c r="J93" s="6"/>
      <c r="K93" s="51"/>
      <c r="L93" s="18"/>
    </row>
    <row r="94" spans="1:12" ht="21.75">
      <c r="A94" s="79"/>
      <c r="B94" s="3"/>
      <c r="C94" s="90"/>
      <c r="D94" s="90"/>
      <c r="E94" s="90"/>
      <c r="F94" s="90"/>
      <c r="G94" s="10"/>
      <c r="H94" s="1"/>
      <c r="I94" s="3"/>
      <c r="J94" s="3"/>
      <c r="K94" s="51"/>
      <c r="L94" s="18"/>
    </row>
    <row r="95" spans="1:12" ht="21.75">
      <c r="A95" s="79"/>
      <c r="B95" s="3"/>
      <c r="C95" s="90"/>
      <c r="D95" s="90"/>
      <c r="E95" s="90"/>
      <c r="F95" s="90"/>
      <c r="G95" s="10"/>
      <c r="H95" s="1"/>
      <c r="I95" s="3"/>
      <c r="J95" s="3"/>
      <c r="K95" s="51"/>
      <c r="L95" s="18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3"/>
      <c r="C97" s="9"/>
      <c r="D97" s="9"/>
      <c r="E97" s="9"/>
      <c r="F97" s="9"/>
      <c r="G97" s="10"/>
      <c r="H97" s="1"/>
      <c r="I97" s="3"/>
      <c r="J97" s="3"/>
      <c r="K97" s="12"/>
      <c r="L97" s="12"/>
    </row>
    <row r="98" spans="1:12" ht="24.75">
      <c r="A98" s="1"/>
      <c r="B98" s="14"/>
      <c r="C98" s="15"/>
      <c r="D98" s="15"/>
      <c r="E98" s="14"/>
      <c r="F98" s="15"/>
      <c r="G98" s="39"/>
      <c r="H98" s="40"/>
      <c r="I98" s="41"/>
      <c r="J98" s="41"/>
      <c r="K98" s="41"/>
      <c r="L98" s="12"/>
    </row>
    <row r="99" spans="1:12" ht="24.75">
      <c r="A99" s="1"/>
      <c r="B99" s="42"/>
      <c r="C99" s="43" t="s">
        <v>129</v>
      </c>
      <c r="D99" s="11"/>
      <c r="E99" s="42"/>
      <c r="F99" s="14"/>
      <c r="G99" s="11"/>
      <c r="H99" s="40"/>
      <c r="I99" s="13"/>
      <c r="J99" s="14" t="s">
        <v>126</v>
      </c>
      <c r="K99" s="11"/>
      <c r="L99" s="11"/>
    </row>
    <row r="100" spans="1:12" ht="24.75">
      <c r="A100" s="1"/>
      <c r="B100" s="44"/>
      <c r="C100" s="43" t="s">
        <v>130</v>
      </c>
      <c r="D100" s="14"/>
      <c r="E100" s="42"/>
      <c r="F100" s="45"/>
      <c r="G100" s="47"/>
      <c r="H100" s="47"/>
      <c r="I100" s="86"/>
      <c r="J100" s="14" t="s">
        <v>127</v>
      </c>
      <c r="K100" s="14"/>
      <c r="L100" s="14"/>
    </row>
    <row r="101" spans="1:12" ht="24.75">
      <c r="A101" s="1"/>
      <c r="B101" s="14"/>
      <c r="C101" s="15"/>
      <c r="D101" s="14"/>
      <c r="E101" s="15"/>
      <c r="F101" s="45"/>
      <c r="G101" s="47"/>
      <c r="H101" s="47"/>
      <c r="I101" s="46"/>
      <c r="J101" s="11"/>
      <c r="K101" s="11"/>
      <c r="L101" s="2"/>
    </row>
    <row r="102" spans="1:12" ht="19.5">
      <c r="A102" s="56" t="s">
        <v>95</v>
      </c>
      <c r="B102" s="54"/>
      <c r="C102" s="52"/>
      <c r="D102" s="54"/>
      <c r="E102" s="52"/>
      <c r="F102" s="52"/>
      <c r="G102" s="52"/>
      <c r="H102" s="53"/>
      <c r="I102" s="58"/>
      <c r="J102" s="2"/>
      <c r="K102" s="2"/>
      <c r="L102" s="2"/>
    </row>
    <row r="103" spans="1:12" ht="19.5">
      <c r="A103" s="55" t="s">
        <v>101</v>
      </c>
      <c r="B103" s="54"/>
      <c r="C103" s="52"/>
      <c r="D103" s="54"/>
      <c r="E103" s="52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100</v>
      </c>
      <c r="B104" s="54"/>
      <c r="C104" s="54"/>
      <c r="D104" s="54"/>
      <c r="E104" s="54"/>
      <c r="F104" s="52"/>
      <c r="G104" s="54"/>
      <c r="H104" s="53"/>
      <c r="I104" s="58"/>
      <c r="J104" s="2"/>
      <c r="K104" s="2"/>
      <c r="L104" s="2"/>
    </row>
    <row r="105" spans="1:12" ht="19.5">
      <c r="A105" s="55" t="s">
        <v>85</v>
      </c>
      <c r="B105" s="54"/>
      <c r="C105" s="54"/>
      <c r="D105" s="54"/>
      <c r="E105" s="54"/>
      <c r="F105" s="53"/>
      <c r="G105" s="53"/>
      <c r="H105" s="53"/>
      <c r="I105" s="58"/>
      <c r="J105" s="2"/>
      <c r="K105" s="2"/>
      <c r="L105" s="2"/>
    </row>
    <row r="106" spans="1:12" ht="19.5">
      <c r="A106" s="55" t="s">
        <v>99</v>
      </c>
      <c r="B106" s="54"/>
      <c r="C106" s="54"/>
      <c r="D106" s="54"/>
      <c r="E106" s="54"/>
      <c r="F106" s="54"/>
      <c r="G106" s="53"/>
      <c r="H106" s="53"/>
      <c r="I106" s="58"/>
      <c r="J106" s="2"/>
      <c r="K106" s="2"/>
      <c r="L106" s="2"/>
    </row>
    <row r="107" spans="1:12" ht="19.5">
      <c r="A107" s="55" t="s">
        <v>98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109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97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96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86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103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102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104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105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87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/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6" t="s">
        <v>88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89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90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91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">
      <c r="A122" s="60"/>
      <c r="B122" s="58"/>
      <c r="C122" s="58"/>
      <c r="D122" s="58"/>
      <c r="E122" s="58"/>
      <c r="F122" s="58"/>
      <c r="G122" s="58"/>
      <c r="H122" s="61"/>
      <c r="I122" s="59"/>
      <c r="J122" s="12"/>
      <c r="K122" s="12"/>
      <c r="L122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2025-05-14T08:39:10Z</cp:lastPrinted>
  <dcterms:created xsi:type="dcterms:W3CDTF">2021-06-05T07:13:00Z</dcterms:created>
  <dcterms:modified xsi:type="dcterms:W3CDTF">2025-08-17T05:23:32Z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