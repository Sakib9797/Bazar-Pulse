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13_ncr:1_{C37D835A-90E0-453F-AE8F-97B5B280C62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8" i="4" l="1"/>
  <c r="G83" i="4"/>
  <c r="G84" i="4"/>
  <c r="G85" i="4"/>
  <c r="G86" i="4"/>
  <c r="G87" i="4"/>
  <c r="G90" i="4"/>
  <c r="G89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<sst xmlns="http://schemas.openxmlformats.org/spreadsheetml/2006/main" count="235" uniqueCount="132">
  <si>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</si>
  <si>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</si>
  <si>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</si>
  <si>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</si>
  <si>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</si>
  <si>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</si>
  <si>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</si>
  <si>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</si>
  <si>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</si>
  <si>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</si>
  <si>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</si>
  <si>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</si>
  <si>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</si>
  <si>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</si>
  <si>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</si>
  <si>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</si>
  <si>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</si>
  <si>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</si>
  <si>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</si>
  <si>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</si>
  <si>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</si>
  <si>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</si>
  <si>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</si>
  <si>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</si>
  <si>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</si>
  <si>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</si>
  <si>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</si>
  <si>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</si>
  <si>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</si>
  <si>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</si>
  <si>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</si>
  <si>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</si>
  <si>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</si>
  <si>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</si>
  <si>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</si>
  <si>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</si>
  <si>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</si>
  <si>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</si>
  <si>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</si>
  <si>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</si>
  <si>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</si>
  <si>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</si>
  <si>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</si>
  <si>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</si>
  <si>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</si>
  <si>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</si>
  <si>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</si>
  <si>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</si>
  <si>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</si>
  <si>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</si>
  <si>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</si>
  <si>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</si>
  <si>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</si>
  <si>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</si>
  <si>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</si>
  <si>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</si>
  <si>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</si>
  <si>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</si>
  <si>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</si>
  <si>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</si>
  <si>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</si>
  <si>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</si>
  <si>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</si>
  <si>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</si>
  <si>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</si>
  <si>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</si>
  <si>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</si>
  <si>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</si>
  <si>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</si>
  <si>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</si>
  <si>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</si>
  <si>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</si>
  <si>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</si>
  <si>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</si>
  <si>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</si>
  <si>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</si>
  <si>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</si>
  <si>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</si>
  <si>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</si>
  <si>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</si>
  <si>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</si>
  <si>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</si>
  <si>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</si>
  <si>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</si>
  <si>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</si>
  <si>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</si>
  <si>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</si>
  <si>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</si>
  <si>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</si>
  <si>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</si>
  <si>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</si>
  <si>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</si>
  <si>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</si>
  <si>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</si>
  <si>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</si>
  <si>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</si>
  <si>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</si>
  <si>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</si>
  <si>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</si>
  <si>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</si>
  <si>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</si>
  <si>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</si>
  <si>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</si>
  <si>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</si>
  <si>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</si>
  <si>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</si>
  <si>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</si>
  <si>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</si>
  <si>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</si>
  <si>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</si>
  <si>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</si>
  <si>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</si>
  <si>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</si>
  <si>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</si>
  <si>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</si>
  <si>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(মো:হুমায়ুন কবির)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</si>
  <si>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</si>
  <si>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</si>
  <si>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</si>
  <si>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১৪-১০-২০২৫ তারিখে মূল্য বৃদ্ধি পেয়েছে।</t>
  </si>
  <si>
    <t>১৪-১০-২০২৫ তারিখে মূল্য  বৃদ্ধি পেয়েছে।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</si>
  <si>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</si>
  <si>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১৬-১০-২০২৫ তারিখে মূল্য বৃদ্ধি পেয়েছে।</t>
  </si>
  <si>
    <t>১৬-১০-২০২৫ তারিখে মূল্য হ্রাস পেয়েছে।</t>
  </si>
  <si>
    <t>১৭-১০-২০২৫ তারিখে মূল্য হ্রাস পেয়েছে।</t>
  </si>
  <si>
    <t>স্মারক নং-২৬.০৫.০০০০.০১৭.৩১.০১.২৫-৭৪১</t>
  </si>
  <si>
    <t xml:space="preserve">রবিবার ১৯ অক্টোবর ২০২৫ খ্রিঃ, ০৩ কার্তিক ১৪৩২ বাংলা, ২৪ রবিউল সানি ১৪৪৭ হিজরি </t>
  </si>
  <si>
    <t xml:space="preserve">   সিরিয়াল নংঃ     ২৫৯</t>
  </si>
  <si>
    <t>১৯-১০-২০২৫ তারিখে মূল্য বৃদ্ধি পেয়েছে।</t>
  </si>
  <si>
    <t>১৯-১০-২০২৫ তারিখে মূল্য হ্রাস পেয়েছে।</t>
  </si>
  <si>
    <t>(১)     সয়াবিন তেল (লুজ, ১লি:,২লি:,৫লি: বোতল), পাম অয়েল (লুজ), পেঁয়াজ (দেশী)    এর মূল্য বৃদ্ধি পেয়েছে।</t>
  </si>
  <si>
    <t>(২ )    সুপার পাম অয়েল লুজ, আদা (আম), চিনি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</si>
</sst>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7"/>
  <sheetViews>
    <sheetView tabSelected="1" topLeftCell="A77" zoomScale="98" zoomScaleNormal="98" workbookViewId="0">
      <selection activeCell="A90" sqref="A90:F90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3" t="s">
        <v>127</v>
      </c>
      <c r="L4" s="84"/>
    </row>
    <row r="5" spans="1:12" ht="19.5" customHeight="1">
      <c r="A5" s="17"/>
      <c r="B5" s="8"/>
      <c r="C5" s="8"/>
      <c r="D5" s="17"/>
      <c r="E5" s="8"/>
      <c r="F5" s="8" t="s">
        <v>126</v>
      </c>
      <c r="G5" s="8"/>
      <c r="H5" s="8"/>
      <c r="I5" s="8"/>
      <c r="J5" s="8"/>
      <c r="K5" s="8"/>
      <c r="L5" s="49"/>
    </row>
    <row r="6" spans="1:12" ht="21.75">
      <c r="A6" s="20" t="s">
        <v>125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45949</v>
      </c>
    </row>
    <row r="7" spans="1:12" ht="21.75">
      <c r="A7" s="25" t="s">
        <v>4</v>
      </c>
      <c r="B7" s="26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6" t="s">
        <v>9</v>
      </c>
      <c r="J7" s="83" t="s">
        <v>10</v>
      </c>
      <c r="K7" s="84"/>
      <c r="L7" s="27" t="s">
        <v>11</v>
      </c>
    </row>
    <row r="8" spans="1:12" ht="21.75">
      <c r="A8" s="25"/>
      <c r="B8" s="26"/>
      <c r="C8" s="85">
        <v>45949</v>
      </c>
      <c r="D8" s="84"/>
      <c r="E8" s="85">
        <v>45942</v>
      </c>
      <c r="F8" s="84"/>
      <c r="G8" s="85">
        <v>45919</v>
      </c>
      <c r="H8" s="84"/>
      <c r="I8" s="26" t="s">
        <v>12</v>
      </c>
      <c r="J8" s="85">
        <v>45584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75</v>
      </c>
      <c r="H10" s="29">
        <v>85</v>
      </c>
      <c r="I10" s="30">
        <f>((C10+D10)/2-(G10+H10)/2)/((G10+H10)/2)*100</f>
        <v>-1.875</v>
      </c>
      <c r="J10" s="29">
        <v>64</v>
      </c>
      <c r="K10" s="29">
        <v>80</v>
      </c>
      <c r="L10" s="31">
        <f>((C10+D10)/2-(J10+K10)/2)/((J10+K10)/2)*100</f>
        <v>9.0277777777777768</v>
      </c>
    </row>
    <row r="11" spans="1:12" ht="21.75">
      <c r="A11" s="69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70</v>
      </c>
      <c r="I11" s="30">
        <f>((C11+D11)/2-(G11+H11)/2)/((G11+H11)/2)*100</f>
        <v>0</v>
      </c>
      <c r="J11" s="29">
        <v>55</v>
      </c>
      <c r="K11" s="29">
        <v>60</v>
      </c>
      <c r="L11" s="31">
        <f>((C11+D11)/2-(J11+K11)/2)/((J11+K11)/2)*100</f>
        <v>13.043478260869565</v>
      </c>
    </row>
    <row r="12" spans="1:12" ht="21.75">
      <c r="A12" s="69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9.5238095238095237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52</v>
      </c>
      <c r="E14" s="29">
        <v>48</v>
      </c>
      <c r="F14" s="29">
        <v>52</v>
      </c>
      <c r="G14" s="29">
        <v>45</v>
      </c>
      <c r="H14" s="29">
        <v>52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14.117647058823529</v>
      </c>
    </row>
    <row r="15" spans="1:12" ht="21.75">
      <c r="A15" s="69" t="s">
        <v>22</v>
      </c>
      <c r="B15" s="6" t="s">
        <v>23</v>
      </c>
      <c r="C15" s="29">
        <v>55</v>
      </c>
      <c r="D15" s="29">
        <v>65</v>
      </c>
      <c r="E15" s="29">
        <v>58</v>
      </c>
      <c r="F15" s="29">
        <v>65</v>
      </c>
      <c r="G15" s="29">
        <v>55</v>
      </c>
      <c r="H15" s="29">
        <v>65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14.285714285714285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60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180</v>
      </c>
      <c r="E19" s="29">
        <v>172</v>
      </c>
      <c r="F19" s="29">
        <v>178</v>
      </c>
      <c r="G19" s="29">
        <v>170</v>
      </c>
      <c r="H19" s="29">
        <v>175</v>
      </c>
      <c r="I19" s="30">
        <f t="shared" ref="I19:I25" si="0">((C19+D19)/2-(G19+H19)/2)/((G19+H19)/2)*100</f>
        <v>2.0289855072463765</v>
      </c>
      <c r="J19" s="29">
        <v>152</v>
      </c>
      <c r="K19" s="29">
        <v>156</v>
      </c>
      <c r="L19" s="31">
        <f t="shared" ref="L19:L25" si="1">((C19+D19)/2-(J19+K19)/2)/((J19+K19)/2)*100</f>
        <v>14.285714285714285</v>
      </c>
    </row>
    <row r="20" spans="1:12" ht="21.75">
      <c r="A20" s="69" t="s">
        <v>29</v>
      </c>
      <c r="B20" s="6" t="s">
        <v>30</v>
      </c>
      <c r="C20" s="29">
        <v>900</v>
      </c>
      <c r="D20" s="29">
        <v>930</v>
      </c>
      <c r="E20" s="29">
        <v>890</v>
      </c>
      <c r="F20" s="29">
        <v>920</v>
      </c>
      <c r="G20" s="29">
        <v>890</v>
      </c>
      <c r="H20" s="29">
        <v>920</v>
      </c>
      <c r="I20" s="30">
        <f t="shared" si="0"/>
        <v>1.1049723756906076</v>
      </c>
      <c r="J20" s="29">
        <v>800</v>
      </c>
      <c r="K20" s="29">
        <v>810</v>
      </c>
      <c r="L20" s="31">
        <f t="shared" si="1"/>
        <v>13.664596273291925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380</v>
      </c>
      <c r="G21" s="29">
        <v>375</v>
      </c>
      <c r="H21" s="29">
        <v>378</v>
      </c>
      <c r="I21" s="30">
        <f t="shared" si="0"/>
        <v>0.92961487383798147</v>
      </c>
      <c r="J21" s="29">
        <v>330</v>
      </c>
      <c r="K21" s="29">
        <v>335</v>
      </c>
      <c r="L21" s="31">
        <f t="shared" si="1"/>
        <v>14.285714285714285</v>
      </c>
    </row>
    <row r="22" spans="1:12" ht="21.75">
      <c r="A22" s="69" t="s">
        <v>29</v>
      </c>
      <c r="B22" s="6" t="s">
        <v>32</v>
      </c>
      <c r="C22" s="29">
        <v>188</v>
      </c>
      <c r="D22" s="29">
        <v>195</v>
      </c>
      <c r="E22" s="29">
        <v>189</v>
      </c>
      <c r="F22" s="29">
        <v>190</v>
      </c>
      <c r="G22" s="29">
        <v>188</v>
      </c>
      <c r="H22" s="29">
        <v>190</v>
      </c>
      <c r="I22" s="30">
        <f t="shared" si="0"/>
        <v>1.3227513227513228</v>
      </c>
      <c r="J22" s="29">
        <v>165</v>
      </c>
      <c r="K22" s="29">
        <v>170</v>
      </c>
      <c r="L22" s="31">
        <f t="shared" si="1"/>
        <v>14.328358208955224</v>
      </c>
    </row>
    <row r="23" spans="1:12" ht="21.75">
      <c r="A23" s="69" t="s">
        <v>33</v>
      </c>
      <c r="B23" s="6" t="s">
        <v>28</v>
      </c>
      <c r="C23" s="29">
        <v>153</v>
      </c>
      <c r="D23" s="29">
        <v>162</v>
      </c>
      <c r="E23" s="29">
        <v>155</v>
      </c>
      <c r="F23" s="29">
        <v>160</v>
      </c>
      <c r="G23" s="29">
        <v>153</v>
      </c>
      <c r="H23" s="29">
        <v>160</v>
      </c>
      <c r="I23" s="30">
        <f t="shared" si="0"/>
        <v>0.63897763578274758</v>
      </c>
      <c r="J23" s="29">
        <v>145</v>
      </c>
      <c r="K23" s="29">
        <v>146</v>
      </c>
      <c r="L23" s="31">
        <f t="shared" si="1"/>
        <v>8.2474226804123703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168</v>
      </c>
      <c r="E24" s="29">
        <v>158</v>
      </c>
      <c r="F24" s="29">
        <v>166</v>
      </c>
      <c r="G24" s="29">
        <v>155</v>
      </c>
      <c r="H24" s="29">
        <v>165</v>
      </c>
      <c r="I24" s="30">
        <f t="shared" si="0"/>
        <v>0.9375</v>
      </c>
      <c r="J24" s="29">
        <v>147</v>
      </c>
      <c r="K24" s="29">
        <v>151</v>
      </c>
      <c r="L24" s="31">
        <f t="shared" si="1"/>
        <v>8.3892617449664435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920</v>
      </c>
      <c r="L25" s="31">
        <f t="shared" si="1"/>
        <v>17.222222222222221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100</v>
      </c>
      <c r="K27" s="29">
        <v>105</v>
      </c>
      <c r="L27" s="31">
        <f t="shared" ref="L27:L33" si="3">((C27+D27)/2-(J27+K27)/2)/((J27+K27)/2)*100</f>
        <v>0</v>
      </c>
    </row>
    <row r="28" spans="1:12" ht="21.75">
      <c r="A28" s="69" t="s">
        <v>110</v>
      </c>
      <c r="B28" s="6" t="s">
        <v>18</v>
      </c>
      <c r="C28" s="29">
        <v>120</v>
      </c>
      <c r="D28" s="29">
        <v>140</v>
      </c>
      <c r="E28" s="29">
        <v>125</v>
      </c>
      <c r="F28" s="29">
        <v>140</v>
      </c>
      <c r="G28" s="29">
        <v>110</v>
      </c>
      <c r="H28" s="29">
        <v>140</v>
      </c>
      <c r="I28" s="30">
        <f t="shared" si="2"/>
        <v>4</v>
      </c>
      <c r="J28" s="29">
        <v>110</v>
      </c>
      <c r="K28" s="29">
        <v>115</v>
      </c>
      <c r="L28" s="31">
        <f t="shared" si="3"/>
        <v>15.555555555555555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.75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85</v>
      </c>
      <c r="L31" s="31">
        <f t="shared" si="3"/>
        <v>-12.5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115</v>
      </c>
      <c r="I32" s="30">
        <f t="shared" si="2"/>
        <v>-2.3255813953488373</v>
      </c>
      <c r="J32" s="29">
        <v>125</v>
      </c>
      <c r="K32" s="29">
        <v>135</v>
      </c>
      <c r="L32" s="31">
        <f t="shared" si="3"/>
        <v>-19.230769230769234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55</v>
      </c>
      <c r="K33" s="29">
        <v>60</v>
      </c>
      <c r="L33" s="31">
        <f t="shared" si="3"/>
        <v>-60.869565217391312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70</v>
      </c>
      <c r="D35" s="29">
        <v>85</v>
      </c>
      <c r="E35" s="29">
        <v>70</v>
      </c>
      <c r="F35" s="29">
        <v>80</v>
      </c>
      <c r="G35" s="29">
        <v>70</v>
      </c>
      <c r="H35" s="29">
        <v>80</v>
      </c>
      <c r="I35" s="30">
        <f t="shared" ref="I35:I50" si="4">((C35+D35)/2-(G35+H35)/2)/((G35+H35)/2)*100</f>
        <v>3.3333333333333335</v>
      </c>
      <c r="J35" s="29">
        <v>110</v>
      </c>
      <c r="K35" s="29">
        <v>120</v>
      </c>
      <c r="L35" s="31">
        <f t="shared" ref="L35:L50" si="5">((C35+D35)/2-(J35+K35)/2)/((J35+K35)/2)*100</f>
        <v>-32.608695652173914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90</v>
      </c>
      <c r="K36" s="29">
        <v>105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220</v>
      </c>
      <c r="K37" s="29">
        <v>240</v>
      </c>
      <c r="L37" s="31">
        <f t="shared" si="5"/>
        <v>-47.826086956521742</v>
      </c>
    </row>
    <row r="38" spans="1:12" ht="21.75">
      <c r="A38" s="69" t="s">
        <v>46</v>
      </c>
      <c r="B38" s="6" t="s">
        <v>18</v>
      </c>
      <c r="C38" s="29">
        <v>130</v>
      </c>
      <c r="D38" s="29">
        <v>200</v>
      </c>
      <c r="E38" s="29">
        <v>130</v>
      </c>
      <c r="F38" s="29">
        <v>190</v>
      </c>
      <c r="G38" s="29">
        <v>130</v>
      </c>
      <c r="H38" s="29">
        <v>200</v>
      </c>
      <c r="I38" s="30">
        <f t="shared" si="4"/>
        <v>0</v>
      </c>
      <c r="J38" s="29">
        <v>200</v>
      </c>
      <c r="K38" s="29">
        <v>220</v>
      </c>
      <c r="L38" s="31">
        <f t="shared" si="5"/>
        <v>-21.428571428571427</v>
      </c>
    </row>
    <row r="39" spans="1:12" ht="21.75">
      <c r="A39" s="69" t="s">
        <v>47</v>
      </c>
      <c r="B39" s="6" t="s">
        <v>18</v>
      </c>
      <c r="C39" s="29">
        <v>200</v>
      </c>
      <c r="D39" s="29">
        <v>350</v>
      </c>
      <c r="E39" s="29">
        <v>200</v>
      </c>
      <c r="F39" s="29">
        <v>350</v>
      </c>
      <c r="G39" s="29">
        <v>220</v>
      </c>
      <c r="H39" s="29">
        <v>350</v>
      </c>
      <c r="I39" s="30">
        <f t="shared" si="4"/>
        <v>-3.5087719298245612</v>
      </c>
      <c r="J39" s="29">
        <v>280</v>
      </c>
      <c r="K39" s="29">
        <v>350</v>
      </c>
      <c r="L39" s="31">
        <f t="shared" si="5"/>
        <v>-12.698412698412698</v>
      </c>
    </row>
    <row r="40" spans="1:12" ht="21.75">
      <c r="A40" s="69" t="s">
        <v>48</v>
      </c>
      <c r="B40" s="6" t="s">
        <v>18</v>
      </c>
      <c r="C40" s="29">
        <v>300</v>
      </c>
      <c r="D40" s="29">
        <v>400</v>
      </c>
      <c r="E40" s="29">
        <v>300</v>
      </c>
      <c r="F40" s="29">
        <v>400</v>
      </c>
      <c r="G40" s="29">
        <v>320</v>
      </c>
      <c r="H40" s="29">
        <v>430</v>
      </c>
      <c r="I40" s="30">
        <f t="shared" si="4"/>
        <v>-6.666666666666667</v>
      </c>
      <c r="J40" s="29">
        <v>350</v>
      </c>
      <c r="K40" s="29">
        <v>450</v>
      </c>
      <c r="L40" s="31">
        <f t="shared" si="5"/>
        <v>-12.5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420</v>
      </c>
      <c r="L41" s="31">
        <f t="shared" si="5"/>
        <v>-9.0909090909090917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300</v>
      </c>
      <c r="K42" s="29">
        <v>350</v>
      </c>
      <c r="L42" s="31">
        <f t="shared" si="5"/>
        <v>10.76923076923077</v>
      </c>
    </row>
    <row r="43" spans="1:12" ht="21.75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.75">
      <c r="A44" s="69" t="s">
        <v>52</v>
      </c>
      <c r="B44" s="6" t="s">
        <v>18</v>
      </c>
      <c r="C44" s="29">
        <v>130</v>
      </c>
      <c r="D44" s="29">
        <v>250</v>
      </c>
      <c r="E44" s="29">
        <v>140</v>
      </c>
      <c r="F44" s="29">
        <v>250</v>
      </c>
      <c r="G44" s="29">
        <v>130</v>
      </c>
      <c r="H44" s="29">
        <v>220</v>
      </c>
      <c r="I44" s="30">
        <f t="shared" si="4"/>
        <v>8.5714285714285712</v>
      </c>
      <c r="J44" s="29">
        <v>180</v>
      </c>
      <c r="K44" s="29">
        <v>280</v>
      </c>
      <c r="L44" s="31">
        <f t="shared" si="5"/>
        <v>-17.391304347826086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750</v>
      </c>
      <c r="L45" s="31">
        <f t="shared" si="5"/>
        <v>-5.5944055944055942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500</v>
      </c>
      <c r="H46" s="29">
        <v>600</v>
      </c>
      <c r="I46" s="30">
        <f t="shared" si="4"/>
        <v>-1.8181818181818181</v>
      </c>
      <c r="J46" s="29">
        <v>480</v>
      </c>
      <c r="K46" s="29">
        <v>550</v>
      </c>
      <c r="L46" s="31">
        <f t="shared" si="5"/>
        <v>4.8543689320388346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3200</v>
      </c>
      <c r="K48" s="29">
        <v>3800</v>
      </c>
      <c r="L48" s="31">
        <f t="shared" si="5"/>
        <v>47.142857142857139</v>
      </c>
    </row>
    <row r="49" spans="1:12" ht="21.75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220</v>
      </c>
      <c r="H49" s="29">
        <v>280</v>
      </c>
      <c r="I49" s="30">
        <f t="shared" si="4"/>
        <v>-4</v>
      </c>
      <c r="J49" s="29">
        <v>200</v>
      </c>
      <c r="K49" s="29">
        <v>260</v>
      </c>
      <c r="L49" s="31">
        <f t="shared" si="5"/>
        <v>4.3478260869565215</v>
      </c>
    </row>
    <row r="50" spans="1:12" ht="21.75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200</v>
      </c>
      <c r="H50" s="29">
        <v>225</v>
      </c>
      <c r="I50" s="30">
        <f t="shared" si="4"/>
        <v>0</v>
      </c>
      <c r="J50" s="29">
        <v>120</v>
      </c>
      <c r="K50" s="29">
        <v>210</v>
      </c>
      <c r="L50" s="31">
        <f t="shared" si="5"/>
        <v>28.787878787878789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280</v>
      </c>
      <c r="K52" s="29">
        <v>450</v>
      </c>
      <c r="L52" s="31">
        <f t="shared" ref="L52:L57" si="7">((C52+D52)/2-(J52+K52)/2)/((J52+K52)/2)*100</f>
        <v>2.7397260273972601</v>
      </c>
    </row>
    <row r="53" spans="1:12" ht="21.75">
      <c r="A53" s="69" t="s">
        <v>61</v>
      </c>
      <c r="B53" s="6" t="s">
        <v>18</v>
      </c>
      <c r="C53" s="29">
        <v>0</v>
      </c>
      <c r="D53" s="29">
        <v>0</v>
      </c>
      <c r="E53" s="29">
        <v>0</v>
      </c>
      <c r="F53" s="29">
        <v>0</v>
      </c>
      <c r="G53" s="29">
        <v>900</v>
      </c>
      <c r="H53" s="29">
        <v>2200</v>
      </c>
      <c r="I53" s="30">
        <f t="shared" si="6"/>
        <v>-100</v>
      </c>
      <c r="J53" s="29">
        <v>0</v>
      </c>
      <c r="K53" s="29">
        <v>0</v>
      </c>
      <c r="L53" s="31" t="e">
        <f t="shared" si="7"/>
        <v>#DIV/0!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700</v>
      </c>
      <c r="K54" s="29">
        <v>800</v>
      </c>
      <c r="L54" s="31">
        <f t="shared" si="7"/>
        <v>3.3333333333333335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1250</v>
      </c>
      <c r="I55" s="30">
        <f t="shared" si="6"/>
        <v>-2.2222222222222223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170</v>
      </c>
      <c r="D56" s="29">
        <v>185</v>
      </c>
      <c r="E56" s="29">
        <v>170</v>
      </c>
      <c r="F56" s="29">
        <v>185</v>
      </c>
      <c r="G56" s="29">
        <v>170</v>
      </c>
      <c r="H56" s="29">
        <v>185</v>
      </c>
      <c r="I56" s="30">
        <f t="shared" si="6"/>
        <v>0</v>
      </c>
      <c r="J56" s="29">
        <v>195</v>
      </c>
      <c r="K56" s="29">
        <v>210</v>
      </c>
      <c r="L56" s="31">
        <f t="shared" si="7"/>
        <v>-12.345679012345679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700</v>
      </c>
      <c r="I57" s="30">
        <f t="shared" si="6"/>
        <v>-4</v>
      </c>
      <c r="J57" s="29">
        <v>480</v>
      </c>
      <c r="K57" s="29">
        <v>580</v>
      </c>
      <c r="L57" s="31">
        <f t="shared" si="7"/>
        <v>13.20754716981132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840</v>
      </c>
      <c r="H60" s="29">
        <v>920</v>
      </c>
      <c r="I60" s="30">
        <f>((C60+D60)/2-(G60+H60)/2)/((G60+H60)/2)*100</f>
        <v>0.56818181818181823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6" t="s">
        <v>9</v>
      </c>
      <c r="J66" s="83" t="s">
        <v>10</v>
      </c>
      <c r="K66" s="84"/>
      <c r="L66" s="26" t="s">
        <v>11</v>
      </c>
    </row>
    <row r="67" spans="1:12" ht="18" customHeight="1">
      <c r="A67" s="73"/>
      <c r="B67" s="64"/>
      <c r="C67" s="85">
        <v>45949</v>
      </c>
      <c r="D67" s="84"/>
      <c r="E67" s="85">
        <v>45942</v>
      </c>
      <c r="F67" s="84"/>
      <c r="G67" s="85">
        <v>45919</v>
      </c>
      <c r="H67" s="84"/>
      <c r="I67" s="26" t="s">
        <v>12</v>
      </c>
      <c r="J67" s="85">
        <v>45584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100</v>
      </c>
      <c r="D69" s="29">
        <v>110</v>
      </c>
      <c r="E69" s="29">
        <v>105</v>
      </c>
      <c r="F69" s="29">
        <v>110</v>
      </c>
      <c r="G69" s="29">
        <v>105</v>
      </c>
      <c r="H69" s="29">
        <v>115</v>
      </c>
      <c r="I69" s="30">
        <f>((C69+D69)/2-(G69+H69)/2)/((G69+H69)/2)*100</f>
        <v>-4.5454545454545459</v>
      </c>
      <c r="J69" s="29">
        <v>128</v>
      </c>
      <c r="K69" s="29">
        <v>135</v>
      </c>
      <c r="L69" s="31">
        <f t="shared" ref="L69:L75" si="8">((C69+D69)/2-(J69+K69)/2)/((J69+K69)/2)*100</f>
        <v>-20.15209125475285</v>
      </c>
    </row>
    <row r="70" spans="1:12" ht="21.75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450</v>
      </c>
      <c r="L70" s="31">
        <f t="shared" si="8"/>
        <v>10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45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0</v>
      </c>
      <c r="J72" s="37">
        <v>48</v>
      </c>
      <c r="K72" s="37">
        <v>53</v>
      </c>
      <c r="L72" s="31">
        <f t="shared" si="8"/>
        <v>-5.9405940594059405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83500</v>
      </c>
      <c r="D74" s="29">
        <v>86000</v>
      </c>
      <c r="E74" s="29">
        <v>83500</v>
      </c>
      <c r="F74" s="29">
        <v>86000</v>
      </c>
      <c r="G74" s="29">
        <v>83500</v>
      </c>
      <c r="H74" s="29">
        <v>86000</v>
      </c>
      <c r="I74" s="30">
        <f t="shared" si="9"/>
        <v>0</v>
      </c>
      <c r="J74" s="29">
        <v>86500</v>
      </c>
      <c r="K74" s="29">
        <v>93000</v>
      </c>
      <c r="L74" s="31">
        <f t="shared" si="8"/>
        <v>-5.5710306406685239</v>
      </c>
    </row>
    <row r="75" spans="1:12" ht="21.75">
      <c r="A75" s="69" t="s">
        <v>79</v>
      </c>
      <c r="B75" s="6" t="s">
        <v>78</v>
      </c>
      <c r="C75" s="29">
        <v>76000</v>
      </c>
      <c r="D75" s="37">
        <v>79000</v>
      </c>
      <c r="E75" s="29">
        <v>76000</v>
      </c>
      <c r="F75" s="37">
        <v>79000</v>
      </c>
      <c r="G75" s="29">
        <v>75000</v>
      </c>
      <c r="H75" s="37">
        <v>79000</v>
      </c>
      <c r="I75" s="30">
        <f t="shared" si="9"/>
        <v>0.64935064935064934</v>
      </c>
      <c r="J75" s="29">
        <v>82500</v>
      </c>
      <c r="K75" s="37">
        <v>85000</v>
      </c>
      <c r="L75" s="31">
        <f t="shared" si="8"/>
        <v>-7.4626865671641784</v>
      </c>
    </row>
    <row r="76" spans="1:12" ht="36" customHeight="1">
      <c r="A76" s="86" t="s">
        <v>121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130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131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.75">
      <c r="A83" s="5" t="s">
        <v>27</v>
      </c>
      <c r="B83" s="6" t="s">
        <v>28</v>
      </c>
      <c r="C83" s="29">
        <v>172</v>
      </c>
      <c r="D83" s="29">
        <v>180</v>
      </c>
      <c r="E83" s="29">
        <v>172</v>
      </c>
      <c r="F83" s="29">
        <v>178</v>
      </c>
      <c r="G83" s="7">
        <f t="shared" ref="G83:G86" si="10">((C83+D83)/2-(E83+F83)/2)/((E83+F83)/2)*100</f>
        <v>0.5714285714285714</v>
      </c>
      <c r="H83" s="5" t="s">
        <v>119</v>
      </c>
      <c r="I83" s="6"/>
      <c r="J83" s="6"/>
      <c r="K83" s="50"/>
      <c r="L83" s="17"/>
    </row>
    <row r="84" spans="1:12" ht="21.75">
      <c r="A84" s="5" t="s">
        <v>29</v>
      </c>
      <c r="B84" s="6" t="s">
        <v>30</v>
      </c>
      <c r="C84" s="29">
        <v>900</v>
      </c>
      <c r="D84" s="29">
        <v>930</v>
      </c>
      <c r="E84" s="29">
        <v>890</v>
      </c>
      <c r="F84" s="29">
        <v>920</v>
      </c>
      <c r="G84" s="7">
        <f t="shared" si="10"/>
        <v>1.1049723756906076</v>
      </c>
      <c r="H84" s="5" t="s">
        <v>122</v>
      </c>
      <c r="I84" s="6"/>
      <c r="J84" s="6"/>
      <c r="K84" s="50"/>
      <c r="L84" s="17"/>
    </row>
    <row r="85" spans="1:12" ht="21.75">
      <c r="A85" s="69" t="s">
        <v>29</v>
      </c>
      <c r="B85" s="6" t="s">
        <v>31</v>
      </c>
      <c r="C85" s="29">
        <v>375</v>
      </c>
      <c r="D85" s="29">
        <v>385</v>
      </c>
      <c r="E85" s="29">
        <v>375</v>
      </c>
      <c r="F85" s="29">
        <v>380</v>
      </c>
      <c r="G85" s="7">
        <f t="shared" si="10"/>
        <v>0.66225165562913912</v>
      </c>
      <c r="H85" s="5" t="s">
        <v>119</v>
      </c>
      <c r="I85" s="6"/>
      <c r="J85" s="6"/>
      <c r="K85" s="50"/>
      <c r="L85" s="17"/>
    </row>
    <row r="86" spans="1:12" ht="21.75">
      <c r="A86" s="69" t="s">
        <v>29</v>
      </c>
      <c r="B86" s="6" t="s">
        <v>32</v>
      </c>
      <c r="C86" s="29">
        <v>188</v>
      </c>
      <c r="D86" s="29">
        <v>195</v>
      </c>
      <c r="E86" s="29">
        <v>189</v>
      </c>
      <c r="F86" s="29">
        <v>190</v>
      </c>
      <c r="G86" s="7">
        <f t="shared" si="10"/>
        <v>1.0554089709762533</v>
      </c>
      <c r="H86" s="5" t="s">
        <v>120</v>
      </c>
      <c r="I86" s="6"/>
      <c r="J86" s="6"/>
      <c r="K86" s="11"/>
      <c r="L86" s="11"/>
    </row>
    <row r="87" spans="1:12" ht="21.75">
      <c r="A87" s="69" t="s">
        <v>106</v>
      </c>
      <c r="B87" s="6" t="s">
        <v>28</v>
      </c>
      <c r="C87" s="29">
        <v>155</v>
      </c>
      <c r="D87" s="29">
        <v>168</v>
      </c>
      <c r="E87" s="29">
        <v>158</v>
      </c>
      <c r="F87" s="29">
        <v>166</v>
      </c>
      <c r="G87" s="7">
        <f t="shared" ref="G87:G90" si="11">((C87+D87)/2-(E87+F87)/2)/((E87+F87)/2)*100</f>
        <v>-0.30864197530864196</v>
      </c>
      <c r="H87" s="5" t="s">
        <v>129</v>
      </c>
      <c r="I87" s="6"/>
      <c r="J87" s="6"/>
      <c r="K87" s="11"/>
      <c r="L87" s="11"/>
    </row>
    <row r="88" spans="1:12" ht="21.75">
      <c r="A88" s="69" t="s">
        <v>90</v>
      </c>
      <c r="B88" s="6" t="s">
        <v>18</v>
      </c>
      <c r="C88" s="29">
        <v>70</v>
      </c>
      <c r="D88" s="29">
        <v>85</v>
      </c>
      <c r="E88" s="29">
        <v>70</v>
      </c>
      <c r="F88" s="29">
        <v>80</v>
      </c>
      <c r="G88" s="7">
        <f t="shared" si="11"/>
        <v>3.3333333333333335</v>
      </c>
      <c r="H88" s="5" t="s">
        <v>128</v>
      </c>
      <c r="I88" s="6"/>
      <c r="J88" s="6"/>
      <c r="K88" s="11"/>
      <c r="L88" s="11"/>
    </row>
    <row r="89" spans="1:12" ht="21.75">
      <c r="A89" s="69" t="s">
        <v>52</v>
      </c>
      <c r="B89" s="6" t="s">
        <v>18</v>
      </c>
      <c r="C89" s="29">
        <v>130</v>
      </c>
      <c r="D89" s="29">
        <v>250</v>
      </c>
      <c r="E89" s="29">
        <v>140</v>
      </c>
      <c r="F89" s="29">
        <v>250</v>
      </c>
      <c r="G89" s="7">
        <f>((C89+D89)/2-(E89+F89)/2)/((E89+F89)/2)*100</f>
        <v>-2.5641025641025639</v>
      </c>
      <c r="H89" s="5" t="s">
        <v>123</v>
      </c>
      <c r="I89" s="6"/>
      <c r="J89" s="6"/>
      <c r="K89" s="11"/>
      <c r="L89" s="11"/>
    </row>
    <row r="90" spans="1:12" ht="24.75">
      <c r="A90" s="69" t="s">
        <v>71</v>
      </c>
      <c r="B90" s="6" t="s">
        <v>18</v>
      </c>
      <c r="C90" s="37">
        <v>100</v>
      </c>
      <c r="D90" s="37">
        <v>110</v>
      </c>
      <c r="E90" s="37">
        <v>105</v>
      </c>
      <c r="F90" s="37">
        <v>110</v>
      </c>
      <c r="G90" s="7">
        <f t="shared" si="11"/>
        <v>-2.3255813953488373</v>
      </c>
      <c r="H90" s="5" t="s">
        <v>124</v>
      </c>
      <c r="I90" s="6"/>
      <c r="J90" s="6"/>
      <c r="K90" s="40"/>
      <c r="L90" s="11"/>
    </row>
    <row r="91" spans="1:12" ht="24.75">
      <c r="A91" s="1"/>
      <c r="B91" s="3"/>
      <c r="C91" s="82"/>
      <c r="D91" s="82"/>
      <c r="E91" s="8"/>
      <c r="F91" s="82"/>
      <c r="G91" s="9"/>
      <c r="H91" s="1"/>
      <c r="I91" s="3"/>
      <c r="J91" s="3"/>
      <c r="K91" s="40"/>
      <c r="L91" s="11"/>
    </row>
    <row r="92" spans="1:12" ht="24.75">
      <c r="A92" s="1"/>
      <c r="B92" s="3"/>
      <c r="C92" s="82"/>
      <c r="D92" s="82"/>
      <c r="E92" s="8"/>
      <c r="F92" s="82"/>
      <c r="G92" s="38"/>
      <c r="H92" s="39"/>
      <c r="I92" s="40"/>
      <c r="J92" s="40"/>
      <c r="K92" s="40"/>
      <c r="L92" s="11"/>
    </row>
    <row r="93" spans="1:12" ht="24.75">
      <c r="A93" s="1"/>
      <c r="B93" s="13"/>
      <c r="C93" s="14"/>
      <c r="D93" s="14"/>
      <c r="E93" s="13"/>
      <c r="F93" s="14"/>
      <c r="G93" s="38"/>
      <c r="H93" s="39"/>
      <c r="I93" s="40"/>
      <c r="J93" s="40"/>
      <c r="K93" s="40"/>
      <c r="L93" s="11"/>
    </row>
    <row r="94" spans="1:12" ht="24.75">
      <c r="A94" s="1"/>
      <c r="B94" s="41"/>
      <c r="C94" s="42" t="s">
        <v>115</v>
      </c>
      <c r="D94" s="10"/>
      <c r="E94" s="41"/>
      <c r="F94" s="13"/>
      <c r="G94" s="10"/>
      <c r="H94" s="39"/>
      <c r="I94" s="12"/>
      <c r="J94" s="13" t="s">
        <v>117</v>
      </c>
      <c r="K94" s="10"/>
      <c r="L94" s="10"/>
    </row>
    <row r="95" spans="1:12" ht="24.75">
      <c r="A95" s="1"/>
      <c r="B95" s="43"/>
      <c r="C95" s="42" t="s">
        <v>116</v>
      </c>
      <c r="D95" s="13"/>
      <c r="E95" s="41"/>
      <c r="F95" s="44"/>
      <c r="G95" s="46"/>
      <c r="H95" s="46"/>
      <c r="I95" s="76"/>
      <c r="J95" s="13" t="s">
        <v>118</v>
      </c>
      <c r="K95" s="13"/>
      <c r="L95" s="13"/>
    </row>
    <row r="96" spans="1:12" ht="24.75">
      <c r="A96" s="1"/>
      <c r="B96" s="13"/>
      <c r="C96" s="14"/>
      <c r="D96" s="13"/>
      <c r="E96" s="14"/>
      <c r="F96" s="44"/>
      <c r="G96" s="46"/>
      <c r="H96" s="46"/>
      <c r="I96" s="45"/>
      <c r="J96" s="10"/>
      <c r="K96" s="10"/>
      <c r="L96" s="2"/>
    </row>
    <row r="97" spans="1:12" ht="19.5">
      <c r="A97" s="55" t="s">
        <v>93</v>
      </c>
      <c r="B97" s="53"/>
      <c r="C97" s="51"/>
      <c r="D97" s="53"/>
      <c r="E97" s="51"/>
      <c r="F97" s="51"/>
      <c r="G97" s="51"/>
      <c r="H97" s="52"/>
      <c r="I97" s="57"/>
      <c r="J97" s="2"/>
      <c r="K97" s="2"/>
      <c r="L97" s="2"/>
    </row>
    <row r="98" spans="1:12" ht="19.5">
      <c r="A98" s="54" t="s">
        <v>99</v>
      </c>
      <c r="B98" s="53"/>
      <c r="C98" s="51"/>
      <c r="D98" s="53"/>
      <c r="E98" s="51"/>
      <c r="F98" s="51"/>
      <c r="G98" s="53"/>
      <c r="H98" s="52"/>
      <c r="I98" s="57"/>
      <c r="J98" s="2"/>
      <c r="K98" s="2"/>
      <c r="L98" s="2"/>
    </row>
    <row r="99" spans="1:12" ht="19.5">
      <c r="A99" s="54" t="s">
        <v>98</v>
      </c>
      <c r="B99" s="53"/>
      <c r="C99" s="53"/>
      <c r="D99" s="53"/>
      <c r="E99" s="53"/>
      <c r="F99" s="51"/>
      <c r="G99" s="53"/>
      <c r="H99" s="52"/>
      <c r="I99" s="57"/>
      <c r="J99" s="2"/>
      <c r="K99" s="2"/>
      <c r="L99" s="2"/>
    </row>
    <row r="100" spans="1:12" ht="19.5">
      <c r="A100" s="54" t="s">
        <v>85</v>
      </c>
      <c r="B100" s="53"/>
      <c r="C100" s="53"/>
      <c r="D100" s="53"/>
      <c r="E100" s="53"/>
      <c r="F100" s="52"/>
      <c r="G100" s="52"/>
      <c r="H100" s="52"/>
      <c r="I100" s="57"/>
      <c r="J100" s="2"/>
      <c r="K100" s="2"/>
      <c r="L100" s="2"/>
    </row>
    <row r="101" spans="1:12" ht="19.5">
      <c r="A101" s="54" t="s">
        <v>97</v>
      </c>
      <c r="B101" s="53"/>
      <c r="C101" s="53"/>
      <c r="D101" s="53"/>
      <c r="E101" s="53"/>
      <c r="F101" s="53"/>
      <c r="G101" s="52"/>
      <c r="H101" s="52"/>
      <c r="I101" s="57"/>
      <c r="J101" s="2"/>
      <c r="K101" s="2"/>
      <c r="L101" s="2"/>
    </row>
    <row r="102" spans="1:12" ht="19.5">
      <c r="A102" s="54" t="s">
        <v>96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107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95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94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86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101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100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102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103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87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/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5" t="s">
        <v>88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89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114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113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112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2025-10-19T08:49:58Z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