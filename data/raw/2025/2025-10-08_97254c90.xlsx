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October-2025\"/>
    </mc:Choice>
  </mc:AlternateContent>
  <xr:revisionPtr revIDLastSave="0" documentId="13_ncr:1_{FF1DD5F3-E69D-4D25-9850-3733A070EFD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3" i="4" l="1"/>
  <c r="G85" i="4"/>
  <c r="G88" i="4"/>
  <c r="G87" i="4"/>
  <c r="G86" i="4"/>
  <c r="G84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<sst xmlns="http://schemas.openxmlformats.org/spreadsheetml/2006/main" count="229" uniqueCount="130">
  <si>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</si>
  <si>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</si>
  <si>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</si>
  <si>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</si>
  <si>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</si>
  <si>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</si>
  <si>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</si>
  <si>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</si>
  <si>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</si>
  <si>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</si>
  <si>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</si>
  <si>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</si>
  <si>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</si>
  <si>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</si>
  <si>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</si>
  <si>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</si>
  <si>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</si>
  <si>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</si>
  <si>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</si>
  <si>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</si>
  <si>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</si>
  <si>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</si>
  <si>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</si>
  <si>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</si>
  <si>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</si>
  <si>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</si>
  <si>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</si>
  <si>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</si>
  <si>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</si>
  <si>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</si>
  <si>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</si>
  <si>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</si>
  <si>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</si>
  <si>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</si>
  <si>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</si>
  <si>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</si>
  <si>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</si>
  <si>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</si>
  <si>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</si>
  <si>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</si>
  <si>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</si>
  <si>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</si>
  <si>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</si>
  <si>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</si>
  <si>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</si>
  <si>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</si>
  <si>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</si>
  <si>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</si>
  <si>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</si>
  <si>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</si>
  <si>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</si>
  <si>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</si>
  <si>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</si>
  <si>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</si>
  <si>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</si>
  <si>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</si>
  <si>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</si>
  <si>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</si>
  <si>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</si>
  <si>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</si>
  <si>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</si>
  <si>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</si>
  <si>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</si>
  <si>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</si>
  <si>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</si>
  <si>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</si>
  <si>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</si>
  <si>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</si>
  <si>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</si>
  <si>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</si>
  <si>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</si>
  <si>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</si>
  <si>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</si>
  <si>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</si>
  <si>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</si>
  <si>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</si>
  <si>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</si>
  <si>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</si>
  <si>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</si>
  <si>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</si>
  <si>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</si>
  <si>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</si>
  <si>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</si>
  <si>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</si>
  <si>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</si>
  <si>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</si>
  <si>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</si>
  <si>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</si>
  <si>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</si>
  <si>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</si>
  <si>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</si>
  <si>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</si>
  <si>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</si>
  <si>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</si>
  <si>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</si>
  <si>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</si>
  <si>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</si>
  <si>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</si>
  <si>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</si>
  <si>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</si>
  <si>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</si>
  <si>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</si>
  <si>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</si>
  <si>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</si>
  <si>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</si>
  <si>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</si>
  <si>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</si>
  <si>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</si>
  <si>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</si>
  <si>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</si>
  <si>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</si>
  <si>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</si>
  <si>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</si>
  <si>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</si>
  <si>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</si>
  <si>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</si>
  <si>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(মো:হুমায়ুন কবির)</t>
  </si>
  <si>
    <t>যুগ্ম পরিচালক (বাজার তথ্য)</t>
  </si>
  <si>
    <t>০৩-১০-২০২৫ তারিখে মূল্য বৃদ্ধি পেয়েছে।</t>
  </si>
  <si>
    <t>০৬-১০-২০২৫ তারিখে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</si>
  <si>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</si>
  <si>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</si>
  <si>
    <t>০৭-১০-২০২৫ তারিখে মূল্য হ্রাস পেয়েছে।</t>
  </si>
  <si>
    <t>স্মারক নং-২৬.০৫.০০০০.০১৭.৩১.০১.২৫-৭১৩</t>
  </si>
  <si>
    <t xml:space="preserve">বুধবার ০৮ অক্টোবর ২০২৫ খ্রিঃ, ২৩ আশ্বিন ১৪৩২ বাংলা, ১৩ রবিউল সানি ১৪৪৭ হিজরি </t>
  </si>
  <si>
    <t xml:space="preserve">   সিরিয়াল নংঃ     ২৫৩</t>
  </si>
  <si>
    <t>০৮-১০-২০২৫ তারিখে মূল্য বৃদ্ধি পেয়েছে।</t>
  </si>
  <si>
    <t>০৮-১০-২০২৫ তারিখে মূল্য হ্রাস পেয়েছে।</t>
  </si>
  <si>
    <t>(২ )    চাল (সরু), শুকনা মরিচ (দেশী, আম)    এর মূল্য হ্রাস পেয়েছে।</t>
  </si>
  <si>
    <t>(১)      সয়াবিন তেল (লুজ), পেঁয়াজ (দেশী), এম এস রড (৪০ গ্রেড) 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</si>
</sst>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2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6"/>
  <sheetViews>
    <sheetView tabSelected="1" topLeftCell="A73" zoomScale="98" zoomScaleNormal="98" workbookViewId="0">
      <selection activeCell="B78" sqref="B78"/>
    </sheetView>
  </sheetViews>
  <sheetFormatPr defaultRowHeight="15.75"/>
  <cols>
    <col min="1" max="1" width="16" customWidth="1"/>
    <col min="2" max="2" width="8.8984375" customWidth="1"/>
    <col min="3" max="4" width="10.59765625" customWidth="1"/>
    <col min="5" max="5" width="10.8984375" customWidth="1"/>
    <col min="6" max="7" width="9.5" customWidth="1"/>
    <col min="8" max="8" width="10" customWidth="1"/>
    <col min="9" max="9" width="9.296875" customWidth="1"/>
    <col min="10" max="10" width="8.296875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4" t="s">
        <v>125</v>
      </c>
      <c r="L4" s="83"/>
    </row>
    <row r="5" spans="1:12" ht="19.5" customHeight="1">
      <c r="A5" s="17"/>
      <c r="B5" s="8"/>
      <c r="C5" s="8"/>
      <c r="D5" s="17"/>
      <c r="E5" s="8"/>
      <c r="F5" s="8" t="s">
        <v>124</v>
      </c>
      <c r="G5" s="8"/>
      <c r="H5" s="8"/>
      <c r="I5" s="8"/>
      <c r="J5" s="8"/>
      <c r="K5" s="8"/>
      <c r="L5" s="49"/>
    </row>
    <row r="6" spans="1:12" ht="21.75">
      <c r="A6" s="20" t="s">
        <v>123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45938</v>
      </c>
    </row>
    <row r="7" spans="1:12" ht="21.75">
      <c r="A7" s="25" t="s">
        <v>4</v>
      </c>
      <c r="B7" s="26" t="s">
        <v>5</v>
      </c>
      <c r="C7" s="84" t="s">
        <v>6</v>
      </c>
      <c r="D7" s="83"/>
      <c r="E7" s="84" t="s">
        <v>7</v>
      </c>
      <c r="F7" s="83"/>
      <c r="G7" s="84" t="s">
        <v>8</v>
      </c>
      <c r="H7" s="83"/>
      <c r="I7" s="26" t="s">
        <v>9</v>
      </c>
      <c r="J7" s="84" t="s">
        <v>10</v>
      </c>
      <c r="K7" s="83"/>
      <c r="L7" s="27" t="s">
        <v>11</v>
      </c>
    </row>
    <row r="8" spans="1:12" ht="21.75">
      <c r="A8" s="25"/>
      <c r="B8" s="26"/>
      <c r="C8" s="82">
        <v>45938</v>
      </c>
      <c r="D8" s="83"/>
      <c r="E8" s="82">
        <v>45930</v>
      </c>
      <c r="F8" s="83"/>
      <c r="G8" s="82">
        <v>45908</v>
      </c>
      <c r="H8" s="83"/>
      <c r="I8" s="26" t="s">
        <v>12</v>
      </c>
      <c r="J8" s="82">
        <v>45573</v>
      </c>
      <c r="K8" s="83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72</v>
      </c>
      <c r="D10" s="29">
        <v>85</v>
      </c>
      <c r="E10" s="29">
        <v>75</v>
      </c>
      <c r="F10" s="29">
        <v>85</v>
      </c>
      <c r="G10" s="29">
        <v>75</v>
      </c>
      <c r="H10" s="29">
        <v>85</v>
      </c>
      <c r="I10" s="30">
        <f>((C10+D10)/2-(G10+H10)/2)/((G10+H10)/2)*100</f>
        <v>-1.875</v>
      </c>
      <c r="J10" s="29">
        <v>64</v>
      </c>
      <c r="K10" s="29">
        <v>80</v>
      </c>
      <c r="L10" s="31">
        <f>((C10+D10)/2-(J10+K10)/2)/((J10+K10)/2)*100</f>
        <v>9.0277777777777768</v>
      </c>
    </row>
    <row r="11" spans="1:12" ht="21.75">
      <c r="A11" s="69" t="s">
        <v>105</v>
      </c>
      <c r="B11" s="6" t="s">
        <v>18</v>
      </c>
      <c r="C11" s="29">
        <v>60</v>
      </c>
      <c r="D11" s="29">
        <v>70</v>
      </c>
      <c r="E11" s="29">
        <v>60</v>
      </c>
      <c r="F11" s="29">
        <v>70</v>
      </c>
      <c r="G11" s="29">
        <v>60</v>
      </c>
      <c r="H11" s="29">
        <v>75</v>
      </c>
      <c r="I11" s="30">
        <f>((C11+D11)/2-(G11+H11)/2)/((G11+H11)/2)*100</f>
        <v>-3.7037037037037033</v>
      </c>
      <c r="J11" s="29">
        <v>55</v>
      </c>
      <c r="K11" s="29">
        <v>60</v>
      </c>
      <c r="L11" s="31">
        <f>((C11+D11)/2-(J11+K11)/2)/((J11+K11)/2)*100</f>
        <v>13.043478260869565</v>
      </c>
    </row>
    <row r="12" spans="1:12" ht="21.75">
      <c r="A12" s="69" t="s">
        <v>19</v>
      </c>
      <c r="B12" s="6" t="s">
        <v>18</v>
      </c>
      <c r="C12" s="29">
        <v>55</v>
      </c>
      <c r="D12" s="29">
        <v>60</v>
      </c>
      <c r="E12" s="29">
        <v>55</v>
      </c>
      <c r="F12" s="29">
        <v>60</v>
      </c>
      <c r="G12" s="29">
        <v>55</v>
      </c>
      <c r="H12" s="29">
        <v>60</v>
      </c>
      <c r="I12" s="30">
        <f>((C12+D12)/2-(G12+H12)/2)/((G12+H12)/2)*100</f>
        <v>0</v>
      </c>
      <c r="J12" s="29">
        <v>50</v>
      </c>
      <c r="K12" s="29">
        <v>55</v>
      </c>
      <c r="L12" s="31">
        <f>((C12+D12)/2-(J12+K12)/2)/((J12+K12)/2)*100</f>
        <v>9.5238095238095237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52</v>
      </c>
      <c r="E14" s="29">
        <v>45</v>
      </c>
      <c r="F14" s="29">
        <v>52</v>
      </c>
      <c r="G14" s="29">
        <v>45</v>
      </c>
      <c r="H14" s="29">
        <v>52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14.117647058823529</v>
      </c>
    </row>
    <row r="15" spans="1:12" ht="21.75">
      <c r="A15" s="69" t="s">
        <v>22</v>
      </c>
      <c r="B15" s="6" t="s">
        <v>23</v>
      </c>
      <c r="C15" s="29">
        <v>55</v>
      </c>
      <c r="D15" s="29">
        <v>65</v>
      </c>
      <c r="E15" s="29">
        <v>55</v>
      </c>
      <c r="F15" s="29">
        <v>65</v>
      </c>
      <c r="G15" s="29">
        <v>55</v>
      </c>
      <c r="H15" s="29">
        <v>65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14.285714285714285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172</v>
      </c>
      <c r="D19" s="29">
        <v>178</v>
      </c>
      <c r="E19" s="29">
        <v>170</v>
      </c>
      <c r="F19" s="29">
        <v>178</v>
      </c>
      <c r="G19" s="29">
        <v>168</v>
      </c>
      <c r="H19" s="29">
        <v>172</v>
      </c>
      <c r="I19" s="30">
        <f t="shared" ref="I19:I25" si="0">((C19+D19)/2-(G19+H19)/2)/((G19+H19)/2)*100</f>
        <v>2.9411764705882351</v>
      </c>
      <c r="J19" s="29">
        <v>151</v>
      </c>
      <c r="K19" s="29">
        <v>155</v>
      </c>
      <c r="L19" s="31">
        <f t="shared" ref="L19:L25" si="1">((C19+D19)/2-(J19+K19)/2)/((J19+K19)/2)*100</f>
        <v>14.37908496732026</v>
      </c>
    </row>
    <row r="20" spans="1:12" ht="21.75">
      <c r="A20" s="69" t="s">
        <v>29</v>
      </c>
      <c r="B20" s="6" t="s">
        <v>30</v>
      </c>
      <c r="C20" s="29">
        <v>890</v>
      </c>
      <c r="D20" s="29">
        <v>920</v>
      </c>
      <c r="E20" s="29">
        <v>890</v>
      </c>
      <c r="F20" s="29">
        <v>920</v>
      </c>
      <c r="G20" s="29">
        <v>890</v>
      </c>
      <c r="H20" s="29">
        <v>920</v>
      </c>
      <c r="I20" s="30">
        <f t="shared" si="0"/>
        <v>0</v>
      </c>
      <c r="J20" s="29">
        <v>800</v>
      </c>
      <c r="K20" s="29">
        <v>810</v>
      </c>
      <c r="L20" s="31">
        <f t="shared" si="1"/>
        <v>12.422360248447205</v>
      </c>
    </row>
    <row r="21" spans="1:12" ht="21.75">
      <c r="A21" s="69" t="s">
        <v>29</v>
      </c>
      <c r="B21" s="6" t="s">
        <v>31</v>
      </c>
      <c r="C21" s="29">
        <v>375</v>
      </c>
      <c r="D21" s="29">
        <v>380</v>
      </c>
      <c r="E21" s="29">
        <v>375</v>
      </c>
      <c r="F21" s="29">
        <v>380</v>
      </c>
      <c r="G21" s="29">
        <v>375</v>
      </c>
      <c r="H21" s="29">
        <v>378</v>
      </c>
      <c r="I21" s="30">
        <f t="shared" si="0"/>
        <v>0.26560424966799467</v>
      </c>
      <c r="J21" s="29">
        <v>330</v>
      </c>
      <c r="K21" s="29">
        <v>335</v>
      </c>
      <c r="L21" s="31">
        <f t="shared" si="1"/>
        <v>13.533834586466165</v>
      </c>
    </row>
    <row r="22" spans="1:12" ht="21.75">
      <c r="A22" s="69" t="s">
        <v>29</v>
      </c>
      <c r="B22" s="6" t="s">
        <v>32</v>
      </c>
      <c r="C22" s="29">
        <v>188</v>
      </c>
      <c r="D22" s="29">
        <v>190</v>
      </c>
      <c r="E22" s="29">
        <v>188</v>
      </c>
      <c r="F22" s="29">
        <v>190</v>
      </c>
      <c r="G22" s="29">
        <v>188</v>
      </c>
      <c r="H22" s="29">
        <v>190</v>
      </c>
      <c r="I22" s="30">
        <f t="shared" si="0"/>
        <v>0</v>
      </c>
      <c r="J22" s="29">
        <v>165</v>
      </c>
      <c r="K22" s="29">
        <v>170</v>
      </c>
      <c r="L22" s="31">
        <f t="shared" si="1"/>
        <v>12.835820895522387</v>
      </c>
    </row>
    <row r="23" spans="1:12" ht="21.75">
      <c r="A23" s="69" t="s">
        <v>33</v>
      </c>
      <c r="B23" s="6" t="s">
        <v>28</v>
      </c>
      <c r="C23" s="29">
        <v>153</v>
      </c>
      <c r="D23" s="29">
        <v>160</v>
      </c>
      <c r="E23" s="29">
        <v>153</v>
      </c>
      <c r="F23" s="29">
        <v>160</v>
      </c>
      <c r="G23" s="29">
        <v>153</v>
      </c>
      <c r="H23" s="29">
        <v>157</v>
      </c>
      <c r="I23" s="30">
        <f t="shared" si="0"/>
        <v>0.967741935483871</v>
      </c>
      <c r="J23" s="29">
        <v>140</v>
      </c>
      <c r="K23" s="29">
        <v>144</v>
      </c>
      <c r="L23" s="31">
        <f t="shared" si="1"/>
        <v>10.211267605633804</v>
      </c>
    </row>
    <row r="24" spans="1:12" ht="21.75">
      <c r="A24" s="69" t="s">
        <v>106</v>
      </c>
      <c r="B24" s="6" t="s">
        <v>28</v>
      </c>
      <c r="C24" s="29">
        <v>155</v>
      </c>
      <c r="D24" s="29">
        <v>166</v>
      </c>
      <c r="E24" s="29">
        <v>155</v>
      </c>
      <c r="F24" s="29">
        <v>166</v>
      </c>
      <c r="G24" s="29">
        <v>155</v>
      </c>
      <c r="H24" s="29">
        <v>164</v>
      </c>
      <c r="I24" s="30">
        <f t="shared" si="0"/>
        <v>0.62695924764890276</v>
      </c>
      <c r="J24" s="29">
        <v>145</v>
      </c>
      <c r="K24" s="29">
        <v>150</v>
      </c>
      <c r="L24" s="31">
        <f t="shared" si="1"/>
        <v>8.8135593220338979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880</v>
      </c>
      <c r="K25" s="29">
        <v>900</v>
      </c>
      <c r="L25" s="31">
        <f t="shared" si="1"/>
        <v>18.539325842696631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95</v>
      </c>
      <c r="D27" s="29">
        <v>110</v>
      </c>
      <c r="E27" s="29">
        <v>95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0</v>
      </c>
      <c r="J27" s="29">
        <v>105</v>
      </c>
      <c r="K27" s="29">
        <v>110</v>
      </c>
      <c r="L27" s="31">
        <f t="shared" ref="L27:L33" si="3">((C27+D27)/2-(J27+K27)/2)/((J27+K27)/2)*100</f>
        <v>-4.6511627906976747</v>
      </c>
    </row>
    <row r="28" spans="1:12" ht="21.75">
      <c r="A28" s="69" t="s">
        <v>110</v>
      </c>
      <c r="B28" s="6" t="s">
        <v>18</v>
      </c>
      <c r="C28" s="29">
        <v>120</v>
      </c>
      <c r="D28" s="29">
        <v>140</v>
      </c>
      <c r="E28" s="29">
        <v>120</v>
      </c>
      <c r="F28" s="29">
        <v>140</v>
      </c>
      <c r="G28" s="29">
        <v>110</v>
      </c>
      <c r="H28" s="29">
        <v>140</v>
      </c>
      <c r="I28" s="30">
        <f t="shared" si="2"/>
        <v>4</v>
      </c>
      <c r="J28" s="29">
        <v>115</v>
      </c>
      <c r="K28" s="29">
        <v>120</v>
      </c>
      <c r="L28" s="31">
        <f t="shared" si="3"/>
        <v>10.638297872340425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.75">
      <c r="A30" s="69" t="s">
        <v>39</v>
      </c>
      <c r="B30" s="6" t="s">
        <v>18</v>
      </c>
      <c r="C30" s="29">
        <v>120</v>
      </c>
      <c r="D30" s="29">
        <v>180</v>
      </c>
      <c r="E30" s="29">
        <v>120</v>
      </c>
      <c r="F30" s="29">
        <v>180</v>
      </c>
      <c r="G30" s="29">
        <v>120</v>
      </c>
      <c r="H30" s="29">
        <v>180</v>
      </c>
      <c r="I30" s="30">
        <f t="shared" si="2"/>
        <v>0</v>
      </c>
      <c r="J30" s="29">
        <v>150</v>
      </c>
      <c r="K30" s="29">
        <v>180</v>
      </c>
      <c r="L30" s="31">
        <f t="shared" si="3"/>
        <v>-9.0909090909090917</v>
      </c>
    </row>
    <row r="31" spans="1:12" ht="21.75">
      <c r="A31" s="69" t="s">
        <v>40</v>
      </c>
      <c r="B31" s="6" t="s">
        <v>18</v>
      </c>
      <c r="C31" s="29">
        <v>60</v>
      </c>
      <c r="D31" s="29">
        <v>80</v>
      </c>
      <c r="E31" s="29">
        <v>60</v>
      </c>
      <c r="F31" s="29">
        <v>80</v>
      </c>
      <c r="G31" s="29">
        <v>60</v>
      </c>
      <c r="H31" s="29">
        <v>80</v>
      </c>
      <c r="I31" s="30">
        <f t="shared" si="2"/>
        <v>0</v>
      </c>
      <c r="J31" s="29">
        <v>75</v>
      </c>
      <c r="K31" s="29">
        <v>85</v>
      </c>
      <c r="L31" s="31">
        <f t="shared" si="3"/>
        <v>-12.5</v>
      </c>
    </row>
    <row r="32" spans="1:12" ht="21.75">
      <c r="A32" s="69" t="s">
        <v>41</v>
      </c>
      <c r="B32" s="6" t="s">
        <v>18</v>
      </c>
      <c r="C32" s="29">
        <v>100</v>
      </c>
      <c r="D32" s="29">
        <v>115</v>
      </c>
      <c r="E32" s="29">
        <v>100</v>
      </c>
      <c r="F32" s="29">
        <v>115</v>
      </c>
      <c r="G32" s="29">
        <v>95</v>
      </c>
      <c r="H32" s="29">
        <v>110</v>
      </c>
      <c r="I32" s="30">
        <f t="shared" si="2"/>
        <v>4.8780487804878048</v>
      </c>
      <c r="J32" s="29">
        <v>120</v>
      </c>
      <c r="K32" s="29">
        <v>130</v>
      </c>
      <c r="L32" s="31">
        <f t="shared" si="3"/>
        <v>-14.000000000000002</v>
      </c>
    </row>
    <row r="33" spans="1:12" ht="21.75">
      <c r="A33" s="69" t="s">
        <v>42</v>
      </c>
      <c r="B33" s="6" t="s">
        <v>18</v>
      </c>
      <c r="C33" s="29">
        <v>18</v>
      </c>
      <c r="D33" s="29">
        <v>25</v>
      </c>
      <c r="E33" s="29">
        <v>18</v>
      </c>
      <c r="F33" s="29">
        <v>25</v>
      </c>
      <c r="G33" s="29">
        <v>25</v>
      </c>
      <c r="H33" s="29">
        <v>30</v>
      </c>
      <c r="I33" s="30">
        <f t="shared" si="2"/>
        <v>-21.818181818181817</v>
      </c>
      <c r="J33" s="29">
        <v>50</v>
      </c>
      <c r="K33" s="29">
        <v>60</v>
      </c>
      <c r="L33" s="31">
        <f t="shared" si="3"/>
        <v>-60.909090909090914</v>
      </c>
    </row>
    <row r="34" spans="1:12" ht="21.75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69" t="s">
        <v>90</v>
      </c>
      <c r="B35" s="6" t="s">
        <v>18</v>
      </c>
      <c r="C35" s="29">
        <v>70</v>
      </c>
      <c r="D35" s="29">
        <v>80</v>
      </c>
      <c r="E35" s="29">
        <v>65</v>
      </c>
      <c r="F35" s="29">
        <v>80</v>
      </c>
      <c r="G35" s="29">
        <v>75</v>
      </c>
      <c r="H35" s="29">
        <v>85</v>
      </c>
      <c r="I35" s="30">
        <f t="shared" ref="I35:I50" si="4">((C35+D35)/2-(G35+H35)/2)/((G35+H35)/2)*100</f>
        <v>-6.25</v>
      </c>
      <c r="J35" s="29">
        <v>105</v>
      </c>
      <c r="K35" s="29">
        <v>115</v>
      </c>
      <c r="L35" s="31">
        <f t="shared" ref="L35:L50" si="5">((C35+D35)/2-(J35+K35)/2)/((J35+K35)/2)*100</f>
        <v>-31.818181818181817</v>
      </c>
    </row>
    <row r="36" spans="1:12" ht="21.75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95</v>
      </c>
      <c r="K36" s="29">
        <v>105</v>
      </c>
      <c r="L36" s="31">
        <f t="shared" si="5"/>
        <v>-100</v>
      </c>
    </row>
    <row r="37" spans="1:12" ht="21.75">
      <c r="A37" s="69" t="s">
        <v>45</v>
      </c>
      <c r="B37" s="6" t="s">
        <v>18</v>
      </c>
      <c r="C37" s="29">
        <v>100</v>
      </c>
      <c r="D37" s="29">
        <v>140</v>
      </c>
      <c r="E37" s="29">
        <v>100</v>
      </c>
      <c r="F37" s="29">
        <v>140</v>
      </c>
      <c r="G37" s="29">
        <v>100</v>
      </c>
      <c r="H37" s="29">
        <v>140</v>
      </c>
      <c r="I37" s="30">
        <f t="shared" si="4"/>
        <v>0</v>
      </c>
      <c r="J37" s="29">
        <v>210</v>
      </c>
      <c r="K37" s="29">
        <v>220</v>
      </c>
      <c r="L37" s="31">
        <f t="shared" si="5"/>
        <v>-44.186046511627907</v>
      </c>
    </row>
    <row r="38" spans="1:12" ht="21.75">
      <c r="A38" s="69" t="s">
        <v>46</v>
      </c>
      <c r="B38" s="6" t="s">
        <v>18</v>
      </c>
      <c r="C38" s="29">
        <v>130</v>
      </c>
      <c r="D38" s="29">
        <v>200</v>
      </c>
      <c r="E38" s="29">
        <v>130</v>
      </c>
      <c r="F38" s="29">
        <v>200</v>
      </c>
      <c r="G38" s="29">
        <v>130</v>
      </c>
      <c r="H38" s="29">
        <v>200</v>
      </c>
      <c r="I38" s="30">
        <f t="shared" si="4"/>
        <v>0</v>
      </c>
      <c r="J38" s="29">
        <v>200</v>
      </c>
      <c r="K38" s="29">
        <v>220</v>
      </c>
      <c r="L38" s="31">
        <f t="shared" si="5"/>
        <v>-21.428571428571427</v>
      </c>
    </row>
    <row r="39" spans="1:12" ht="21.75">
      <c r="A39" s="69" t="s">
        <v>47</v>
      </c>
      <c r="B39" s="6" t="s">
        <v>18</v>
      </c>
      <c r="C39" s="29">
        <v>200</v>
      </c>
      <c r="D39" s="29">
        <v>350</v>
      </c>
      <c r="E39" s="29">
        <v>220</v>
      </c>
      <c r="F39" s="29">
        <v>350</v>
      </c>
      <c r="G39" s="29">
        <v>250</v>
      </c>
      <c r="H39" s="29">
        <v>350</v>
      </c>
      <c r="I39" s="30">
        <f t="shared" si="4"/>
        <v>-8.3333333333333321</v>
      </c>
      <c r="J39" s="29">
        <v>280</v>
      </c>
      <c r="K39" s="29">
        <v>350</v>
      </c>
      <c r="L39" s="31">
        <f t="shared" si="5"/>
        <v>-12.698412698412698</v>
      </c>
    </row>
    <row r="40" spans="1:12" ht="21.75">
      <c r="A40" s="69" t="s">
        <v>48</v>
      </c>
      <c r="B40" s="6" t="s">
        <v>18</v>
      </c>
      <c r="C40" s="29">
        <v>300</v>
      </c>
      <c r="D40" s="29">
        <v>400</v>
      </c>
      <c r="E40" s="29">
        <v>320</v>
      </c>
      <c r="F40" s="29">
        <v>420</v>
      </c>
      <c r="G40" s="29">
        <v>320</v>
      </c>
      <c r="H40" s="29">
        <v>430</v>
      </c>
      <c r="I40" s="30">
        <f t="shared" si="4"/>
        <v>-6.666666666666667</v>
      </c>
      <c r="J40" s="29">
        <v>350</v>
      </c>
      <c r="K40" s="29">
        <v>450</v>
      </c>
      <c r="L40" s="31">
        <f t="shared" si="5"/>
        <v>-12.5</v>
      </c>
    </row>
    <row r="41" spans="1:12" ht="21.75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350</v>
      </c>
      <c r="K41" s="29">
        <v>420</v>
      </c>
      <c r="L41" s="31">
        <f t="shared" si="5"/>
        <v>-9.0909090909090917</v>
      </c>
    </row>
    <row r="42" spans="1:12" ht="21.75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300</v>
      </c>
      <c r="K42" s="29">
        <v>370</v>
      </c>
      <c r="L42" s="31">
        <f t="shared" si="5"/>
        <v>7.4626865671641784</v>
      </c>
    </row>
    <row r="43" spans="1:12" ht="21.75">
      <c r="A43" s="69" t="s">
        <v>51</v>
      </c>
      <c r="B43" s="6" t="s">
        <v>18</v>
      </c>
      <c r="C43" s="29">
        <v>0</v>
      </c>
      <c r="D43" s="29">
        <v>0</v>
      </c>
      <c r="E43" s="29">
        <v>0</v>
      </c>
      <c r="F43" s="29">
        <v>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-100</v>
      </c>
    </row>
    <row r="44" spans="1:12" ht="21.75">
      <c r="A44" s="69" t="s">
        <v>52</v>
      </c>
      <c r="B44" s="6" t="s">
        <v>18</v>
      </c>
      <c r="C44" s="29">
        <v>140</v>
      </c>
      <c r="D44" s="29">
        <v>250</v>
      </c>
      <c r="E44" s="29">
        <v>140</v>
      </c>
      <c r="F44" s="29">
        <v>250</v>
      </c>
      <c r="G44" s="29">
        <v>140</v>
      </c>
      <c r="H44" s="29">
        <v>260</v>
      </c>
      <c r="I44" s="30">
        <f t="shared" si="4"/>
        <v>-2.5</v>
      </c>
      <c r="J44" s="29">
        <v>200</v>
      </c>
      <c r="K44" s="29">
        <v>280</v>
      </c>
      <c r="L44" s="31">
        <f t="shared" si="5"/>
        <v>-18.75</v>
      </c>
    </row>
    <row r="45" spans="1:12" ht="21.75">
      <c r="A45" s="69" t="s">
        <v>53</v>
      </c>
      <c r="B45" s="6" t="s">
        <v>18</v>
      </c>
      <c r="C45" s="29">
        <v>600</v>
      </c>
      <c r="D45" s="29">
        <v>750</v>
      </c>
      <c r="E45" s="29">
        <v>600</v>
      </c>
      <c r="F45" s="29">
        <v>750</v>
      </c>
      <c r="G45" s="29">
        <v>600</v>
      </c>
      <c r="H45" s="29">
        <v>750</v>
      </c>
      <c r="I45" s="30">
        <f t="shared" si="4"/>
        <v>0</v>
      </c>
      <c r="J45" s="29">
        <v>680</v>
      </c>
      <c r="K45" s="29">
        <v>800</v>
      </c>
      <c r="L45" s="31">
        <f t="shared" si="5"/>
        <v>-8.7837837837837842</v>
      </c>
    </row>
    <row r="46" spans="1:12" ht="21.75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500</v>
      </c>
      <c r="H46" s="29">
        <v>600</v>
      </c>
      <c r="I46" s="30">
        <f t="shared" si="4"/>
        <v>-1.8181818181818181</v>
      </c>
      <c r="J46" s="29">
        <v>480</v>
      </c>
      <c r="K46" s="29">
        <v>550</v>
      </c>
      <c r="L46" s="31">
        <f t="shared" si="5"/>
        <v>4.8543689320388346</v>
      </c>
    </row>
    <row r="47" spans="1:12" ht="21.75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1300</v>
      </c>
      <c r="K47" s="29">
        <v>1500</v>
      </c>
      <c r="L47" s="31">
        <f t="shared" si="5"/>
        <v>5.3571428571428568</v>
      </c>
    </row>
    <row r="48" spans="1:12" ht="21.75">
      <c r="A48" s="69" t="s">
        <v>56</v>
      </c>
      <c r="B48" s="6" t="s">
        <v>18</v>
      </c>
      <c r="C48" s="29">
        <v>4800</v>
      </c>
      <c r="D48" s="29">
        <v>5500</v>
      </c>
      <c r="E48" s="29">
        <v>4800</v>
      </c>
      <c r="F48" s="29">
        <v>5500</v>
      </c>
      <c r="G48" s="29">
        <v>4700</v>
      </c>
      <c r="H48" s="29">
        <v>5500</v>
      </c>
      <c r="I48" s="30">
        <f t="shared" si="4"/>
        <v>0.98039215686274506</v>
      </c>
      <c r="J48" s="29">
        <v>3200</v>
      </c>
      <c r="K48" s="29">
        <v>3700</v>
      </c>
      <c r="L48" s="31">
        <f t="shared" si="5"/>
        <v>49.275362318840585</v>
      </c>
    </row>
    <row r="49" spans="1:12" ht="21.75">
      <c r="A49" s="69" t="s">
        <v>57</v>
      </c>
      <c r="B49" s="6" t="s">
        <v>18</v>
      </c>
      <c r="C49" s="29">
        <v>200</v>
      </c>
      <c r="D49" s="29">
        <v>280</v>
      </c>
      <c r="E49" s="29">
        <v>200</v>
      </c>
      <c r="F49" s="29">
        <v>280</v>
      </c>
      <c r="G49" s="29">
        <v>220</v>
      </c>
      <c r="H49" s="29">
        <v>280</v>
      </c>
      <c r="I49" s="30">
        <f t="shared" si="4"/>
        <v>-4</v>
      </c>
      <c r="J49" s="29">
        <v>200</v>
      </c>
      <c r="K49" s="29">
        <v>280</v>
      </c>
      <c r="L49" s="31">
        <f t="shared" si="5"/>
        <v>0</v>
      </c>
    </row>
    <row r="50" spans="1:12" ht="21.75">
      <c r="A50" s="69" t="s">
        <v>58</v>
      </c>
      <c r="B50" s="6" t="s">
        <v>18</v>
      </c>
      <c r="C50" s="29">
        <v>200</v>
      </c>
      <c r="D50" s="29">
        <v>225</v>
      </c>
      <c r="E50" s="29">
        <v>200</v>
      </c>
      <c r="F50" s="29">
        <v>225</v>
      </c>
      <c r="G50" s="29">
        <v>200</v>
      </c>
      <c r="H50" s="29">
        <v>225</v>
      </c>
      <c r="I50" s="30">
        <f t="shared" si="4"/>
        <v>0</v>
      </c>
      <c r="J50" s="29">
        <v>120</v>
      </c>
      <c r="K50" s="29">
        <v>200</v>
      </c>
      <c r="L50" s="31">
        <f t="shared" si="5"/>
        <v>32.8125</v>
      </c>
    </row>
    <row r="51" spans="1:12" ht="21.75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280</v>
      </c>
      <c r="K52" s="29">
        <v>400</v>
      </c>
      <c r="L52" s="31">
        <f t="shared" ref="L52:L57" si="7">((C52+D52)/2-(J52+K52)/2)/((J52+K52)/2)*100</f>
        <v>10.294117647058822</v>
      </c>
    </row>
    <row r="53" spans="1:12" ht="21.75">
      <c r="A53" s="69" t="s">
        <v>61</v>
      </c>
      <c r="B53" s="6" t="s">
        <v>18</v>
      </c>
      <c r="C53" s="29">
        <v>0</v>
      </c>
      <c r="D53" s="29">
        <v>0</v>
      </c>
      <c r="E53" s="29">
        <v>900</v>
      </c>
      <c r="F53" s="29">
        <v>2200</v>
      </c>
      <c r="G53" s="29">
        <v>900</v>
      </c>
      <c r="H53" s="29">
        <v>2200</v>
      </c>
      <c r="I53" s="30">
        <f t="shared" si="6"/>
        <v>-100</v>
      </c>
      <c r="J53" s="29">
        <v>800</v>
      </c>
      <c r="K53" s="29">
        <v>1800</v>
      </c>
      <c r="L53" s="31">
        <f t="shared" si="7"/>
        <v>-100</v>
      </c>
    </row>
    <row r="54" spans="1:12" ht="21.75">
      <c r="A54" s="69" t="s">
        <v>91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650</v>
      </c>
      <c r="K54" s="29">
        <v>750</v>
      </c>
      <c r="L54" s="31">
        <f t="shared" si="7"/>
        <v>10.714285714285714</v>
      </c>
    </row>
    <row r="55" spans="1:12" ht="21.75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1250</v>
      </c>
      <c r="I55" s="30">
        <f t="shared" si="6"/>
        <v>-2.2222222222222223</v>
      </c>
      <c r="J55" s="29">
        <v>1000</v>
      </c>
      <c r="K55" s="29">
        <v>1100</v>
      </c>
      <c r="L55" s="31">
        <f t="shared" si="7"/>
        <v>4.7619047619047619</v>
      </c>
    </row>
    <row r="56" spans="1:12" ht="21.75">
      <c r="A56" s="69" t="s">
        <v>62</v>
      </c>
      <c r="B56" s="6" t="s">
        <v>18</v>
      </c>
      <c r="C56" s="29">
        <v>160</v>
      </c>
      <c r="D56" s="29">
        <v>185</v>
      </c>
      <c r="E56" s="29">
        <v>160</v>
      </c>
      <c r="F56" s="29">
        <v>185</v>
      </c>
      <c r="G56" s="29">
        <v>170</v>
      </c>
      <c r="H56" s="29">
        <v>185</v>
      </c>
      <c r="I56" s="30">
        <f t="shared" si="6"/>
        <v>-2.8169014084507045</v>
      </c>
      <c r="J56" s="29">
        <v>190</v>
      </c>
      <c r="K56" s="29">
        <v>200</v>
      </c>
      <c r="L56" s="31">
        <f t="shared" si="7"/>
        <v>-11.538461538461538</v>
      </c>
    </row>
    <row r="57" spans="1:12" ht="21.75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700</v>
      </c>
      <c r="I57" s="30">
        <f t="shared" si="6"/>
        <v>-4</v>
      </c>
      <c r="J57" s="29">
        <v>500</v>
      </c>
      <c r="K57" s="29">
        <v>600</v>
      </c>
      <c r="L57" s="31">
        <f t="shared" si="7"/>
        <v>9.0909090909090917</v>
      </c>
    </row>
    <row r="58" spans="1:12" ht="21.75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840</v>
      </c>
      <c r="H60" s="29">
        <v>920</v>
      </c>
      <c r="I60" s="30">
        <f>((C60+D60)/2-(G60+H60)/2)/((G60+H60)/2)*100</f>
        <v>0.56818181818181823</v>
      </c>
      <c r="J60" s="29">
        <v>790</v>
      </c>
      <c r="K60" s="29">
        <v>840</v>
      </c>
      <c r="L60" s="31">
        <f>((C60+D60)/2-(J60+K60)/2)/((J60+K60)/2)*100</f>
        <v>8.5889570552147241</v>
      </c>
    </row>
    <row r="61" spans="1:12" ht="22.5" customHeight="1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775</v>
      </c>
      <c r="K62" s="29">
        <v>830</v>
      </c>
      <c r="L62" s="31">
        <f>((C62+D62)/2-(J62+K62)/2)/((J62+K62)/2)*100</f>
        <v>7.7881619937694699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4" t="s">
        <v>6</v>
      </c>
      <c r="D66" s="83"/>
      <c r="E66" s="84" t="s">
        <v>7</v>
      </c>
      <c r="F66" s="83"/>
      <c r="G66" s="84" t="s">
        <v>8</v>
      </c>
      <c r="H66" s="83"/>
      <c r="I66" s="26" t="s">
        <v>9</v>
      </c>
      <c r="J66" s="84" t="s">
        <v>10</v>
      </c>
      <c r="K66" s="83"/>
      <c r="L66" s="26" t="s">
        <v>11</v>
      </c>
    </row>
    <row r="67" spans="1:12" ht="18" customHeight="1">
      <c r="A67" s="73"/>
      <c r="B67" s="64"/>
      <c r="C67" s="82">
        <v>45938</v>
      </c>
      <c r="D67" s="83"/>
      <c r="E67" s="82">
        <v>45930</v>
      </c>
      <c r="F67" s="83"/>
      <c r="G67" s="82">
        <v>45908</v>
      </c>
      <c r="H67" s="83"/>
      <c r="I67" s="26" t="s">
        <v>12</v>
      </c>
      <c r="J67" s="82">
        <v>45573</v>
      </c>
      <c r="K67" s="83"/>
      <c r="L67" s="26" t="s">
        <v>12</v>
      </c>
    </row>
    <row r="68" spans="1:12" ht="21.7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71</v>
      </c>
      <c r="B69" s="6" t="s">
        <v>18</v>
      </c>
      <c r="C69" s="29">
        <v>105</v>
      </c>
      <c r="D69" s="29">
        <v>115</v>
      </c>
      <c r="E69" s="29">
        <v>105</v>
      </c>
      <c r="F69" s="29">
        <v>115</v>
      </c>
      <c r="G69" s="29">
        <v>105</v>
      </c>
      <c r="H69" s="29">
        <v>115</v>
      </c>
      <c r="I69" s="30">
        <f>((C69+D69)/2-(G69+H69)/2)/((G69+H69)/2)*100</f>
        <v>0</v>
      </c>
      <c r="J69" s="29">
        <v>125</v>
      </c>
      <c r="K69" s="29">
        <v>135</v>
      </c>
      <c r="L69" s="31">
        <f t="shared" ref="L69:L75" si="8">((C69+D69)/2-(J69+K69)/2)/((J69+K69)/2)*100</f>
        <v>-15.384615384615385</v>
      </c>
    </row>
    <row r="70" spans="1:12" ht="21.75">
      <c r="A70" s="69" t="s">
        <v>72</v>
      </c>
      <c r="B70" s="66" t="s">
        <v>18</v>
      </c>
      <c r="C70" s="29">
        <v>220</v>
      </c>
      <c r="D70" s="29">
        <v>550</v>
      </c>
      <c r="E70" s="29">
        <v>220</v>
      </c>
      <c r="F70" s="29">
        <v>550</v>
      </c>
      <c r="G70" s="29">
        <v>220</v>
      </c>
      <c r="H70" s="29">
        <v>550</v>
      </c>
      <c r="I70" s="30">
        <f t="shared" ref="I70:I75" si="9">((C70+D70)/2-(G70+H70)/2)/((G70+H70)/2)*100</f>
        <v>0</v>
      </c>
      <c r="J70" s="29">
        <v>250</v>
      </c>
      <c r="K70" s="29">
        <v>450</v>
      </c>
      <c r="L70" s="31">
        <f t="shared" si="8"/>
        <v>10</v>
      </c>
    </row>
    <row r="71" spans="1:12" ht="21.75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73</v>
      </c>
      <c r="B72" s="6" t="s">
        <v>74</v>
      </c>
      <c r="C72" s="37">
        <v>45</v>
      </c>
      <c r="D72" s="37">
        <v>50</v>
      </c>
      <c r="E72" s="37">
        <v>45</v>
      </c>
      <c r="F72" s="37">
        <v>50</v>
      </c>
      <c r="G72" s="37">
        <v>45</v>
      </c>
      <c r="H72" s="37">
        <v>50</v>
      </c>
      <c r="I72" s="30">
        <f t="shared" si="9"/>
        <v>0</v>
      </c>
      <c r="J72" s="37">
        <v>54</v>
      </c>
      <c r="K72" s="37">
        <v>56</v>
      </c>
      <c r="L72" s="31">
        <f t="shared" si="8"/>
        <v>-13.636363636363635</v>
      </c>
    </row>
    <row r="73" spans="1:12" ht="21.75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35</v>
      </c>
      <c r="L73" s="31">
        <f t="shared" si="8"/>
        <v>7.6923076923076925</v>
      </c>
    </row>
    <row r="74" spans="1:12" ht="21.75">
      <c r="A74" s="69" t="s">
        <v>77</v>
      </c>
      <c r="B74" s="6" t="s">
        <v>78</v>
      </c>
      <c r="C74" s="29">
        <v>83500</v>
      </c>
      <c r="D74" s="29">
        <v>86000</v>
      </c>
      <c r="E74" s="29">
        <v>83500</v>
      </c>
      <c r="F74" s="29">
        <v>86000</v>
      </c>
      <c r="G74" s="29">
        <v>83500</v>
      </c>
      <c r="H74" s="29">
        <v>86000</v>
      </c>
      <c r="I74" s="30">
        <f t="shared" si="9"/>
        <v>0</v>
      </c>
      <c r="J74" s="29">
        <v>86500</v>
      </c>
      <c r="K74" s="29">
        <v>93000</v>
      </c>
      <c r="L74" s="31">
        <f t="shared" si="8"/>
        <v>-5.5710306406685239</v>
      </c>
    </row>
    <row r="75" spans="1:12" ht="21.75">
      <c r="A75" s="69" t="s">
        <v>79</v>
      </c>
      <c r="B75" s="6" t="s">
        <v>78</v>
      </c>
      <c r="C75" s="29">
        <v>76000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0.64935064935064934</v>
      </c>
      <c r="J75" s="29">
        <v>82500</v>
      </c>
      <c r="K75" s="37">
        <v>85000</v>
      </c>
      <c r="L75" s="31">
        <f t="shared" si="8"/>
        <v>-7.4626865671641784</v>
      </c>
    </row>
    <row r="76" spans="1:12" ht="21.75" customHeight="1">
      <c r="A76" s="85" t="s">
        <v>112</v>
      </c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</row>
    <row r="77" spans="1:12" ht="21.7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129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128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80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81</v>
      </c>
      <c r="B82" s="6" t="s">
        <v>82</v>
      </c>
      <c r="C82" s="87" t="s">
        <v>6</v>
      </c>
      <c r="D82" s="88"/>
      <c r="E82" s="89" t="s">
        <v>83</v>
      </c>
      <c r="F82" s="90"/>
      <c r="G82" s="77" t="s">
        <v>12</v>
      </c>
      <c r="H82" s="87" t="s">
        <v>84</v>
      </c>
      <c r="I82" s="91"/>
      <c r="J82" s="88"/>
      <c r="K82" s="50"/>
      <c r="L82" s="17"/>
    </row>
    <row r="83" spans="1:12" ht="21.75">
      <c r="A83" s="5" t="s">
        <v>17</v>
      </c>
      <c r="B83" s="6" t="s">
        <v>18</v>
      </c>
      <c r="C83" s="29">
        <v>72</v>
      </c>
      <c r="D83" s="29">
        <v>85</v>
      </c>
      <c r="E83" s="29">
        <v>75</v>
      </c>
      <c r="F83" s="29">
        <v>85</v>
      </c>
      <c r="G83" s="7">
        <f t="shared" ref="G83:G88" si="10">((C83+D83)/2-(E83+F83)/2)/((E83+F83)/2)*100</f>
        <v>-1.875</v>
      </c>
      <c r="H83" s="5" t="s">
        <v>127</v>
      </c>
      <c r="I83" s="6"/>
      <c r="J83" s="6"/>
      <c r="K83" s="50"/>
      <c r="L83" s="17"/>
    </row>
    <row r="84" spans="1:12" ht="21.75">
      <c r="A84" s="5" t="s">
        <v>27</v>
      </c>
      <c r="B84" s="6" t="s">
        <v>28</v>
      </c>
      <c r="C84" s="29">
        <v>172</v>
      </c>
      <c r="D84" s="29">
        <v>178</v>
      </c>
      <c r="E84" s="29">
        <v>170</v>
      </c>
      <c r="F84" s="29">
        <v>178</v>
      </c>
      <c r="G84" s="7">
        <f t="shared" si="10"/>
        <v>0.57471264367816088</v>
      </c>
      <c r="H84" s="5" t="s">
        <v>118</v>
      </c>
      <c r="I84" s="6"/>
      <c r="J84" s="6"/>
      <c r="K84" s="50"/>
      <c r="L84" s="17"/>
    </row>
    <row r="85" spans="1:12" ht="21.75">
      <c r="A85" s="5" t="s">
        <v>90</v>
      </c>
      <c r="B85" s="6" t="s">
        <v>18</v>
      </c>
      <c r="C85" s="29">
        <v>70</v>
      </c>
      <c r="D85" s="29">
        <v>80</v>
      </c>
      <c r="E85" s="29">
        <v>65</v>
      </c>
      <c r="F85" s="29">
        <v>80</v>
      </c>
      <c r="G85" s="7">
        <f t="shared" si="10"/>
        <v>3.4482758620689653</v>
      </c>
      <c r="H85" s="5" t="s">
        <v>126</v>
      </c>
      <c r="I85" s="6"/>
      <c r="J85" s="6"/>
      <c r="K85" s="50"/>
      <c r="L85" s="17"/>
    </row>
    <row r="86" spans="1:12" ht="21.75">
      <c r="A86" s="69" t="s">
        <v>47</v>
      </c>
      <c r="B86" s="6" t="s">
        <v>18</v>
      </c>
      <c r="C86" s="29">
        <v>200</v>
      </c>
      <c r="D86" s="29">
        <v>350</v>
      </c>
      <c r="E86" s="29">
        <v>220</v>
      </c>
      <c r="F86" s="29">
        <v>350</v>
      </c>
      <c r="G86" s="7">
        <f t="shared" si="10"/>
        <v>-3.5087719298245612</v>
      </c>
      <c r="H86" s="5" t="s">
        <v>119</v>
      </c>
      <c r="I86" s="6"/>
      <c r="J86" s="6"/>
      <c r="K86" s="50"/>
      <c r="L86" s="17"/>
    </row>
    <row r="87" spans="1:12" ht="21.75">
      <c r="A87" s="69" t="s">
        <v>48</v>
      </c>
      <c r="B87" s="6" t="s">
        <v>18</v>
      </c>
      <c r="C87" s="29">
        <v>300</v>
      </c>
      <c r="D87" s="29">
        <v>400</v>
      </c>
      <c r="E87" s="29">
        <v>320</v>
      </c>
      <c r="F87" s="29">
        <v>420</v>
      </c>
      <c r="G87" s="7">
        <f t="shared" si="10"/>
        <v>-5.4054054054054053</v>
      </c>
      <c r="H87" s="5" t="s">
        <v>122</v>
      </c>
      <c r="I87" s="6"/>
      <c r="J87" s="6"/>
      <c r="K87" s="11"/>
      <c r="L87" s="11"/>
    </row>
    <row r="88" spans="1:12" ht="21.75">
      <c r="A88" s="69" t="s">
        <v>79</v>
      </c>
      <c r="B88" s="6" t="s">
        <v>78</v>
      </c>
      <c r="C88" s="29">
        <v>76000</v>
      </c>
      <c r="D88" s="29">
        <v>79000</v>
      </c>
      <c r="E88" s="29">
        <v>75000</v>
      </c>
      <c r="F88" s="29">
        <v>79000</v>
      </c>
      <c r="G88" s="7">
        <f t="shared" si="10"/>
        <v>0.64935064935064934</v>
      </c>
      <c r="H88" s="5" t="s">
        <v>126</v>
      </c>
      <c r="I88" s="6"/>
      <c r="J88" s="6"/>
      <c r="K88" s="11"/>
      <c r="L88" s="11"/>
    </row>
    <row r="89" spans="1:12" ht="21.75">
      <c r="A89" s="72"/>
      <c r="B89" s="3"/>
      <c r="C89" s="78"/>
      <c r="D89" s="78"/>
      <c r="E89" s="78"/>
      <c r="F89" s="78"/>
      <c r="G89" s="9"/>
      <c r="H89" s="1"/>
      <c r="I89" s="3"/>
      <c r="J89" s="3"/>
      <c r="K89" s="11"/>
      <c r="L89" s="11"/>
    </row>
    <row r="90" spans="1:12" ht="21.75">
      <c r="A90" s="72"/>
      <c r="B90" s="3"/>
      <c r="C90" s="78"/>
      <c r="D90" s="78"/>
      <c r="E90" s="78"/>
      <c r="F90" s="78"/>
      <c r="G90" s="9"/>
      <c r="H90" s="1"/>
      <c r="I90" s="3"/>
      <c r="J90" s="3"/>
      <c r="K90" s="11"/>
      <c r="L90" s="11"/>
    </row>
    <row r="91" spans="1:12" ht="21.75">
      <c r="A91" s="72"/>
      <c r="B91" s="3"/>
      <c r="C91" s="78"/>
      <c r="D91" s="78"/>
      <c r="E91" s="78"/>
      <c r="F91" s="78"/>
      <c r="G91" s="9"/>
      <c r="H91" s="1"/>
      <c r="I91" s="3"/>
      <c r="J91" s="3"/>
      <c r="K91" s="11"/>
      <c r="L91" s="11"/>
    </row>
    <row r="92" spans="1:12" ht="24.75">
      <c r="A92" s="1"/>
      <c r="B92" s="13"/>
      <c r="C92" s="14"/>
      <c r="D92" s="14"/>
      <c r="E92" s="13"/>
      <c r="F92" s="14"/>
      <c r="G92" s="38"/>
      <c r="H92" s="39"/>
      <c r="I92" s="40"/>
      <c r="J92" s="40"/>
      <c r="K92" s="40"/>
      <c r="L92" s="11"/>
    </row>
    <row r="93" spans="1:12" ht="24.75">
      <c r="A93" s="1"/>
      <c r="B93" s="41"/>
      <c r="C93" s="42" t="s">
        <v>116</v>
      </c>
      <c r="D93" s="10"/>
      <c r="E93" s="41"/>
      <c r="F93" s="13"/>
      <c r="G93" s="10"/>
      <c r="H93" s="39"/>
      <c r="I93" s="12"/>
      <c r="J93" s="13" t="s">
        <v>120</v>
      </c>
      <c r="K93" s="10"/>
      <c r="L93" s="10"/>
    </row>
    <row r="94" spans="1:12" ht="24.75">
      <c r="A94" s="1"/>
      <c r="B94" s="43"/>
      <c r="C94" s="42" t="s">
        <v>117</v>
      </c>
      <c r="D94" s="13"/>
      <c r="E94" s="41"/>
      <c r="F94" s="44"/>
      <c r="G94" s="46"/>
      <c r="H94" s="46"/>
      <c r="I94" s="76"/>
      <c r="J94" s="13" t="s">
        <v>121</v>
      </c>
      <c r="K94" s="13"/>
      <c r="L94" s="13"/>
    </row>
    <row r="95" spans="1:12" ht="24.75">
      <c r="A95" s="1"/>
      <c r="B95" s="13"/>
      <c r="C95" s="14"/>
      <c r="D95" s="13"/>
      <c r="E95" s="14"/>
      <c r="F95" s="44"/>
      <c r="G95" s="46"/>
      <c r="H95" s="46"/>
      <c r="I95" s="45"/>
      <c r="J95" s="10"/>
      <c r="K95" s="10"/>
      <c r="L95" s="2"/>
    </row>
    <row r="96" spans="1:12" ht="19.5">
      <c r="A96" s="55" t="s">
        <v>93</v>
      </c>
      <c r="B96" s="53"/>
      <c r="C96" s="51"/>
      <c r="D96" s="53"/>
      <c r="E96" s="51"/>
      <c r="F96" s="51"/>
      <c r="G96" s="51"/>
      <c r="H96" s="52"/>
      <c r="I96" s="57"/>
      <c r="J96" s="2"/>
      <c r="K96" s="2"/>
      <c r="L96" s="2"/>
    </row>
    <row r="97" spans="1:12" ht="19.5">
      <c r="A97" s="54" t="s">
        <v>99</v>
      </c>
      <c r="B97" s="53"/>
      <c r="C97" s="51"/>
      <c r="D97" s="53"/>
      <c r="E97" s="51"/>
      <c r="F97" s="51"/>
      <c r="G97" s="53"/>
      <c r="H97" s="52"/>
      <c r="I97" s="57"/>
      <c r="J97" s="2"/>
      <c r="K97" s="2"/>
      <c r="L97" s="2"/>
    </row>
    <row r="98" spans="1:12" ht="19.5">
      <c r="A98" s="54" t="s">
        <v>98</v>
      </c>
      <c r="B98" s="53"/>
      <c r="C98" s="53"/>
      <c r="D98" s="53"/>
      <c r="E98" s="53"/>
      <c r="F98" s="51"/>
      <c r="G98" s="53"/>
      <c r="H98" s="52"/>
      <c r="I98" s="57"/>
      <c r="J98" s="2"/>
      <c r="K98" s="2"/>
      <c r="L98" s="2"/>
    </row>
    <row r="99" spans="1:12" ht="19.5">
      <c r="A99" s="54" t="s">
        <v>85</v>
      </c>
      <c r="B99" s="53"/>
      <c r="C99" s="53"/>
      <c r="D99" s="53"/>
      <c r="E99" s="53"/>
      <c r="F99" s="52"/>
      <c r="G99" s="52"/>
      <c r="H99" s="52"/>
      <c r="I99" s="57"/>
      <c r="J99" s="2"/>
      <c r="K99" s="2"/>
      <c r="L99" s="2"/>
    </row>
    <row r="100" spans="1:12" ht="19.5">
      <c r="A100" s="54" t="s">
        <v>97</v>
      </c>
      <c r="B100" s="53"/>
      <c r="C100" s="53"/>
      <c r="D100" s="53"/>
      <c r="E100" s="53"/>
      <c r="F100" s="53"/>
      <c r="G100" s="52"/>
      <c r="H100" s="52"/>
      <c r="I100" s="57"/>
      <c r="J100" s="2"/>
      <c r="K100" s="2"/>
      <c r="L100" s="2"/>
    </row>
    <row r="101" spans="1:12" ht="19.5">
      <c r="A101" s="54" t="s">
        <v>96</v>
      </c>
      <c r="B101" s="53"/>
      <c r="C101" s="53"/>
      <c r="D101" s="53"/>
      <c r="E101" s="53"/>
      <c r="F101" s="53"/>
      <c r="G101" s="53"/>
      <c r="H101" s="52"/>
      <c r="I101" s="57"/>
      <c r="J101" s="2"/>
      <c r="K101" s="2"/>
      <c r="L101" s="2"/>
    </row>
    <row r="102" spans="1:12" ht="19.5">
      <c r="A102" s="54" t="s">
        <v>107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9.5">
      <c r="A103" s="54" t="s">
        <v>95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9.5">
      <c r="A104" s="54" t="s">
        <v>94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86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101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100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102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103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9.5">
      <c r="A110" s="54" t="s">
        <v>87</v>
      </c>
      <c r="B110" s="53"/>
      <c r="C110" s="53"/>
      <c r="D110" s="53"/>
      <c r="E110" s="53"/>
      <c r="F110" s="53"/>
      <c r="G110" s="53"/>
      <c r="H110" s="56"/>
      <c r="I110" s="58"/>
      <c r="J110" s="11"/>
      <c r="K110" s="11"/>
      <c r="L110" s="11"/>
    </row>
    <row r="111" spans="1:12" ht="19.5">
      <c r="A111" s="54"/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9.5">
      <c r="A112" s="55" t="s">
        <v>88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9.5">
      <c r="A113" s="54" t="s">
        <v>89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9.5">
      <c r="A114" s="54" t="s">
        <v>115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9.5">
      <c r="A115" s="54" t="s">
        <v>114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9.5">
      <c r="A116" s="54" t="s">
        <v>113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2025-09-07T08:25:08Z</cp:lastPrinted>
  <dcterms:created xsi:type="dcterms:W3CDTF">2021-06-05T07:13:00Z</dcterms:created>
  <dcterms:modified xsi:type="dcterms:W3CDTF">2025-10-08T08:14:53Z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