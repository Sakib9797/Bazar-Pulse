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1FBE126C-86FD-7D4D-A028-C6503433F69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4" l="1"/>
  <c r="G86" i="4"/>
  <c r="G90" i="4"/>
  <c r="G94" i="4"/>
  <c r="G89" i="4"/>
  <c r="G88" i="4"/>
  <c r="G95" i="4"/>
  <c r="G99" i="4"/>
  <c r="G98" i="4"/>
  <c r="G100" i="4"/>
  <c r="G85" i="4"/>
  <c r="G84" i="4"/>
  <c r="G93" i="4"/>
  <c r="G97" i="4"/>
  <c r="G92" i="4"/>
  <c r="G91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<sst xmlns="http://schemas.openxmlformats.org/spreadsheetml/2006/main" count="263" uniqueCount="136">
  <si>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</si>
  <si>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</si>
  <si>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</si>
  <si>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</si>
  <si>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</si>
  <si>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</si>
  <si>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</si>
  <si>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</si>
  <si>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</si>
  <si>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</si>
  <si>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</si>
  <si>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</si>
  <si>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</si>
  <si>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</si>
  <si>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</si>
  <si>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</si>
  <si>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</si>
  <si>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</si>
  <si>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</si>
  <si>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</si>
  <si>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</si>
  <si>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</si>
  <si>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</si>
  <si>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</si>
  <si>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</si>
  <si>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</si>
  <si>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</si>
  <si>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</si>
  <si>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</si>
  <si>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</si>
  <si>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</si>
  <si>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</si>
  <si>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</si>
  <si>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</si>
  <si>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</si>
  <si>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</si>
  <si>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</si>
  <si>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</si>
  <si>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</si>
  <si>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</si>
  <si>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</si>
  <si>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</si>
  <si>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</si>
  <si>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</si>
  <si>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</si>
  <si>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</si>
  <si>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</si>
  <si>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</si>
  <si>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</si>
  <si>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</si>
  <si>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</si>
  <si>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</si>
  <si>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</si>
  <si>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</si>
  <si>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</si>
  <si>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</si>
  <si>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</si>
  <si>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</si>
  <si>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</si>
  <si>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</si>
  <si>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</si>
  <si>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</si>
  <si>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</si>
  <si>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</si>
  <si>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</si>
  <si>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</si>
  <si>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</si>
  <si>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</si>
  <si>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</si>
  <si>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</si>
  <si>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</si>
  <si>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</si>
  <si>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</si>
  <si>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</si>
  <si>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</si>
  <si>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</si>
  <si>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</si>
  <si>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</si>
  <si>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</si>
  <si>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</si>
  <si>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</si>
  <si>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</si>
  <si>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</si>
  <si>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</si>
  <si>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</si>
  <si>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</si>
  <si>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</si>
  <si>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</si>
  <si>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</si>
  <si>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</si>
  <si>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</si>
  <si>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</si>
  <si>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</si>
  <si>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</si>
  <si>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</si>
  <si>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</si>
  <si>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</si>
  <si>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</si>
  <si>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</si>
  <si>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</si>
  <si>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</si>
  <si>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</si>
  <si>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</si>
  <si>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</si>
  <si>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</si>
  <si>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</si>
  <si>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</si>
  <si>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</si>
  <si>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</si>
  <si>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</si>
  <si>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</si>
  <si>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</si>
  <si>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</si>
  <si>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</si>
  <si>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</si>
  <si>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</si>
  <si>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</si>
  <si>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</si>
  <si>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</si>
  <si>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</si>
  <si>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</si>
  <si>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</si>
  <si>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</si>
  <si>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০৪-১১-২০২৫ তারিখে মূল্য হ্রাস পেয়েছে।</t>
  </si>
  <si>
    <t>০৪-১১-২০২৫ তারিখে মূল্য বৃদ্ধি পেয়েছে।</t>
  </si>
  <si>
    <t>০৫-১১-২০২৫ তারিখে মূল্য হ্রাস পেয়েছে।</t>
  </si>
  <si>
    <t>০৬-১১-২০২৫ তারিখে মূল্য বৃদ্ধি পেয়েছে।</t>
  </si>
  <si>
    <t>(২ )   চাল (মাঝারী, মোটা), আটা (খোলা, প্যা:), পাম অয়েল (লুজ,সুপার), মসুর ডাল (বড়),</t>
  </si>
  <si>
    <t>স্মারক নং-২৬.০৫.০০০০.০১৭.৩১.০১.২৫-৮০২</t>
  </si>
  <si>
    <t xml:space="preserve">   সিরিয়াল নংঃ     ২৭৮</t>
  </si>
  <si>
    <t xml:space="preserve">শুক্রবার ০৭ নভেম্বর ২০২৫ খ্রিঃ, ২২ কার্তিক ১৪৩২ বাংলা, ১৫ জমা-আউ ১৪৪৭ হিজরি </t>
  </si>
  <si>
    <t>০৭-১১-২০২৫ তারিখে মূল্য বৃদ্ধি পেয়েছে।</t>
  </si>
  <si>
    <t>(১)     পেঁয়াজ (দেশী), রশুন (আম), আদা (আম), মুরগী ব্রয়লার,  এমএস রড (৬০,৪০ গ্রেড)    এর মূল্য বৃদ্ধি পেয়েছে।</t>
  </si>
  <si>
    <t xml:space="preserve">       ধনে, তেজপাতা, খেজুর,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</si>
</sst>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abSelected="1" topLeftCell="H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129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130</v>
      </c>
      <c r="G5" s="8"/>
      <c r="H5" s="8"/>
      <c r="I5" s="8"/>
      <c r="J5" s="8"/>
      <c r="K5" s="8"/>
      <c r="L5" s="49"/>
    </row>
    <row r="6" spans="1:12" ht="21" x14ac:dyDescent="0.25">
      <c r="A6" s="20" t="s">
        <v>128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45968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45968</v>
      </c>
      <c r="D8" s="84"/>
      <c r="E8" s="85">
        <v>45961</v>
      </c>
      <c r="F8" s="84"/>
      <c r="G8" s="85">
        <v>45937</v>
      </c>
      <c r="H8" s="84"/>
      <c r="I8" s="26" t="s">
        <v>12</v>
      </c>
      <c r="J8" s="85">
        <v>45603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58</v>
      </c>
      <c r="K11" s="29">
        <v>65</v>
      </c>
      <c r="L11" s="31">
        <f>((C11+D11)/2-(J11+K11)/2)/((J11+K11)/2)*100</f>
        <v>4.0650406504065035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48</v>
      </c>
      <c r="H14" s="29">
        <v>52</v>
      </c>
      <c r="I14" s="30">
        <f>((C14+D14)/2-(G14+H14)/2)/((G14+H14)/2)*100</f>
        <v>-5</v>
      </c>
      <c r="J14" s="29">
        <v>42</v>
      </c>
      <c r="K14" s="29">
        <v>45</v>
      </c>
      <c r="L14" s="31">
        <f>((C14+D14)/2-(J14+K14)/2)/((J14+K14)/2)*100</f>
        <v>9.1954022988505741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58</v>
      </c>
      <c r="H15" s="29">
        <v>65</v>
      </c>
      <c r="I15" s="30">
        <f>((C15+D15)/2-(G15+H15)/2)/((G15+H15)/2)*100</f>
        <v>-4.8780487804878048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60</v>
      </c>
      <c r="H16" s="29">
        <v>65</v>
      </c>
      <c r="I16" s="30">
        <f>((C16+D16)/2-(G16+H16)/2)/((G16+H16)/2)*100</f>
        <v>-4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" x14ac:dyDescent="0.3">
      <c r="A20" s="69" t="s">
        <v>29</v>
      </c>
      <c r="B20" s="6" t="s">
        <v>30</v>
      </c>
      <c r="C20" s="29">
        <v>910</v>
      </c>
      <c r="D20" s="29">
        <v>920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167</v>
      </c>
      <c r="K22" s="29">
        <v>170</v>
      </c>
      <c r="L22" s="31">
        <f t="shared" si="1"/>
        <v>13.94658753709199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155</v>
      </c>
      <c r="F23" s="29">
        <v>162</v>
      </c>
      <c r="G23" s="29">
        <v>155</v>
      </c>
      <c r="H23" s="29">
        <v>160</v>
      </c>
      <c r="I23" s="30">
        <f t="shared" si="0"/>
        <v>-0.31746031746031744</v>
      </c>
      <c r="J23" s="29">
        <v>154</v>
      </c>
      <c r="K23" s="29">
        <v>156</v>
      </c>
      <c r="L23" s="31">
        <f t="shared" si="1"/>
        <v>1.2903225806451613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158</v>
      </c>
      <c r="H24" s="29">
        <v>166</v>
      </c>
      <c r="I24" s="30">
        <f t="shared" si="0"/>
        <v>-1.2345679012345678</v>
      </c>
      <c r="J24" s="29">
        <v>158</v>
      </c>
      <c r="K24" s="29">
        <v>160</v>
      </c>
      <c r="L24" s="31">
        <f t="shared" si="1"/>
        <v>0.62893081761006298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1050</v>
      </c>
      <c r="I25" s="30">
        <f t="shared" si="0"/>
        <v>1.4423076923076923</v>
      </c>
      <c r="J25" s="29">
        <v>980</v>
      </c>
      <c r="K25" s="29">
        <v>1050</v>
      </c>
      <c r="L25" s="31">
        <f t="shared" si="1"/>
        <v>3.9408866995073892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70</v>
      </c>
      <c r="L33" s="31">
        <f t="shared" si="3"/>
        <v>-66.666666666666657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110</v>
      </c>
      <c r="D35" s="29">
        <v>120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53.333333333333336</v>
      </c>
      <c r="J35" s="29">
        <v>130</v>
      </c>
      <c r="K35" s="29">
        <v>150</v>
      </c>
      <c r="L35" s="31">
        <f t="shared" ref="L35:L50" si="5">((C35+D35)/2-(J35+K35)/2)/((J35+K35)/2)*100</f>
        <v>-17.857142857142858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" x14ac:dyDescent="0.3">
      <c r="A38" s="69" t="s">
        <v>46</v>
      </c>
      <c r="B38" s="6" t="s">
        <v>18</v>
      </c>
      <c r="C38" s="29">
        <v>150</v>
      </c>
      <c r="D38" s="29">
        <v>200</v>
      </c>
      <c r="E38" s="29">
        <v>130</v>
      </c>
      <c r="F38" s="29">
        <v>200</v>
      </c>
      <c r="G38" s="29">
        <v>130</v>
      </c>
      <c r="H38" s="29">
        <v>190</v>
      </c>
      <c r="I38" s="30">
        <f t="shared" si="4"/>
        <v>9.375</v>
      </c>
      <c r="J38" s="29">
        <v>200</v>
      </c>
      <c r="K38" s="29">
        <v>230</v>
      </c>
      <c r="L38" s="31">
        <f t="shared" si="5"/>
        <v>-18.604651162790699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400</v>
      </c>
      <c r="I42" s="30">
        <f t="shared" si="4"/>
        <v>2.8571428571428572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150</v>
      </c>
      <c r="H43" s="29">
        <v>160</v>
      </c>
      <c r="I43" s="30">
        <f t="shared" si="4"/>
        <v>-100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700</v>
      </c>
      <c r="I45" s="30">
        <f t="shared" si="4"/>
        <v>3.8461538461538463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-6</v>
      </c>
      <c r="J49" s="29">
        <v>220</v>
      </c>
      <c r="K49" s="29">
        <v>260</v>
      </c>
      <c r="L49" s="31">
        <f t="shared" si="5"/>
        <v>-2.083333333333333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1200</v>
      </c>
      <c r="G53" s="29">
        <v>900</v>
      </c>
      <c r="H53" s="29">
        <v>1400</v>
      </c>
      <c r="I53" s="30">
        <f t="shared" si="6"/>
        <v>13.043478260869565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190</v>
      </c>
      <c r="E56" s="29">
        <v>170</v>
      </c>
      <c r="F56" s="29">
        <v>185</v>
      </c>
      <c r="G56" s="29">
        <v>170</v>
      </c>
      <c r="H56" s="29">
        <v>190</v>
      </c>
      <c r="I56" s="30">
        <f t="shared" si="6"/>
        <v>0</v>
      </c>
      <c r="J56" s="29">
        <v>180</v>
      </c>
      <c r="K56" s="29">
        <v>200</v>
      </c>
      <c r="L56" s="31">
        <f t="shared" si="7"/>
        <v>-5.2631578947368416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840</v>
      </c>
      <c r="H62" s="29">
        <v>900</v>
      </c>
      <c r="I62" s="30">
        <f>((C62+D62)/2-(G62+H62)/2)/((G62+H62)/2)*100</f>
        <v>-0.57471264367816088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45968</v>
      </c>
      <c r="D67" s="84"/>
      <c r="E67" s="85">
        <v>45961</v>
      </c>
      <c r="F67" s="84"/>
      <c r="G67" s="85">
        <v>45937</v>
      </c>
      <c r="H67" s="84"/>
      <c r="I67" s="26" t="s">
        <v>12</v>
      </c>
      <c r="J67" s="85">
        <v>45603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110</v>
      </c>
      <c r="I69" s="30">
        <f>((C69+D69)/2-(G69+H69)/2)/((G69+H69)/2)*100</f>
        <v>-2.3255813953488373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450</v>
      </c>
      <c r="I70" s="30">
        <f t="shared" ref="I70:I75" si="9">((C70+D70)/2-(G70+H70)/2)/((G70+H70)/2)*100</f>
        <v>11.940298507462686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133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111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" x14ac:dyDescent="0.25">
      <c r="A82" s="44" t="s">
        <v>80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" x14ac:dyDescent="0.25">
      <c r="A83" s="5" t="s">
        <v>81</v>
      </c>
      <c r="B83" s="6" t="s">
        <v>82</v>
      </c>
      <c r="C83" s="88" t="s">
        <v>6</v>
      </c>
      <c r="D83" s="89"/>
      <c r="E83" s="90" t="s">
        <v>83</v>
      </c>
      <c r="F83" s="91"/>
      <c r="G83" s="77" t="s">
        <v>12</v>
      </c>
      <c r="H83" s="88" t="s">
        <v>84</v>
      </c>
      <c r="I83" s="92"/>
      <c r="J83" s="89"/>
      <c r="K83" s="50"/>
      <c r="L83" s="17"/>
    </row>
    <row r="84" spans="1:12" ht="21" x14ac:dyDescent="0.3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ref="G84:G87" si="10">((C84+D84)/2-(E84+F84)/2)/((E84+F84)/2)*100</f>
        <v>-1.5384615384615385</v>
      </c>
      <c r="H84" s="5" t="s">
        <v>121</v>
      </c>
      <c r="I84" s="6"/>
      <c r="J84" s="6"/>
      <c r="K84" s="50"/>
      <c r="L84" s="17"/>
    </row>
    <row r="85" spans="1:12" ht="21" x14ac:dyDescent="0.3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121</v>
      </c>
      <c r="I85" s="6"/>
      <c r="J85" s="6"/>
      <c r="K85" s="50"/>
      <c r="L85" s="17"/>
    </row>
    <row r="86" spans="1:12" ht="21" x14ac:dyDescent="0.3">
      <c r="A86" s="69" t="s">
        <v>21</v>
      </c>
      <c r="B86" s="6" t="s">
        <v>18</v>
      </c>
      <c r="C86" s="29">
        <v>45</v>
      </c>
      <c r="D86" s="29">
        <v>50</v>
      </c>
      <c r="E86" s="29">
        <v>45</v>
      </c>
      <c r="F86" s="29">
        <v>52</v>
      </c>
      <c r="G86" s="7">
        <f t="shared" si="10"/>
        <v>-2.0618556701030926</v>
      </c>
      <c r="H86" s="5" t="s">
        <v>125</v>
      </c>
      <c r="I86" s="6"/>
      <c r="J86" s="6"/>
      <c r="K86" s="50"/>
      <c r="L86" s="17"/>
    </row>
    <row r="87" spans="1:12" ht="21" x14ac:dyDescent="0.3">
      <c r="A87" s="69" t="s">
        <v>22</v>
      </c>
      <c r="B87" s="6" t="s">
        <v>23</v>
      </c>
      <c r="C87" s="29">
        <v>55</v>
      </c>
      <c r="D87" s="29">
        <v>62</v>
      </c>
      <c r="E87" s="29">
        <v>55</v>
      </c>
      <c r="F87" s="29">
        <v>65</v>
      </c>
      <c r="G87" s="7">
        <f t="shared" si="10"/>
        <v>-2.5</v>
      </c>
      <c r="H87" s="5" t="s">
        <v>117</v>
      </c>
      <c r="I87" s="6"/>
      <c r="J87" s="6"/>
      <c r="K87" s="50"/>
      <c r="L87" s="17"/>
    </row>
    <row r="88" spans="1:12" ht="21" x14ac:dyDescent="0.3">
      <c r="A88" s="69" t="s">
        <v>33</v>
      </c>
      <c r="B88" s="6" t="s">
        <v>28</v>
      </c>
      <c r="C88" s="29">
        <v>152</v>
      </c>
      <c r="D88" s="29">
        <v>162</v>
      </c>
      <c r="E88" s="29">
        <v>155</v>
      </c>
      <c r="F88" s="29">
        <v>162</v>
      </c>
      <c r="G88" s="7">
        <f t="shared" ref="G88:G90" si="11">((C88+D88)/2-(E88+F88)/2)/((E88+F88)/2)*100</f>
        <v>-0.94637223974763407</v>
      </c>
      <c r="H88" s="5" t="s">
        <v>123</v>
      </c>
      <c r="I88" s="6"/>
      <c r="J88" s="6"/>
      <c r="K88" s="50"/>
      <c r="L88" s="17"/>
    </row>
    <row r="89" spans="1:12" ht="21" x14ac:dyDescent="0.3">
      <c r="A89" s="69" t="s">
        <v>106</v>
      </c>
      <c r="B89" s="6" t="s">
        <v>28</v>
      </c>
      <c r="C89" s="29">
        <v>155</v>
      </c>
      <c r="D89" s="29">
        <v>165</v>
      </c>
      <c r="E89" s="29">
        <v>158</v>
      </c>
      <c r="F89" s="29">
        <v>165</v>
      </c>
      <c r="G89" s="7">
        <f t="shared" si="11"/>
        <v>-0.92879256965944268</v>
      </c>
      <c r="H89" s="5" t="s">
        <v>123</v>
      </c>
      <c r="I89" s="6"/>
      <c r="J89" s="6"/>
      <c r="K89" s="50"/>
      <c r="L89" s="17"/>
    </row>
    <row r="90" spans="1:12" ht="21" x14ac:dyDescent="0.3">
      <c r="A90" s="69" t="s">
        <v>37</v>
      </c>
      <c r="B90" s="6" t="s">
        <v>18</v>
      </c>
      <c r="C90" s="29">
        <v>90</v>
      </c>
      <c r="D90" s="29">
        <v>110</v>
      </c>
      <c r="E90" s="29">
        <v>95</v>
      </c>
      <c r="F90" s="29">
        <v>110</v>
      </c>
      <c r="G90" s="7">
        <f t="shared" si="11"/>
        <v>-2.4390243902439024</v>
      </c>
      <c r="H90" s="5" t="s">
        <v>125</v>
      </c>
      <c r="I90" s="6"/>
      <c r="J90" s="6"/>
      <c r="K90" s="50"/>
      <c r="L90" s="17"/>
    </row>
    <row r="91" spans="1:12" ht="21" x14ac:dyDescent="0.3">
      <c r="A91" s="69" t="s">
        <v>90</v>
      </c>
      <c r="B91" s="6" t="s">
        <v>18</v>
      </c>
      <c r="C91" s="29">
        <v>110</v>
      </c>
      <c r="D91" s="29">
        <v>120</v>
      </c>
      <c r="E91" s="29">
        <v>70</v>
      </c>
      <c r="F91" s="29">
        <v>80</v>
      </c>
      <c r="G91" s="7">
        <f t="shared" ref="G91:G99" si="12">((C91+D91)/2-(E91+F91)/2)/((E91+F91)/2)*100</f>
        <v>53.333333333333336</v>
      </c>
      <c r="H91" s="5" t="s">
        <v>124</v>
      </c>
      <c r="I91" s="6"/>
      <c r="J91" s="6"/>
      <c r="K91" s="11"/>
      <c r="L91" s="11"/>
    </row>
    <row r="92" spans="1:12" ht="21" x14ac:dyDescent="0.3">
      <c r="A92" s="69" t="s">
        <v>46</v>
      </c>
      <c r="B92" s="6" t="s">
        <v>18</v>
      </c>
      <c r="C92" s="29">
        <v>150</v>
      </c>
      <c r="D92" s="29">
        <v>200</v>
      </c>
      <c r="E92" s="29">
        <v>130</v>
      </c>
      <c r="F92" s="29">
        <v>200</v>
      </c>
      <c r="G92" s="7">
        <f t="shared" si="12"/>
        <v>6.0606060606060606</v>
      </c>
      <c r="H92" s="5" t="s">
        <v>126</v>
      </c>
      <c r="I92" s="6"/>
      <c r="J92" s="6"/>
      <c r="K92" s="11"/>
      <c r="L92" s="11"/>
    </row>
    <row r="93" spans="1:12" ht="21" x14ac:dyDescent="0.3">
      <c r="A93" s="69" t="s">
        <v>52</v>
      </c>
      <c r="B93" s="6" t="s">
        <v>18</v>
      </c>
      <c r="C93" s="29">
        <v>150</v>
      </c>
      <c r="D93" s="29">
        <v>220</v>
      </c>
      <c r="E93" s="29">
        <v>130</v>
      </c>
      <c r="F93" s="29">
        <v>220</v>
      </c>
      <c r="G93" s="7">
        <f t="shared" si="12"/>
        <v>5.7142857142857144</v>
      </c>
      <c r="H93" s="5" t="s">
        <v>124</v>
      </c>
      <c r="I93" s="6"/>
      <c r="J93" s="6"/>
      <c r="K93" s="11"/>
      <c r="L93" s="11"/>
    </row>
    <row r="94" spans="1:12" ht="21" x14ac:dyDescent="0.3">
      <c r="A94" s="69" t="s">
        <v>57</v>
      </c>
      <c r="B94" s="6" t="s">
        <v>18</v>
      </c>
      <c r="C94" s="29">
        <v>190</v>
      </c>
      <c r="D94" s="29">
        <v>280</v>
      </c>
      <c r="E94" s="29">
        <v>200</v>
      </c>
      <c r="F94" s="29">
        <v>280</v>
      </c>
      <c r="G94" s="7">
        <f>((C94+D94)/2-(E94+F94)/2)/((E94+F94)/2)*100</f>
        <v>-2.083333333333333</v>
      </c>
      <c r="H94" s="5" t="s">
        <v>125</v>
      </c>
      <c r="I94" s="6"/>
      <c r="J94" s="6"/>
      <c r="K94" s="11"/>
      <c r="L94" s="11"/>
    </row>
    <row r="95" spans="1:12" ht="21" x14ac:dyDescent="0.3">
      <c r="A95" s="69" t="s">
        <v>58</v>
      </c>
      <c r="B95" s="6" t="s">
        <v>18</v>
      </c>
      <c r="C95" s="29">
        <v>160</v>
      </c>
      <c r="D95" s="29">
        <v>225</v>
      </c>
      <c r="E95" s="29">
        <v>200</v>
      </c>
      <c r="F95" s="29">
        <v>225</v>
      </c>
      <c r="G95" s="7">
        <f>((C95+D95)/2-(E95+F95)/2)/((E95+F95)/2)*100</f>
        <v>-9.4117647058823533</v>
      </c>
      <c r="H95" s="5" t="s">
        <v>123</v>
      </c>
      <c r="I95" s="6"/>
      <c r="J95" s="6"/>
      <c r="K95" s="11"/>
      <c r="L95" s="11"/>
    </row>
    <row r="96" spans="1:12" ht="21" x14ac:dyDescent="0.3">
      <c r="A96" s="69" t="s">
        <v>62</v>
      </c>
      <c r="B96" s="6" t="s">
        <v>18</v>
      </c>
      <c r="C96" s="29">
        <v>170</v>
      </c>
      <c r="D96" s="29">
        <v>190</v>
      </c>
      <c r="E96" s="29">
        <v>170</v>
      </c>
      <c r="F96" s="29">
        <v>185</v>
      </c>
      <c r="G96" s="7">
        <f t="shared" si="12"/>
        <v>1.4084507042253522</v>
      </c>
      <c r="H96" s="5" t="s">
        <v>131</v>
      </c>
      <c r="I96" s="6"/>
      <c r="J96" s="6"/>
      <c r="K96" s="11"/>
      <c r="L96" s="11"/>
    </row>
    <row r="97" spans="1:12" ht="23.25" x14ac:dyDescent="0.3">
      <c r="A97" s="5" t="s">
        <v>72</v>
      </c>
      <c r="B97" s="6" t="s">
        <v>18</v>
      </c>
      <c r="C97" s="29">
        <v>200</v>
      </c>
      <c r="D97" s="29">
        <v>550</v>
      </c>
      <c r="E97" s="29">
        <v>220</v>
      </c>
      <c r="F97" s="29">
        <v>550</v>
      </c>
      <c r="G97" s="7">
        <f t="shared" si="12"/>
        <v>-2.5974025974025974</v>
      </c>
      <c r="H97" s="5" t="s">
        <v>123</v>
      </c>
      <c r="I97" s="6"/>
      <c r="J97" s="6"/>
      <c r="K97" s="40"/>
      <c r="L97" s="11"/>
    </row>
    <row r="98" spans="1:12" ht="23.25" x14ac:dyDescent="0.3">
      <c r="A98" s="5" t="s">
        <v>73</v>
      </c>
      <c r="B98" s="6" t="s">
        <v>74</v>
      </c>
      <c r="C98" s="37">
        <v>43</v>
      </c>
      <c r="D98" s="37">
        <v>50</v>
      </c>
      <c r="E98" s="37">
        <v>45</v>
      </c>
      <c r="F98" s="37">
        <v>50</v>
      </c>
      <c r="G98" s="7">
        <f t="shared" si="12"/>
        <v>-2.1052631578947367</v>
      </c>
      <c r="H98" s="5" t="s">
        <v>121</v>
      </c>
      <c r="I98" s="6"/>
      <c r="J98" s="6"/>
      <c r="K98" s="40"/>
      <c r="L98" s="11"/>
    </row>
    <row r="99" spans="1:12" ht="23.25" x14ac:dyDescent="0.3">
      <c r="A99" s="5" t="s">
        <v>77</v>
      </c>
      <c r="B99" s="6" t="s">
        <v>78</v>
      </c>
      <c r="C99" s="29">
        <v>81000</v>
      </c>
      <c r="D99" s="29">
        <v>86000</v>
      </c>
      <c r="E99" s="29">
        <v>81000</v>
      </c>
      <c r="F99" s="29">
        <v>84000</v>
      </c>
      <c r="G99" s="7">
        <f t="shared" si="12"/>
        <v>1.2121212121212122</v>
      </c>
      <c r="H99" s="5" t="s">
        <v>122</v>
      </c>
      <c r="I99" s="6"/>
      <c r="J99" s="6"/>
      <c r="K99" s="40"/>
      <c r="L99" s="11"/>
    </row>
    <row r="100" spans="1:12" ht="23.25" x14ac:dyDescent="0.3">
      <c r="A100" s="5" t="s">
        <v>79</v>
      </c>
      <c r="B100" s="6" t="s">
        <v>78</v>
      </c>
      <c r="C100" s="29">
        <v>75000</v>
      </c>
      <c r="D100" s="37">
        <v>79000</v>
      </c>
      <c r="E100" s="29">
        <v>75000</v>
      </c>
      <c r="F100" s="37">
        <v>77000</v>
      </c>
      <c r="G100" s="7">
        <f>((C100+D100)/2-(E100+F100)/2)/((E100+F100)/2)*100</f>
        <v>1.3157894736842104</v>
      </c>
      <c r="H100" s="5" t="s">
        <v>122</v>
      </c>
      <c r="I100" s="6"/>
      <c r="J100" s="6"/>
      <c r="K100" s="40"/>
      <c r="L100" s="11"/>
    </row>
    <row r="101" spans="1:12" ht="23.25" x14ac:dyDescent="0.3">
      <c r="A101" s="1"/>
      <c r="B101" s="3"/>
      <c r="C101" s="82"/>
      <c r="D101" s="82"/>
      <c r="E101" s="8"/>
      <c r="F101" s="82"/>
      <c r="G101" s="9"/>
      <c r="H101" s="1"/>
      <c r="I101" s="3"/>
      <c r="J101" s="3"/>
      <c r="K101" s="40"/>
      <c r="L101" s="11"/>
    </row>
    <row r="102" spans="1:12" ht="23.25" x14ac:dyDescent="0.3">
      <c r="A102" s="1"/>
      <c r="B102" s="3"/>
      <c r="C102" s="82"/>
      <c r="D102" s="82"/>
      <c r="E102" s="8"/>
      <c r="F102" s="82"/>
      <c r="G102" s="38"/>
      <c r="H102" s="39"/>
      <c r="I102" s="40"/>
      <c r="J102" s="40"/>
      <c r="K102" s="40"/>
      <c r="L102" s="11"/>
    </row>
    <row r="103" spans="1:12" ht="23.25" x14ac:dyDescent="0.3">
      <c r="A103" s="1"/>
      <c r="B103" s="13"/>
      <c r="C103" s="14"/>
      <c r="D103" s="14"/>
      <c r="E103" s="13"/>
      <c r="F103" s="14"/>
      <c r="G103" s="38"/>
      <c r="H103" s="39"/>
      <c r="I103" s="40"/>
      <c r="J103" s="40"/>
      <c r="K103" s="40"/>
      <c r="L103" s="11"/>
    </row>
    <row r="104" spans="1:12" ht="23.25" x14ac:dyDescent="0.3">
      <c r="A104" s="1"/>
      <c r="B104" s="41"/>
      <c r="C104" s="42" t="s">
        <v>120</v>
      </c>
      <c r="D104" s="10"/>
      <c r="E104" s="41"/>
      <c r="F104" s="13"/>
      <c r="G104" s="10"/>
      <c r="H104" s="39"/>
      <c r="I104" s="12"/>
      <c r="J104" s="13" t="s">
        <v>118</v>
      </c>
      <c r="K104" s="10"/>
      <c r="L104" s="10"/>
    </row>
    <row r="105" spans="1:12" ht="23.25" x14ac:dyDescent="0.3">
      <c r="A105" s="1"/>
      <c r="B105" s="43"/>
      <c r="C105" s="42" t="s">
        <v>116</v>
      </c>
      <c r="D105" s="13"/>
      <c r="E105" s="41"/>
      <c r="F105" s="44"/>
      <c r="G105" s="46"/>
      <c r="H105" s="46"/>
      <c r="I105" s="76"/>
      <c r="J105" s="13" t="s">
        <v>119</v>
      </c>
      <c r="K105" s="13"/>
      <c r="L105" s="13"/>
    </row>
    <row r="106" spans="1:12" ht="23.25" x14ac:dyDescent="0.3">
      <c r="A106" s="1"/>
      <c r="B106" s="13"/>
      <c r="C106" s="14"/>
      <c r="D106" s="13"/>
      <c r="E106" s="14"/>
      <c r="F106" s="44"/>
      <c r="G106" s="46"/>
      <c r="H106" s="46"/>
      <c r="I106" s="45"/>
      <c r="J106" s="10"/>
      <c r="K106" s="10"/>
      <c r="L106" s="2"/>
    </row>
    <row r="107" spans="1:12" ht="18.75" x14ac:dyDescent="0.25">
      <c r="A107" s="55" t="s">
        <v>93</v>
      </c>
      <c r="B107" s="53"/>
      <c r="C107" s="51"/>
      <c r="D107" s="53"/>
      <c r="E107" s="51"/>
      <c r="F107" s="51"/>
      <c r="G107" s="51"/>
      <c r="H107" s="52"/>
      <c r="I107" s="57"/>
      <c r="J107" s="2"/>
      <c r="K107" s="2"/>
      <c r="L107" s="2"/>
    </row>
    <row r="108" spans="1:12" ht="18.75" x14ac:dyDescent="0.25">
      <c r="A108" s="54" t="s">
        <v>99</v>
      </c>
      <c r="B108" s="53"/>
      <c r="C108" s="51"/>
      <c r="D108" s="53"/>
      <c r="E108" s="51"/>
      <c r="F108" s="51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98</v>
      </c>
      <c r="B109" s="53"/>
      <c r="C109" s="53"/>
      <c r="D109" s="53"/>
      <c r="E109" s="53"/>
      <c r="F109" s="51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85</v>
      </c>
      <c r="B110" s="53"/>
      <c r="C110" s="53"/>
      <c r="D110" s="53"/>
      <c r="E110" s="53"/>
      <c r="F110" s="52"/>
      <c r="G110" s="52"/>
      <c r="H110" s="52"/>
      <c r="I110" s="57"/>
      <c r="J110" s="2"/>
      <c r="K110" s="2"/>
      <c r="L110" s="2"/>
    </row>
    <row r="111" spans="1:12" ht="18.75" x14ac:dyDescent="0.25">
      <c r="A111" s="54" t="s">
        <v>97</v>
      </c>
      <c r="B111" s="53"/>
      <c r="C111" s="53"/>
      <c r="D111" s="53"/>
      <c r="E111" s="53"/>
      <c r="F111" s="53"/>
      <c r="G111" s="52"/>
      <c r="H111" s="52"/>
      <c r="I111" s="57"/>
      <c r="J111" s="2"/>
      <c r="K111" s="2"/>
      <c r="L111" s="2"/>
    </row>
    <row r="112" spans="1:12" ht="18.75" x14ac:dyDescent="0.25">
      <c r="A112" s="54" t="s">
        <v>96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107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8.75" x14ac:dyDescent="0.25">
      <c r="A114" s="54" t="s">
        <v>95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8.75" x14ac:dyDescent="0.25">
      <c r="A115" s="54" t="s">
        <v>94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8.75" x14ac:dyDescent="0.25">
      <c r="A116" s="54" t="s">
        <v>86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8.75" x14ac:dyDescent="0.2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8.75" x14ac:dyDescent="0.25">
      <c r="A118" s="54" t="s">
        <v>100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8.75" x14ac:dyDescent="0.25">
      <c r="A119" s="54" t="s">
        <v>102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8.75" x14ac:dyDescent="0.25">
      <c r="A120" s="54" t="s">
        <v>103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8.75" x14ac:dyDescent="0.25">
      <c r="A121" s="54" t="s">
        <v>87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8.75" x14ac:dyDescent="0.25">
      <c r="A122" s="54"/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8.75" x14ac:dyDescent="0.25">
      <c r="A123" s="55" t="s">
        <v>88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8.75" x14ac:dyDescent="0.25">
      <c r="A124" s="54" t="s">
        <v>89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8.75" x14ac:dyDescent="0.25">
      <c r="A125" s="54" t="s">
        <v>114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8.75" x14ac:dyDescent="0.25">
      <c r="A126" s="54" t="s">
        <v>113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8.75" x14ac:dyDescent="0.25">
      <c r="A127" s="54" t="s">
        <v>112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2025-11-06T10:17:56Z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