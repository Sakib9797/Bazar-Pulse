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79AE2065-70DF-B14E-8EE6-713C0DFA03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4" i="4"/>
  <c r="G85" i="4"/>
  <c r="G86" i="4"/>
  <c r="G87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<sst xmlns="http://schemas.openxmlformats.org/spreadsheetml/2006/main" count="229" uniqueCount="133">
  <si>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</si>
  <si>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</si>
  <si>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</si>
  <si>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</si>
  <si>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</si>
  <si>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</si>
  <si>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</si>
  <si>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</si>
  <si>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</si>
  <si>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</si>
  <si>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</si>
  <si>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</si>
  <si>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</si>
  <si>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</si>
  <si>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</si>
  <si>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</si>
  <si>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</si>
  <si>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</si>
  <si>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</si>
  <si>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</si>
  <si>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</si>
  <si>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</si>
  <si>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</si>
  <si>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</si>
  <si>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</si>
  <si>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</si>
  <si>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</si>
  <si>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</si>
  <si>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</si>
  <si>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</si>
  <si>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</si>
  <si>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</si>
  <si>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</si>
  <si>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</si>
  <si>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</si>
  <si>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</si>
  <si>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</si>
  <si>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</si>
  <si>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</si>
  <si>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</si>
  <si>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</si>
  <si>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</si>
  <si>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</si>
  <si>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</si>
  <si>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</si>
  <si>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</si>
  <si>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</si>
  <si>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</si>
  <si>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</si>
  <si>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</si>
  <si>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</si>
  <si>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</si>
  <si>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</si>
  <si>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</si>
  <si>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</si>
  <si>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</si>
  <si>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</si>
  <si>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</si>
  <si>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</si>
  <si>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</si>
  <si>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</si>
  <si>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</si>
  <si>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</si>
  <si>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</si>
  <si>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</si>
  <si>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</si>
  <si>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</si>
  <si>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</si>
  <si>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</si>
  <si>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</si>
  <si>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</si>
  <si>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</si>
  <si>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</si>
  <si>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</si>
  <si>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</si>
  <si>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</si>
  <si>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</si>
  <si>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</si>
  <si>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</si>
  <si>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</si>
  <si>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</si>
  <si>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</si>
  <si>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</si>
  <si>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</si>
  <si>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</si>
  <si>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</si>
  <si>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</si>
  <si>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</si>
  <si>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</si>
  <si>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</si>
  <si>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</si>
  <si>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</si>
  <si>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</si>
  <si>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</si>
  <si>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</si>
  <si>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</si>
  <si>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</si>
  <si>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</si>
  <si>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</si>
  <si>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</si>
  <si>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</si>
  <si>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</si>
  <si>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</si>
  <si>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</si>
  <si>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</si>
  <si>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</si>
  <si>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</si>
  <si>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</si>
  <si>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</si>
  <si>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</si>
  <si>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</si>
  <si>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</si>
  <si>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</si>
  <si>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</si>
  <si>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</si>
  <si>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</si>
  <si>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</si>
  <si>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</si>
  <si>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</si>
  <si>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</si>
  <si>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</si>
  <si>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২৩-০৯-২০২৫ তারিখে মূল্য বৃদ্ধি পেয়েছে।</t>
  </si>
  <si>
    <t>২৫-০৯-২০২৫ তারিখে মূল্য বৃদ্ধি পেয়েছে।</t>
  </si>
  <si>
    <t>২৫-০৯-২০২৫ তারিখে মূল্য হ্রাস পেয়েছে।</t>
  </si>
  <si>
    <t>স্মারক নং-২৬.০৫.০০০০.০১৭.৩১.০১.২৫-৬৮৫</t>
  </si>
  <si>
    <t xml:space="preserve">শুক্রবার ২৬ সেপ্টেম্বর ২০২৫ খ্রিঃ, ১১ আশ্বিন ১৪৩২ বাংলা, ০৩ রবিউল সানি ১৪৪৭ হিজরি </t>
  </si>
  <si>
    <t xml:space="preserve">   সিরিয়াল নংঃ     ২৪৩</t>
  </si>
  <si>
    <t>২৬-০৯-২০২৫ তারিখে মূল্য হ্রাস পেয়েছে।</t>
  </si>
  <si>
    <t>২৬-০৯-২০২৫ তারিখে মূল্য বৃদ্ধি পেয়েছে।</t>
  </si>
  <si>
    <t>(২ )    দারুচিনি , তেজপাতা, মুরগী ব্রয়লার   এর মূল্য হ্রাস পেয়েছে।</t>
  </si>
  <si>
    <t>(১)     সয়াবিন তেল লুজ, সুপার পাম অয়েল লুজ,  আদা (আম)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</si>
</sst>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G1" zoomScale="98" zoomScaleNormal="98" workbookViewId="0">
      <selection activeCell="L6" sqref="L6"/>
    </sheetView>
  </sheetViews>
  <sheetFormatPr defaultRowHeight="16.5" x14ac:dyDescent="0.25"/>
  <cols>
    <col min="1" max="1" width="16.00781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33984375" customWidth="1"/>
    <col min="11" max="11" width="9.4140625" customWidth="1"/>
    <col min="12" max="12" width="9.81640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45926</v>
      </c>
    </row>
    <row r="7" spans="1:12" ht="21" x14ac:dyDescent="0.2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" x14ac:dyDescent="0.25">
      <c r="A8" s="26"/>
      <c r="B8" s="27"/>
      <c r="C8" s="85">
        <v>45926</v>
      </c>
      <c r="D8" s="84"/>
      <c r="E8" s="85">
        <v>45919</v>
      </c>
      <c r="F8" s="84"/>
      <c r="G8" s="85">
        <v>45895</v>
      </c>
      <c r="H8" s="84"/>
      <c r="I8" s="27" t="s">
        <v>12</v>
      </c>
      <c r="J8" s="85">
        <v>45561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175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148</v>
      </c>
      <c r="K19" s="30">
        <v>155</v>
      </c>
      <c r="L19" s="32">
        <f t="shared" ref="L19:L25" si="1">((C19+D19)/2-(J19+K19)/2)/((J19+K19)/2)*100</f>
        <v>14.19141914191419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135</v>
      </c>
      <c r="K23" s="30">
        <v>140</v>
      </c>
      <c r="L23" s="32">
        <f t="shared" si="1"/>
        <v>13.818181818181818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155</v>
      </c>
      <c r="H24" s="30">
        <v>163</v>
      </c>
      <c r="I24" s="31">
        <f t="shared" si="0"/>
        <v>0.94339622641509435</v>
      </c>
      <c r="J24" s="30">
        <v>140</v>
      </c>
      <c r="K24" s="30">
        <v>142</v>
      </c>
      <c r="L24" s="32">
        <f t="shared" si="1"/>
        <v>13.829787234042554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70</v>
      </c>
      <c r="H36" s="30">
        <v>80</v>
      </c>
      <c r="I36" s="31">
        <f t="shared" si="4"/>
        <v>-100</v>
      </c>
      <c r="J36" s="30">
        <v>90</v>
      </c>
      <c r="K36" s="30">
        <v>100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210</v>
      </c>
      <c r="K37" s="30">
        <v>220</v>
      </c>
      <c r="L37" s="32">
        <f t="shared" si="5"/>
        <v>-44.186046511627907</v>
      </c>
    </row>
    <row r="38" spans="1:12" ht="21" x14ac:dyDescent="0.3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0</v>
      </c>
      <c r="J38" s="30">
        <v>200</v>
      </c>
      <c r="K38" s="30">
        <v>220</v>
      </c>
      <c r="L38" s="32">
        <f t="shared" si="5"/>
        <v>-21.428571428571427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150</v>
      </c>
      <c r="D44" s="30">
        <v>240</v>
      </c>
      <c r="E44" s="30">
        <v>130</v>
      </c>
      <c r="F44" s="30">
        <v>220</v>
      </c>
      <c r="G44" s="30">
        <v>150</v>
      </c>
      <c r="H44" s="30">
        <v>270</v>
      </c>
      <c r="I44" s="31">
        <f t="shared" si="4"/>
        <v>-7.1428571428571423</v>
      </c>
      <c r="J44" s="30">
        <v>200</v>
      </c>
      <c r="K44" s="30">
        <v>280</v>
      </c>
      <c r="L44" s="32">
        <f t="shared" si="5"/>
        <v>-18.75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" x14ac:dyDescent="0.3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" x14ac:dyDescent="0.3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-1.1904761904761905</v>
      </c>
      <c r="J50" s="30">
        <v>120</v>
      </c>
      <c r="K50" s="30">
        <v>200</v>
      </c>
      <c r="L50" s="32">
        <f t="shared" si="5"/>
        <v>29.6875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" x14ac:dyDescent="0.3">
      <c r="A56" s="70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-2.8169014084507045</v>
      </c>
      <c r="J56" s="30">
        <v>170</v>
      </c>
      <c r="K56" s="30">
        <v>180</v>
      </c>
      <c r="L56" s="32">
        <f t="shared" si="7"/>
        <v>-1.4285714285714286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5">
        <v>45926</v>
      </c>
      <c r="D67" s="84"/>
      <c r="E67" s="85">
        <v>45919</v>
      </c>
      <c r="F67" s="84"/>
      <c r="G67" s="85">
        <v>45895</v>
      </c>
      <c r="H67" s="84"/>
      <c r="I67" s="27" t="s">
        <v>12</v>
      </c>
      <c r="J67" s="85">
        <v>45561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90500</v>
      </c>
      <c r="K74" s="30">
        <v>92500</v>
      </c>
      <c r="L74" s="32">
        <f t="shared" si="8"/>
        <v>-7.3770491803278686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170</v>
      </c>
      <c r="D83" s="30">
        <v>176</v>
      </c>
      <c r="E83" s="30">
        <v>170</v>
      </c>
      <c r="F83" s="30">
        <v>175</v>
      </c>
      <c r="G83" s="7">
        <f t="shared" ref="G83" si="10">((C83+D83)/2-(E83+F83)/2)/((E83+F83)/2)*100</f>
        <v>0.28985507246376813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106</v>
      </c>
      <c r="B84" s="6" t="s">
        <v>28</v>
      </c>
      <c r="C84" s="30">
        <v>155</v>
      </c>
      <c r="D84" s="30">
        <v>166</v>
      </c>
      <c r="E84" s="30">
        <v>155</v>
      </c>
      <c r="F84" s="30">
        <v>165</v>
      </c>
      <c r="G84" s="7">
        <f t="shared" ref="G84:G88" si="11">((C84+D84)/2-(E84+F84)/2)/((E84+F84)/2)*100</f>
        <v>0.3125</v>
      </c>
      <c r="H84" s="5" t="s">
        <v>122</v>
      </c>
      <c r="I84" s="6"/>
      <c r="J84" s="6"/>
      <c r="K84" s="51"/>
      <c r="L84" s="18"/>
    </row>
    <row r="85" spans="1:12" ht="21" x14ac:dyDescent="0.3">
      <c r="A85" s="70" t="s">
        <v>52</v>
      </c>
      <c r="B85" s="6" t="s">
        <v>18</v>
      </c>
      <c r="C85" s="30">
        <v>150</v>
      </c>
      <c r="D85" s="30">
        <v>240</v>
      </c>
      <c r="E85" s="30">
        <v>130</v>
      </c>
      <c r="F85" s="30">
        <v>220</v>
      </c>
      <c r="G85" s="7">
        <f t="shared" si="11"/>
        <v>11.428571428571429</v>
      </c>
      <c r="H85" s="5" t="s">
        <v>128</v>
      </c>
      <c r="I85" s="6"/>
      <c r="J85" s="6"/>
      <c r="K85" s="51"/>
      <c r="L85" s="18"/>
    </row>
    <row r="86" spans="1:12" ht="21" x14ac:dyDescent="0.3">
      <c r="A86" s="70" t="s">
        <v>54</v>
      </c>
      <c r="B86" s="6" t="s">
        <v>18</v>
      </c>
      <c r="C86" s="30">
        <v>480</v>
      </c>
      <c r="D86" s="30">
        <v>600</v>
      </c>
      <c r="E86" s="30">
        <v>500</v>
      </c>
      <c r="F86" s="30">
        <v>600</v>
      </c>
      <c r="G86" s="7">
        <f t="shared" si="11"/>
        <v>-1.8181818181818181</v>
      </c>
      <c r="H86" s="5" t="s">
        <v>120</v>
      </c>
      <c r="I86" s="6"/>
      <c r="J86" s="6"/>
      <c r="K86" s="51"/>
      <c r="L86" s="18"/>
    </row>
    <row r="87" spans="1:12" ht="21" x14ac:dyDescent="0.3">
      <c r="A87" s="70" t="s">
        <v>58</v>
      </c>
      <c r="B87" s="6" t="s">
        <v>18</v>
      </c>
      <c r="C87" s="30">
        <v>190</v>
      </c>
      <c r="D87" s="30">
        <v>225</v>
      </c>
      <c r="E87" s="30">
        <v>200</v>
      </c>
      <c r="F87" s="30">
        <v>225</v>
      </c>
      <c r="G87" s="7">
        <f t="shared" si="11"/>
        <v>-2.3529411764705883</v>
      </c>
      <c r="H87" s="5" t="s">
        <v>123</v>
      </c>
      <c r="I87" s="6"/>
      <c r="J87" s="6"/>
      <c r="K87" s="51"/>
      <c r="L87" s="18"/>
    </row>
    <row r="88" spans="1:12" ht="21" x14ac:dyDescent="0.3">
      <c r="A88" s="70" t="s">
        <v>62</v>
      </c>
      <c r="B88" s="6" t="s">
        <v>18</v>
      </c>
      <c r="C88" s="30">
        <v>160</v>
      </c>
      <c r="D88" s="30">
        <v>185</v>
      </c>
      <c r="E88" s="30">
        <v>170</v>
      </c>
      <c r="F88" s="30">
        <v>185</v>
      </c>
      <c r="G88" s="7">
        <f t="shared" si="11"/>
        <v>-2.8169014084507045</v>
      </c>
      <c r="H88" s="5" t="s">
        <v>127</v>
      </c>
      <c r="I88" s="6"/>
      <c r="J88" s="6"/>
      <c r="K88" s="51"/>
      <c r="L88" s="18"/>
    </row>
    <row r="89" spans="1:12" ht="23.25" x14ac:dyDescent="0.3">
      <c r="A89" s="1"/>
      <c r="B89" s="3"/>
      <c r="C89" s="9"/>
      <c r="D89" s="9"/>
      <c r="E89" s="9"/>
      <c r="F89" s="9"/>
      <c r="G89" s="10"/>
      <c r="H89" s="1"/>
      <c r="I89" s="3"/>
      <c r="J89" s="3"/>
      <c r="K89" s="12"/>
      <c r="L89" s="12"/>
    </row>
    <row r="90" spans="1:12" ht="23.25" x14ac:dyDescent="0.3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3.25" x14ac:dyDescent="0.3">
      <c r="A91" s="1"/>
      <c r="B91" s="14"/>
      <c r="C91" s="15"/>
      <c r="D91" s="15"/>
      <c r="E91" s="14"/>
      <c r="F91" s="15"/>
      <c r="G91" s="39"/>
      <c r="H91" s="40"/>
      <c r="I91" s="41"/>
      <c r="J91" s="41"/>
      <c r="K91" s="41"/>
      <c r="L91" s="12"/>
    </row>
    <row r="92" spans="1:12" ht="23.25" x14ac:dyDescent="0.3">
      <c r="A92" s="1"/>
      <c r="B92" s="42"/>
      <c r="C92" s="43" t="s">
        <v>118</v>
      </c>
      <c r="D92" s="11"/>
      <c r="E92" s="42"/>
      <c r="F92" s="14"/>
      <c r="G92" s="11"/>
      <c r="H92" s="40"/>
      <c r="I92" s="13"/>
      <c r="J92" s="14" t="s">
        <v>116</v>
      </c>
      <c r="K92" s="11"/>
      <c r="L92" s="11"/>
    </row>
    <row r="93" spans="1:12" ht="23.25" x14ac:dyDescent="0.3">
      <c r="A93" s="1"/>
      <c r="B93" s="44"/>
      <c r="C93" s="43" t="s">
        <v>119</v>
      </c>
      <c r="D93" s="14"/>
      <c r="E93" s="42"/>
      <c r="F93" s="45"/>
      <c r="G93" s="47"/>
      <c r="H93" s="47"/>
      <c r="I93" s="77"/>
      <c r="J93" s="14" t="s">
        <v>117</v>
      </c>
      <c r="K93" s="14"/>
      <c r="L93" s="14"/>
    </row>
    <row r="94" spans="1:12" ht="23.25" x14ac:dyDescent="0.3">
      <c r="A94" s="1"/>
      <c r="B94" s="14"/>
      <c r="C94" s="15"/>
      <c r="D94" s="14"/>
      <c r="E94" s="15"/>
      <c r="F94" s="45"/>
      <c r="G94" s="47"/>
      <c r="H94" s="47"/>
      <c r="I94" s="46"/>
      <c r="J94" s="11"/>
      <c r="K94" s="11"/>
      <c r="L94" s="2"/>
    </row>
    <row r="95" spans="1:12" ht="18.75" x14ac:dyDescent="0.25">
      <c r="A95" s="56" t="s">
        <v>93</v>
      </c>
      <c r="B95" s="54"/>
      <c r="C95" s="52"/>
      <c r="D95" s="54"/>
      <c r="E95" s="52"/>
      <c r="F95" s="52"/>
      <c r="G95" s="52"/>
      <c r="H95" s="53"/>
      <c r="I95" s="58"/>
      <c r="J95" s="2"/>
      <c r="K95" s="2"/>
      <c r="L95" s="2"/>
    </row>
    <row r="96" spans="1:12" ht="18.75" x14ac:dyDescent="0.25">
      <c r="A96" s="55" t="s">
        <v>99</v>
      </c>
      <c r="B96" s="54"/>
      <c r="C96" s="52"/>
      <c r="D96" s="54"/>
      <c r="E96" s="52"/>
      <c r="F96" s="52"/>
      <c r="G96" s="54"/>
      <c r="H96" s="53"/>
      <c r="I96" s="58"/>
      <c r="J96" s="2"/>
      <c r="K96" s="2"/>
      <c r="L96" s="2"/>
    </row>
    <row r="97" spans="1:12" ht="18.75" x14ac:dyDescent="0.25">
      <c r="A97" s="55" t="s">
        <v>98</v>
      </c>
      <c r="B97" s="54"/>
      <c r="C97" s="54"/>
      <c r="D97" s="54"/>
      <c r="E97" s="54"/>
      <c r="F97" s="52"/>
      <c r="G97" s="54"/>
      <c r="H97" s="53"/>
      <c r="I97" s="58"/>
      <c r="J97" s="2"/>
      <c r="K97" s="2"/>
      <c r="L97" s="2"/>
    </row>
    <row r="98" spans="1:12" ht="18.75" x14ac:dyDescent="0.25">
      <c r="A98" s="55" t="s">
        <v>85</v>
      </c>
      <c r="B98" s="54"/>
      <c r="C98" s="54"/>
      <c r="D98" s="54"/>
      <c r="E98" s="54"/>
      <c r="F98" s="53"/>
      <c r="G98" s="53"/>
      <c r="H98" s="53"/>
      <c r="I98" s="58"/>
      <c r="J98" s="2"/>
      <c r="K98" s="2"/>
      <c r="L98" s="2"/>
    </row>
    <row r="99" spans="1:12" ht="18.75" x14ac:dyDescent="0.25">
      <c r="A99" s="55" t="s">
        <v>97</v>
      </c>
      <c r="B99" s="54"/>
      <c r="C99" s="54"/>
      <c r="D99" s="54"/>
      <c r="E99" s="54"/>
      <c r="F99" s="54"/>
      <c r="G99" s="53"/>
      <c r="H99" s="53"/>
      <c r="I99" s="58"/>
      <c r="J99" s="2"/>
      <c r="K99" s="2"/>
      <c r="L99" s="2"/>
    </row>
    <row r="100" spans="1:12" ht="18.75" x14ac:dyDescent="0.25">
      <c r="A100" s="55" t="s">
        <v>96</v>
      </c>
      <c r="B100" s="54"/>
      <c r="C100" s="54"/>
      <c r="D100" s="54"/>
      <c r="E100" s="54"/>
      <c r="F100" s="54"/>
      <c r="G100" s="54"/>
      <c r="H100" s="53"/>
      <c r="I100" s="58"/>
      <c r="J100" s="2"/>
      <c r="K100" s="2"/>
      <c r="L100" s="2"/>
    </row>
    <row r="101" spans="1:12" ht="18.75" x14ac:dyDescent="0.25">
      <c r="A101" s="55" t="s">
        <v>107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95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94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86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101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100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102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87</v>
      </c>
      <c r="B109" s="54"/>
      <c r="C109" s="54"/>
      <c r="D109" s="54"/>
      <c r="E109" s="54"/>
      <c r="F109" s="54"/>
      <c r="G109" s="54"/>
      <c r="H109" s="57"/>
      <c r="I109" s="59"/>
      <c r="J109" s="12"/>
      <c r="K109" s="12"/>
      <c r="L109" s="12"/>
    </row>
    <row r="110" spans="1:12" ht="18.75" x14ac:dyDescent="0.25">
      <c r="A110" s="55"/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8.75" x14ac:dyDescent="0.25">
      <c r="A111" s="56" t="s">
        <v>88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5" t="s">
        <v>89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5" t="s">
        <v>115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114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113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2025-09-25T10:31:55Z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