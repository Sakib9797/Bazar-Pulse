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02079334-990A-49A1-B07A-D5A9B92A25B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7" i="4" l="1"/>
  <c r="G83" i="4"/>
  <c r="G89" i="4"/>
  <c r="G88" i="4"/>
  <c r="G84" i="4"/>
  <c r="G86" i="4"/>
  <c r="G92" i="4"/>
  <c r="G91" i="4"/>
  <c r="G90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<sst xmlns="http://schemas.openxmlformats.org/spreadsheetml/2006/main" count="240" uniqueCount="130">
  <si>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</si>
  <si>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</si>
  <si>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</si>
  <si>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</si>
  <si>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</si>
  <si>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</si>
  <si>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</si>
  <si>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</si>
  <si>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</si>
  <si>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</si>
  <si>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</si>
  <si>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</si>
  <si>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</si>
  <si>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</si>
  <si>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</si>
  <si>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</si>
  <si>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</si>
  <si>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</si>
  <si>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</si>
  <si>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</si>
  <si>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</si>
  <si>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</si>
  <si>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</si>
  <si>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</si>
  <si>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</si>
  <si>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</si>
  <si>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</si>
  <si>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</si>
  <si>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</si>
  <si>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</si>
  <si>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</si>
  <si>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</si>
  <si>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</si>
  <si>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</si>
  <si>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</si>
  <si>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</si>
  <si>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</si>
  <si>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</si>
  <si>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</si>
  <si>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</si>
  <si>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</si>
  <si>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</si>
  <si>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</si>
  <si>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</si>
  <si>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</si>
  <si>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</si>
  <si>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</si>
  <si>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</si>
  <si>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</si>
  <si>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</si>
  <si>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</si>
  <si>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</si>
  <si>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</si>
  <si>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</si>
  <si>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</si>
  <si>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</si>
  <si>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</si>
  <si>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</si>
  <si>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</si>
  <si>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</si>
  <si>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</si>
  <si>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</si>
  <si>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</si>
  <si>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</si>
  <si>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</si>
  <si>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</si>
  <si>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</si>
  <si>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</si>
  <si>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</si>
  <si>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</si>
  <si>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</si>
  <si>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</si>
  <si>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</si>
  <si>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</si>
  <si>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</si>
  <si>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</si>
  <si>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</si>
  <si>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</si>
  <si>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</si>
  <si>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</si>
  <si>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</si>
  <si>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</si>
  <si>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</si>
  <si>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</si>
  <si>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</si>
  <si>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</si>
  <si>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</si>
  <si>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</si>
  <si>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</si>
  <si>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</si>
  <si>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</si>
  <si>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</si>
  <si>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</si>
  <si>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</si>
  <si>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</si>
  <si>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</si>
  <si>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</si>
  <si>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</si>
  <si>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</si>
  <si>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</si>
  <si>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</si>
  <si>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</si>
  <si>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</si>
  <si>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</si>
  <si>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</si>
  <si>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</si>
  <si>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</si>
  <si>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</si>
  <si>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</si>
  <si>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</si>
  <si>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</si>
  <si>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</si>
  <si>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</si>
  <si>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</si>
  <si>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</si>
  <si>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</si>
  <si>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</si>
  <si>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(মোঃ হুমায়ুন কবির)</t>
  </si>
  <si>
    <t>যুগ্ম পরিচালক (বাজার তথ্য)</t>
  </si>
  <si>
    <t>২৮-০৮-২০২৫ তারিখে মূল্য হ্রাস পেয়েছে।</t>
  </si>
  <si>
    <t>২৮-০৮-২০২৫ তারিখে মূল্য বৃদ্ধি পেয়েছে।</t>
  </si>
  <si>
    <t>৩০-০৮-২০২৫ তারিখে মূল্য বৃদ্ধি পেয়েছে।</t>
  </si>
  <si>
    <t>৩১-০৮-২০২৫ তারিখে মূল্য বৃদ্ধি পেয়েছে।</t>
  </si>
  <si>
    <t>৩১-০৮-২০২৫ তারিখে মূল্য হ্রাস পেয়েছে।</t>
  </si>
  <si>
    <t>(২ )    মুরগী ব্রয়লার,  এস রড (৬০,৪০ গ্রেড)   এর মূল্য হ্রাস পেয়েছে।</t>
  </si>
  <si>
    <t>স্মারক নং-২৬.০৫.০০০০.০১৭.৩১.০১.২৫-৬১২</t>
  </si>
  <si>
    <t xml:space="preserve">সোমবার ০১ সেপ্টেম্বর ২০২৫ খ্রিঃ, ১৭ ভাদ্র ১৪৩২ বাংলা, ০৭ রবিউল আউয়াল ১৪৪৭ হিজরি </t>
  </si>
  <si>
    <t xml:space="preserve">   সিরিয়াল নংঃ     ২১৮</t>
  </si>
  <si>
    <t>০১-০৯-২০২৫ তারিখে মূল্য বৃদ্ধি পেয়েছে।</t>
  </si>
  <si>
    <t>(১)     আটা (খোলা), সয়াবিন তেল (লুজ), সুপার পাম অয়েল লুজ, রশুন (দেশী), আদা (আম), তেজপাতা, চিনি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</si>
</sst>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topLeftCell="A75" zoomScale="98" zoomScaleNormal="98" workbookViewId="0">
      <selection activeCell="B78" sqref="B78"/>
    </sheetView>
  </sheetViews>
  <sheetFormatPr defaultRowHeight="15.75"/>
  <cols>
    <col min="1" max="1" width="16.0976562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127</v>
      </c>
      <c r="L4" s="86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45901</v>
      </c>
    </row>
    <row r="7" spans="1:12" ht="21.75">
      <c r="A7" s="26" t="s">
        <v>4</v>
      </c>
      <c r="B7" s="27" t="s">
        <v>5</v>
      </c>
      <c r="C7" s="85" t="s">
        <v>6</v>
      </c>
      <c r="D7" s="86"/>
      <c r="E7" s="85" t="s">
        <v>7</v>
      </c>
      <c r="F7" s="86"/>
      <c r="G7" s="85" t="s">
        <v>8</v>
      </c>
      <c r="H7" s="86"/>
      <c r="I7" s="27" t="s">
        <v>9</v>
      </c>
      <c r="J7" s="85" t="s">
        <v>10</v>
      </c>
      <c r="K7" s="86"/>
      <c r="L7" s="28" t="s">
        <v>11</v>
      </c>
    </row>
    <row r="8" spans="1:12" ht="21.75">
      <c r="A8" s="26"/>
      <c r="B8" s="27"/>
      <c r="C8" s="87">
        <v>45901</v>
      </c>
      <c r="D8" s="86"/>
      <c r="E8" s="87">
        <v>45894</v>
      </c>
      <c r="F8" s="86"/>
      <c r="G8" s="87">
        <v>45870</v>
      </c>
      <c r="H8" s="86"/>
      <c r="I8" s="27" t="s">
        <v>12</v>
      </c>
      <c r="J8" s="87">
        <v>45536</v>
      </c>
      <c r="K8" s="86"/>
      <c r="L8" s="27" t="s">
        <v>12</v>
      </c>
    </row>
    <row r="9" spans="1:12" ht="21.7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.75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3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50</v>
      </c>
      <c r="G14" s="30">
        <v>40</v>
      </c>
      <c r="H14" s="30">
        <v>45</v>
      </c>
      <c r="I14" s="31">
        <f>((C14+D14)/2-(G14+H14)/2)/((G14+H14)/2)*100</f>
        <v>14.117647058823529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3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3" t="s">
        <v>27</v>
      </c>
      <c r="B19" s="6" t="s">
        <v>28</v>
      </c>
      <c r="C19" s="30">
        <v>166</v>
      </c>
      <c r="D19" s="30">
        <v>172</v>
      </c>
      <c r="E19" s="30">
        <v>165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1.8072289156626504</v>
      </c>
      <c r="J19" s="30">
        <v>145</v>
      </c>
      <c r="K19" s="30">
        <v>152</v>
      </c>
      <c r="L19" s="32">
        <f t="shared" ref="L19:L25" si="1">((C19+D19)/2-(J19+K19)/2)/((J19+K19)/2)*100</f>
        <v>13.804713804713806</v>
      </c>
    </row>
    <row r="20" spans="1:12" ht="21.75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3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3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3" t="s">
        <v>33</v>
      </c>
      <c r="B23" s="6" t="s">
        <v>28</v>
      </c>
      <c r="C23" s="30">
        <v>153</v>
      </c>
      <c r="D23" s="30">
        <v>158</v>
      </c>
      <c r="E23" s="30">
        <v>153</v>
      </c>
      <c r="F23" s="30">
        <v>158</v>
      </c>
      <c r="G23" s="30">
        <v>150</v>
      </c>
      <c r="H23" s="30">
        <v>155</v>
      </c>
      <c r="I23" s="31">
        <f t="shared" si="0"/>
        <v>1.9672131147540985</v>
      </c>
      <c r="J23" s="30">
        <v>130</v>
      </c>
      <c r="K23" s="30">
        <v>135</v>
      </c>
      <c r="L23" s="32">
        <f t="shared" si="1"/>
        <v>17.358490566037734</v>
      </c>
    </row>
    <row r="24" spans="1:12" ht="21.75">
      <c r="A24" s="73" t="s">
        <v>108</v>
      </c>
      <c r="B24" s="6" t="s">
        <v>28</v>
      </c>
      <c r="C24" s="30">
        <v>158</v>
      </c>
      <c r="D24" s="30">
        <v>164</v>
      </c>
      <c r="E24" s="30">
        <v>155</v>
      </c>
      <c r="F24" s="30">
        <v>163</v>
      </c>
      <c r="G24" s="30">
        <v>152</v>
      </c>
      <c r="H24" s="30">
        <v>162</v>
      </c>
      <c r="I24" s="31">
        <f t="shared" si="0"/>
        <v>2.547770700636943</v>
      </c>
      <c r="J24" s="30">
        <v>135</v>
      </c>
      <c r="K24" s="30">
        <v>140</v>
      </c>
      <c r="L24" s="32">
        <f t="shared" si="1"/>
        <v>17.09090909090909</v>
      </c>
    </row>
    <row r="25" spans="1:12" ht="21.75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3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125</v>
      </c>
      <c r="I28" s="31">
        <f t="shared" si="2"/>
        <v>6.5217391304347823</v>
      </c>
      <c r="J28" s="30">
        <v>115</v>
      </c>
      <c r="K28" s="30">
        <v>120</v>
      </c>
      <c r="L28" s="32">
        <f t="shared" si="3"/>
        <v>4.2553191489361701</v>
      </c>
    </row>
    <row r="29" spans="1:12" ht="21.75">
      <c r="A29" s="73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130</v>
      </c>
      <c r="H29" s="30">
        <v>145</v>
      </c>
      <c r="I29" s="31">
        <f t="shared" si="2"/>
        <v>12.727272727272727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3" t="s">
        <v>39</v>
      </c>
      <c r="B30" s="6" t="s">
        <v>18</v>
      </c>
      <c r="C30" s="30">
        <v>120</v>
      </c>
      <c r="D30" s="30">
        <v>180</v>
      </c>
      <c r="E30" s="30">
        <v>150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65</v>
      </c>
      <c r="H31" s="30">
        <v>80</v>
      </c>
      <c r="I31" s="31">
        <f t="shared" si="2"/>
        <v>-3.4482758620689653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110</v>
      </c>
      <c r="K32" s="30">
        <v>120</v>
      </c>
      <c r="L32" s="32">
        <f t="shared" si="3"/>
        <v>-10.869565217391305</v>
      </c>
    </row>
    <row r="33" spans="1:12" ht="21.75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30">
        <v>52</v>
      </c>
      <c r="K33" s="30">
        <v>60</v>
      </c>
      <c r="L33" s="32">
        <f t="shared" si="3"/>
        <v>-50.892857142857139</v>
      </c>
    </row>
    <row r="34" spans="1:12" ht="21.75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60</v>
      </c>
      <c r="H35" s="30">
        <v>65</v>
      </c>
      <c r="I35" s="31">
        <f t="shared" ref="I35:I50" si="4">((C35+D35)/2-(G35+H35)/2)/((G35+H35)/2)*100</f>
        <v>28.000000000000004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3" t="s">
        <v>44</v>
      </c>
      <c r="B36" s="6" t="s">
        <v>18</v>
      </c>
      <c r="C36" s="30">
        <v>0</v>
      </c>
      <c r="D36" s="30">
        <v>0</v>
      </c>
      <c r="E36" s="30">
        <v>70</v>
      </c>
      <c r="F36" s="30">
        <v>80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.75">
      <c r="A37" s="73" t="s">
        <v>45</v>
      </c>
      <c r="B37" s="6" t="s">
        <v>18</v>
      </c>
      <c r="C37" s="30">
        <v>100</v>
      </c>
      <c r="D37" s="30">
        <v>140</v>
      </c>
      <c r="E37" s="30">
        <v>80</v>
      </c>
      <c r="F37" s="30">
        <v>140</v>
      </c>
      <c r="G37" s="30">
        <v>100</v>
      </c>
      <c r="H37" s="30">
        <v>150</v>
      </c>
      <c r="I37" s="31">
        <f t="shared" si="4"/>
        <v>-4</v>
      </c>
      <c r="J37" s="30">
        <v>200</v>
      </c>
      <c r="K37" s="30">
        <v>230</v>
      </c>
      <c r="L37" s="32">
        <f t="shared" si="5"/>
        <v>-44.186046511627907</v>
      </c>
    </row>
    <row r="38" spans="1:12" ht="21.75">
      <c r="A38" s="73" t="s">
        <v>46</v>
      </c>
      <c r="B38" s="6" t="s">
        <v>18</v>
      </c>
      <c r="C38" s="30">
        <v>140</v>
      </c>
      <c r="D38" s="30">
        <v>200</v>
      </c>
      <c r="E38" s="30">
        <v>130</v>
      </c>
      <c r="F38" s="30">
        <v>200</v>
      </c>
      <c r="G38" s="30">
        <v>160</v>
      </c>
      <c r="H38" s="30">
        <v>200</v>
      </c>
      <c r="I38" s="31">
        <f t="shared" si="4"/>
        <v>-5.5555555555555554</v>
      </c>
      <c r="J38" s="30">
        <v>200</v>
      </c>
      <c r="K38" s="30">
        <v>220</v>
      </c>
      <c r="L38" s="32">
        <f t="shared" si="5"/>
        <v>-19.047619047619047</v>
      </c>
    </row>
    <row r="39" spans="1:12" ht="21.75">
      <c r="A39" s="73" t="s">
        <v>47</v>
      </c>
      <c r="B39" s="6" t="s">
        <v>18</v>
      </c>
      <c r="C39" s="30">
        <v>280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6.7796610169491522</v>
      </c>
      <c r="J39" s="30">
        <v>320</v>
      </c>
      <c r="K39" s="30">
        <v>400</v>
      </c>
      <c r="L39" s="32">
        <f t="shared" si="5"/>
        <v>-12.5</v>
      </c>
    </row>
    <row r="40" spans="1:12" ht="21.75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.75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3" t="s">
        <v>52</v>
      </c>
      <c r="B44" s="6" t="s">
        <v>18</v>
      </c>
      <c r="C44" s="30">
        <v>180</v>
      </c>
      <c r="D44" s="30">
        <v>270</v>
      </c>
      <c r="E44" s="30">
        <v>150</v>
      </c>
      <c r="F44" s="30">
        <v>270</v>
      </c>
      <c r="G44" s="30">
        <v>120</v>
      </c>
      <c r="H44" s="30">
        <v>200</v>
      </c>
      <c r="I44" s="31">
        <f t="shared" si="4"/>
        <v>40.625</v>
      </c>
      <c r="J44" s="30">
        <v>200</v>
      </c>
      <c r="K44" s="30">
        <v>260</v>
      </c>
      <c r="L44" s="32">
        <f t="shared" si="5"/>
        <v>-2.1739130434782608</v>
      </c>
    </row>
    <row r="45" spans="1:12" ht="21.75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750</v>
      </c>
      <c r="L45" s="32">
        <f t="shared" si="5"/>
        <v>-3.5714285714285712</v>
      </c>
    </row>
    <row r="46" spans="1:12" ht="21.75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550</v>
      </c>
      <c r="L46" s="32">
        <f t="shared" si="5"/>
        <v>6.7961165048543686</v>
      </c>
    </row>
    <row r="47" spans="1:12" ht="21.75">
      <c r="A47" s="73" t="s">
        <v>55</v>
      </c>
      <c r="B47" s="6" t="s">
        <v>18</v>
      </c>
      <c r="C47" s="30">
        <v>1350</v>
      </c>
      <c r="D47" s="30">
        <v>1700</v>
      </c>
      <c r="E47" s="30">
        <v>1350</v>
      </c>
      <c r="F47" s="30">
        <v>1700</v>
      </c>
      <c r="G47" s="30">
        <v>1400</v>
      </c>
      <c r="H47" s="30">
        <v>1600</v>
      </c>
      <c r="I47" s="31">
        <f t="shared" si="4"/>
        <v>1.6666666666666667</v>
      </c>
      <c r="J47" s="30">
        <v>1300</v>
      </c>
      <c r="K47" s="30">
        <v>1500</v>
      </c>
      <c r="L47" s="32">
        <f t="shared" si="5"/>
        <v>8.9285714285714288</v>
      </c>
    </row>
    <row r="48" spans="1:12" ht="21.75">
      <c r="A48" s="73" t="s">
        <v>56</v>
      </c>
      <c r="B48" s="6" t="s">
        <v>18</v>
      </c>
      <c r="C48" s="30">
        <v>4600</v>
      </c>
      <c r="D48" s="30">
        <v>5500</v>
      </c>
      <c r="E48" s="30">
        <v>4600</v>
      </c>
      <c r="F48" s="30">
        <v>5500</v>
      </c>
      <c r="G48" s="30">
        <v>4500</v>
      </c>
      <c r="H48" s="30">
        <v>5200</v>
      </c>
      <c r="I48" s="31">
        <f t="shared" si="4"/>
        <v>4.1237113402061851</v>
      </c>
      <c r="J48" s="30">
        <v>3200</v>
      </c>
      <c r="K48" s="30">
        <v>3600</v>
      </c>
      <c r="L48" s="32">
        <f t="shared" si="5"/>
        <v>48.529411764705884</v>
      </c>
    </row>
    <row r="49" spans="1:12" ht="21.75">
      <c r="A49" s="73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220</v>
      </c>
      <c r="K49" s="30">
        <v>260</v>
      </c>
      <c r="L49" s="32">
        <f t="shared" si="5"/>
        <v>0</v>
      </c>
    </row>
    <row r="50" spans="1:12" ht="21.75">
      <c r="A50" s="73" t="s">
        <v>58</v>
      </c>
      <c r="B50" s="6" t="s">
        <v>18</v>
      </c>
      <c r="C50" s="30">
        <v>200</v>
      </c>
      <c r="D50" s="30">
        <v>225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6.25</v>
      </c>
      <c r="J50" s="30">
        <v>150</v>
      </c>
      <c r="K50" s="30">
        <v>200</v>
      </c>
      <c r="L50" s="32">
        <f t="shared" si="5"/>
        <v>21.428571428571427</v>
      </c>
    </row>
    <row r="51" spans="1:12" ht="21.75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3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3" t="s">
        <v>94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3" t="s">
        <v>62</v>
      </c>
      <c r="B56" s="6" t="s">
        <v>18</v>
      </c>
      <c r="C56" s="30">
        <v>160</v>
      </c>
      <c r="D56" s="30">
        <v>185</v>
      </c>
      <c r="E56" s="30">
        <v>170</v>
      </c>
      <c r="F56" s="30">
        <v>185</v>
      </c>
      <c r="G56" s="30">
        <v>145</v>
      </c>
      <c r="H56" s="30">
        <v>170</v>
      </c>
      <c r="I56" s="31">
        <f t="shared" si="6"/>
        <v>9.5238095238095237</v>
      </c>
      <c r="J56" s="30">
        <v>155</v>
      </c>
      <c r="K56" s="30">
        <v>170</v>
      </c>
      <c r="L56" s="32">
        <f t="shared" si="7"/>
        <v>6.1538461538461542</v>
      </c>
    </row>
    <row r="57" spans="1:12" ht="21.75">
      <c r="A57" s="73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0.25" customHeight="1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.75">
      <c r="A66" s="73" t="s">
        <v>4</v>
      </c>
      <c r="B66" s="6" t="s">
        <v>5</v>
      </c>
      <c r="C66" s="85" t="s">
        <v>6</v>
      </c>
      <c r="D66" s="86"/>
      <c r="E66" s="85" t="s">
        <v>7</v>
      </c>
      <c r="F66" s="86"/>
      <c r="G66" s="85" t="s">
        <v>8</v>
      </c>
      <c r="H66" s="86"/>
      <c r="I66" s="27" t="s">
        <v>9</v>
      </c>
      <c r="J66" s="85" t="s">
        <v>10</v>
      </c>
      <c r="K66" s="86"/>
      <c r="L66" s="27" t="s">
        <v>11</v>
      </c>
    </row>
    <row r="67" spans="1:12" ht="18" customHeight="1">
      <c r="A67" s="77"/>
      <c r="B67" s="68"/>
      <c r="C67" s="87">
        <v>45901</v>
      </c>
      <c r="D67" s="86"/>
      <c r="E67" s="87">
        <v>45894</v>
      </c>
      <c r="F67" s="86"/>
      <c r="G67" s="87">
        <v>45870</v>
      </c>
      <c r="H67" s="86"/>
      <c r="I67" s="27" t="s">
        <v>12</v>
      </c>
      <c r="J67" s="87">
        <v>45536</v>
      </c>
      <c r="K67" s="86"/>
      <c r="L67" s="27" t="s">
        <v>12</v>
      </c>
    </row>
    <row r="68" spans="1:12" ht="21.7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3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3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38</v>
      </c>
      <c r="H72" s="38">
        <v>45</v>
      </c>
      <c r="I72" s="31">
        <f t="shared" si="9"/>
        <v>14.457831325301203</v>
      </c>
      <c r="J72" s="38">
        <v>50</v>
      </c>
      <c r="K72" s="38">
        <v>53</v>
      </c>
      <c r="L72" s="32">
        <f t="shared" si="8"/>
        <v>-7.7669902912621351</v>
      </c>
    </row>
    <row r="73" spans="1:12" ht="21.75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3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87000</v>
      </c>
      <c r="G74" s="30">
        <v>85000</v>
      </c>
      <c r="H74" s="30">
        <v>89000</v>
      </c>
      <c r="I74" s="31">
        <f t="shared" si="9"/>
        <v>-2.5862068965517242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3" t="s">
        <v>79</v>
      </c>
      <c r="B75" s="6" t="s">
        <v>78</v>
      </c>
      <c r="C75" s="30">
        <v>75000</v>
      </c>
      <c r="D75" s="38">
        <v>79000</v>
      </c>
      <c r="E75" s="30">
        <v>78500</v>
      </c>
      <c r="F75" s="38">
        <v>80000</v>
      </c>
      <c r="G75" s="30">
        <v>78500</v>
      </c>
      <c r="H75" s="38">
        <v>82000</v>
      </c>
      <c r="I75" s="31">
        <f t="shared" si="9"/>
        <v>-4.0498442367601246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0" t="s">
        <v>6</v>
      </c>
      <c r="D82" s="91"/>
      <c r="E82" s="92" t="s">
        <v>83</v>
      </c>
      <c r="F82" s="93"/>
      <c r="G82" s="81" t="s">
        <v>12</v>
      </c>
      <c r="H82" s="90" t="s">
        <v>84</v>
      </c>
      <c r="I82" s="94"/>
      <c r="J82" s="91"/>
      <c r="K82" s="51"/>
      <c r="L82" s="18"/>
    </row>
    <row r="83" spans="1:12" ht="21.75">
      <c r="A83" s="5" t="s">
        <v>21</v>
      </c>
      <c r="B83" s="6" t="s">
        <v>18</v>
      </c>
      <c r="C83" s="30">
        <v>45</v>
      </c>
      <c r="D83" s="30">
        <v>52</v>
      </c>
      <c r="E83" s="30">
        <v>45</v>
      </c>
      <c r="F83" s="30">
        <v>50</v>
      </c>
      <c r="G83" s="7">
        <f t="shared" ref="G83" si="10">((C83+D83)/2-(E83+F83)/2)/((E83+F83)/2)*100</f>
        <v>2.1052631578947367</v>
      </c>
      <c r="H83" s="5" t="s">
        <v>122</v>
      </c>
      <c r="I83" s="6"/>
      <c r="J83" s="6"/>
      <c r="K83" s="51"/>
      <c r="L83" s="18"/>
    </row>
    <row r="84" spans="1:12" ht="21.75">
      <c r="A84" s="73" t="s">
        <v>27</v>
      </c>
      <c r="B84" s="6" t="s">
        <v>28</v>
      </c>
      <c r="C84" s="30">
        <v>166</v>
      </c>
      <c r="D84" s="30">
        <v>172</v>
      </c>
      <c r="E84" s="30">
        <v>165</v>
      </c>
      <c r="F84" s="30">
        <v>172</v>
      </c>
      <c r="G84" s="7">
        <f t="shared" ref="G84:G87" si="11">((C84+D84)/2-(E84+F84)/2)/((E84+F84)/2)*100</f>
        <v>0.29673590504451042</v>
      </c>
      <c r="H84" s="5" t="s">
        <v>121</v>
      </c>
      <c r="I84" s="6"/>
      <c r="J84" s="6"/>
      <c r="K84" s="51"/>
      <c r="L84" s="18"/>
    </row>
    <row r="85" spans="1:12" ht="21.75">
      <c r="A85" s="73" t="s">
        <v>108</v>
      </c>
      <c r="B85" s="6" t="s">
        <v>28</v>
      </c>
      <c r="C85" s="30">
        <v>158</v>
      </c>
      <c r="D85" s="30">
        <v>164</v>
      </c>
      <c r="E85" s="30">
        <v>155</v>
      </c>
      <c r="F85" s="30">
        <v>163</v>
      </c>
      <c r="G85" s="7">
        <f t="shared" si="11"/>
        <v>1.257861635220126</v>
      </c>
      <c r="H85" s="5" t="s">
        <v>120</v>
      </c>
      <c r="I85" s="6"/>
      <c r="J85" s="6"/>
      <c r="K85" s="51"/>
      <c r="L85" s="18"/>
    </row>
    <row r="86" spans="1:12" ht="21.75">
      <c r="A86" s="73" t="s">
        <v>45</v>
      </c>
      <c r="B86" s="6" t="s">
        <v>18</v>
      </c>
      <c r="C86" s="30">
        <v>100</v>
      </c>
      <c r="D86" s="30">
        <v>140</v>
      </c>
      <c r="E86" s="30">
        <v>80</v>
      </c>
      <c r="F86" s="30">
        <v>150</v>
      </c>
      <c r="G86" s="7">
        <f t="shared" si="11"/>
        <v>4.3478260869565215</v>
      </c>
      <c r="H86" s="5" t="s">
        <v>121</v>
      </c>
      <c r="I86" s="6"/>
      <c r="J86" s="6"/>
      <c r="K86" s="51"/>
      <c r="L86" s="18"/>
    </row>
    <row r="87" spans="1:12" ht="21.75">
      <c r="A87" s="73" t="s">
        <v>52</v>
      </c>
      <c r="B87" s="6" t="s">
        <v>18</v>
      </c>
      <c r="C87" s="30">
        <v>180</v>
      </c>
      <c r="D87" s="30">
        <v>270</v>
      </c>
      <c r="E87" s="30">
        <v>150</v>
      </c>
      <c r="F87" s="30">
        <v>270</v>
      </c>
      <c r="G87" s="7">
        <f t="shared" si="11"/>
        <v>7.1428571428571423</v>
      </c>
      <c r="H87" s="5" t="s">
        <v>128</v>
      </c>
      <c r="I87" s="6"/>
      <c r="J87" s="6"/>
      <c r="K87" s="51"/>
      <c r="L87" s="18"/>
    </row>
    <row r="88" spans="1:12" ht="21.75">
      <c r="A88" s="73" t="s">
        <v>58</v>
      </c>
      <c r="B88" s="6" t="s">
        <v>18</v>
      </c>
      <c r="C88" s="30">
        <v>200</v>
      </c>
      <c r="D88" s="30">
        <v>225</v>
      </c>
      <c r="E88" s="30">
        <v>200</v>
      </c>
      <c r="F88" s="30">
        <v>220</v>
      </c>
      <c r="G88" s="7">
        <f t="shared" ref="G88:G92" si="12">((C88+D88)/2-(E88+F88)/2)/((E88+F88)/2)*100</f>
        <v>1.1904761904761905</v>
      </c>
      <c r="H88" s="5" t="s">
        <v>122</v>
      </c>
      <c r="I88" s="6"/>
      <c r="J88" s="6"/>
      <c r="K88" s="51"/>
      <c r="L88" s="18"/>
    </row>
    <row r="89" spans="1:12" ht="21.75">
      <c r="A89" s="73" t="s">
        <v>62</v>
      </c>
      <c r="B89" s="6" t="s">
        <v>18</v>
      </c>
      <c r="C89" s="30">
        <v>160</v>
      </c>
      <c r="D89" s="30">
        <v>185</v>
      </c>
      <c r="E89" s="30">
        <v>170</v>
      </c>
      <c r="F89" s="30">
        <v>185</v>
      </c>
      <c r="G89" s="7">
        <f t="shared" si="12"/>
        <v>-2.8169014084507045</v>
      </c>
      <c r="H89" s="5" t="s">
        <v>123</v>
      </c>
      <c r="I89" s="6"/>
      <c r="J89" s="6"/>
      <c r="K89" s="51"/>
      <c r="L89" s="18"/>
    </row>
    <row r="90" spans="1:12" ht="21.75">
      <c r="A90" s="73" t="s">
        <v>71</v>
      </c>
      <c r="B90" s="6" t="s">
        <v>18</v>
      </c>
      <c r="C90" s="30">
        <v>105</v>
      </c>
      <c r="D90" s="30">
        <v>115</v>
      </c>
      <c r="E90" s="30">
        <v>105</v>
      </c>
      <c r="F90" s="30">
        <v>110</v>
      </c>
      <c r="G90" s="7">
        <f t="shared" si="12"/>
        <v>2.3255813953488373</v>
      </c>
      <c r="H90" s="5" t="s">
        <v>120</v>
      </c>
      <c r="I90" s="6"/>
      <c r="J90" s="6"/>
      <c r="K90" s="51"/>
      <c r="L90" s="18"/>
    </row>
    <row r="91" spans="1:12" ht="21.75">
      <c r="A91" s="73" t="s">
        <v>77</v>
      </c>
      <c r="B91" s="6" t="s">
        <v>78</v>
      </c>
      <c r="C91" s="30">
        <v>83500</v>
      </c>
      <c r="D91" s="30">
        <v>86000</v>
      </c>
      <c r="E91" s="30">
        <v>83500</v>
      </c>
      <c r="F91" s="30">
        <v>87000</v>
      </c>
      <c r="G91" s="7">
        <f t="shared" si="12"/>
        <v>-0.5865102639296188</v>
      </c>
      <c r="H91" s="5" t="s">
        <v>119</v>
      </c>
      <c r="I91" s="6"/>
      <c r="J91" s="6"/>
      <c r="K91" s="51"/>
      <c r="L91" s="18"/>
    </row>
    <row r="92" spans="1:12" ht="21.75">
      <c r="A92" s="73" t="s">
        <v>79</v>
      </c>
      <c r="B92" s="6" t="s">
        <v>78</v>
      </c>
      <c r="C92" s="30">
        <v>75000</v>
      </c>
      <c r="D92" s="38">
        <v>79000</v>
      </c>
      <c r="E92" s="30">
        <v>78500</v>
      </c>
      <c r="F92" s="38">
        <v>80000</v>
      </c>
      <c r="G92" s="7">
        <f t="shared" si="12"/>
        <v>-2.8391167192429023</v>
      </c>
      <c r="H92" s="5" t="s">
        <v>119</v>
      </c>
      <c r="I92" s="6"/>
      <c r="J92" s="6"/>
      <c r="K92" s="51"/>
      <c r="L92" s="18"/>
    </row>
    <row r="93" spans="1:12" ht="21.75">
      <c r="A93" s="76"/>
      <c r="B93" s="3"/>
      <c r="C93" s="84"/>
      <c r="D93" s="84"/>
      <c r="E93" s="84"/>
      <c r="F93" s="84"/>
      <c r="G93" s="10"/>
      <c r="H93" s="1"/>
      <c r="I93" s="3"/>
      <c r="J93" s="3"/>
      <c r="K93" s="51"/>
      <c r="L93" s="18"/>
    </row>
    <row r="94" spans="1:12" ht="24.75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4.75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4.75">
      <c r="A96" s="1"/>
      <c r="B96" s="14"/>
      <c r="C96" s="15"/>
      <c r="D96" s="15"/>
      <c r="E96" s="14"/>
      <c r="F96" s="15"/>
      <c r="G96" s="39"/>
      <c r="H96" s="40"/>
      <c r="I96" s="41"/>
      <c r="J96" s="41"/>
      <c r="K96" s="41"/>
      <c r="L96" s="12"/>
    </row>
    <row r="97" spans="1:12" ht="24.75">
      <c r="A97" s="1"/>
      <c r="B97" s="42"/>
      <c r="C97" s="43" t="s">
        <v>117</v>
      </c>
      <c r="D97" s="11"/>
      <c r="E97" s="42"/>
      <c r="F97" s="14"/>
      <c r="G97" s="11"/>
      <c r="H97" s="40"/>
      <c r="I97" s="13"/>
      <c r="J97" s="14" t="s">
        <v>115</v>
      </c>
      <c r="K97" s="11"/>
      <c r="L97" s="11"/>
    </row>
    <row r="98" spans="1:12" ht="24.75">
      <c r="A98" s="1"/>
      <c r="B98" s="44"/>
      <c r="C98" s="43" t="s">
        <v>118</v>
      </c>
      <c r="D98" s="14"/>
      <c r="E98" s="42"/>
      <c r="F98" s="45"/>
      <c r="G98" s="47"/>
      <c r="H98" s="47"/>
      <c r="I98" s="80"/>
      <c r="J98" s="14" t="s">
        <v>116</v>
      </c>
      <c r="K98" s="14"/>
      <c r="L98" s="14"/>
    </row>
    <row r="99" spans="1:12" ht="24.75">
      <c r="A99" s="1"/>
      <c r="B99" s="14"/>
      <c r="C99" s="15"/>
      <c r="D99" s="14"/>
      <c r="E99" s="15"/>
      <c r="F99" s="45"/>
      <c r="G99" s="47"/>
      <c r="H99" s="47"/>
      <c r="I99" s="46"/>
      <c r="J99" s="11"/>
      <c r="K99" s="11"/>
      <c r="L99" s="2"/>
    </row>
    <row r="100" spans="1:12" ht="19.5">
      <c r="A100" s="56" t="s">
        <v>95</v>
      </c>
      <c r="B100" s="54"/>
      <c r="C100" s="52"/>
      <c r="D100" s="54"/>
      <c r="E100" s="52"/>
      <c r="F100" s="52"/>
      <c r="G100" s="52"/>
      <c r="H100" s="53"/>
      <c r="I100" s="58"/>
      <c r="J100" s="2"/>
      <c r="K100" s="2"/>
      <c r="L100" s="2"/>
    </row>
    <row r="101" spans="1:12" ht="19.5">
      <c r="A101" s="55" t="s">
        <v>101</v>
      </c>
      <c r="B101" s="54"/>
      <c r="C101" s="52"/>
      <c r="D101" s="54"/>
      <c r="E101" s="52"/>
      <c r="F101" s="52"/>
      <c r="G101" s="54"/>
      <c r="H101" s="53"/>
      <c r="I101" s="58"/>
      <c r="J101" s="2"/>
      <c r="K101" s="2"/>
      <c r="L101" s="2"/>
    </row>
    <row r="102" spans="1:12" ht="19.5">
      <c r="A102" s="55" t="s">
        <v>100</v>
      </c>
      <c r="B102" s="54"/>
      <c r="C102" s="54"/>
      <c r="D102" s="54"/>
      <c r="E102" s="54"/>
      <c r="F102" s="52"/>
      <c r="G102" s="54"/>
      <c r="H102" s="53"/>
      <c r="I102" s="58"/>
      <c r="J102" s="2"/>
      <c r="K102" s="2"/>
      <c r="L102" s="2"/>
    </row>
    <row r="103" spans="1:12" ht="19.5">
      <c r="A103" s="55" t="s">
        <v>85</v>
      </c>
      <c r="B103" s="54"/>
      <c r="C103" s="54"/>
      <c r="D103" s="54"/>
      <c r="E103" s="54"/>
      <c r="F103" s="53"/>
      <c r="G103" s="53"/>
      <c r="H103" s="53"/>
      <c r="I103" s="58"/>
      <c r="J103" s="2"/>
      <c r="K103" s="2"/>
      <c r="L103" s="2"/>
    </row>
    <row r="104" spans="1:12" ht="19.5">
      <c r="A104" s="55" t="s">
        <v>99</v>
      </c>
      <c r="B104" s="54"/>
      <c r="C104" s="54"/>
      <c r="D104" s="54"/>
      <c r="E104" s="54"/>
      <c r="F104" s="54"/>
      <c r="G104" s="53"/>
      <c r="H104" s="53"/>
      <c r="I104" s="58"/>
      <c r="J104" s="2"/>
      <c r="K104" s="2"/>
      <c r="L104" s="2"/>
    </row>
    <row r="105" spans="1:12" ht="19.5">
      <c r="A105" s="55" t="s">
        <v>98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109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97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96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86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103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102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104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105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87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/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6" t="s">
        <v>88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89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90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91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">
      <c r="A120" s="60"/>
      <c r="B120" s="58"/>
      <c r="C120" s="58"/>
      <c r="D120" s="58"/>
      <c r="E120" s="58"/>
      <c r="F120" s="58"/>
      <c r="G120" s="58"/>
      <c r="H120" s="61"/>
      <c r="I120" s="59"/>
      <c r="J120" s="12"/>
      <c r="K120" s="12"/>
      <c r="L120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2025-08-27T09:17:51Z</cp:lastPrinted>
  <dcterms:created xsi:type="dcterms:W3CDTF">2021-06-05T07:13:00Z</dcterms:created>
  <dcterms:modified xsi:type="dcterms:W3CDTF">2025-09-01T07:32:20Z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