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8_{32877404-2E30-E047-8CAF-14A51C1EA13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4" l="1"/>
  <c r="G88" i="4"/>
  <c r="G87" i="4"/>
  <c r="G85" i="4"/>
  <c r="G86" i="4"/>
  <c r="G84" i="4"/>
  <c r="G90" i="4"/>
  <c r="G83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<sst xmlns="http://schemas.openxmlformats.org/spreadsheetml/2006/main" count="235" uniqueCount="134">
  <si>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</si>
  <si>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</si>
  <si>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</si>
  <si>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</si>
  <si>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</si>
  <si>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</si>
  <si>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</si>
  <si>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</si>
  <si>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</si>
  <si>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</si>
  <si>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</si>
  <si>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</si>
  <si>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</si>
  <si>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</si>
  <si>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</si>
  <si>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</si>
  <si>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</si>
  <si>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</si>
  <si>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</si>
  <si>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</si>
  <si>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</si>
  <si>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</si>
  <si>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</si>
  <si>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</si>
  <si>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</si>
  <si>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</si>
  <si>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</si>
  <si>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</si>
  <si>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</si>
  <si>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</si>
  <si>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</si>
  <si>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</si>
  <si>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</si>
  <si>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</si>
  <si>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</si>
  <si>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</si>
  <si>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</si>
  <si>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</si>
  <si>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</si>
  <si>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</si>
  <si>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</si>
  <si>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</si>
  <si>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</si>
  <si>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</si>
  <si>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</si>
  <si>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</si>
  <si>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</si>
  <si>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</si>
  <si>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</si>
  <si>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</si>
  <si>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</si>
  <si>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</si>
  <si>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</si>
  <si>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</si>
  <si>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</si>
  <si>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</si>
  <si>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</si>
  <si>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</si>
  <si>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</si>
  <si>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</si>
  <si>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</si>
  <si>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</si>
  <si>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</si>
  <si>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</si>
  <si>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</si>
  <si>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</si>
  <si>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</si>
  <si>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</si>
  <si>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</si>
  <si>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</si>
  <si>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</si>
  <si>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</si>
  <si>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</si>
  <si>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</si>
  <si>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</si>
  <si>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</si>
  <si>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</si>
  <si>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</si>
  <si>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</si>
  <si>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</si>
  <si>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</si>
  <si>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</si>
  <si>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</si>
  <si>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</si>
  <si>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</si>
  <si>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</si>
  <si>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</si>
  <si>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</si>
  <si>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</si>
  <si>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</si>
  <si>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</si>
  <si>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</si>
  <si>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</si>
  <si>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</si>
  <si>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</si>
  <si>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</si>
  <si>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</si>
  <si>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</si>
  <si>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</si>
  <si>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</si>
  <si>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</si>
  <si>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</si>
  <si>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</si>
  <si>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</si>
  <si>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</si>
  <si>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</si>
  <si>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</si>
  <si>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</si>
  <si>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</si>
  <si>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</si>
  <si>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</si>
  <si>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</si>
  <si>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</si>
  <si>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</si>
  <si>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</si>
  <si>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</si>
  <si>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 (মোঃ গোলাম খোরশেদ)   </t>
  </si>
  <si>
    <t xml:space="preserve"> অতিরিক্ত পরিচালক (বাণিজ্যিক)</t>
  </si>
  <si>
    <t>(মো:হুমায়ুন কবির)</t>
  </si>
  <si>
    <t>যুগ্ম পরিচালক (বাজার তথ্য)</t>
  </si>
  <si>
    <t>২৮-০৯-২০২৫ তারিখে মূল্য বৃদ্ধি পেয়েছে।</t>
  </si>
  <si>
    <t>২৮-০৯-২০২৫ তারিখে মূল্য হ্রাস পেয়েছে।</t>
  </si>
  <si>
    <t>২৯-০৯-২০২৫ তারিখে মূল্য বৃদ্ধি পেয়েছে।</t>
  </si>
  <si>
    <t>স্মারক নং-২৬.০৫.০০০০.০১৭.৩১.০১.২৫-৭০০</t>
  </si>
  <si>
    <t xml:space="preserve">   সিরিয়াল নংঃ     ২৪৯</t>
  </si>
  <si>
    <t xml:space="preserve">শনিবার ০৪ অক্টোবর ২০২৫ খ্রিঃ, ১৯ আশ্বিন ১৪৩২ বাংলা, ০৯ রবিউল সানি ১৪৪৭ হিজরি </t>
  </si>
  <si>
    <t>০৩-১০-২০২৫ তারিখে মূল্য বৃদ্ধি পেয়েছে।</t>
  </si>
  <si>
    <t>০৩-১০-২০২৫ তারিখে মূল্য হ্রাস পেয়েছে।</t>
  </si>
  <si>
    <t>(১)     সয়াবিন তেল (লুজ, ২লি: বোতল),  মশুর ডাল (মাঝারী), রশুন (আম), আদা (আম), মুরগী ব্রয়লার    এর মূল্য বৃদ্ধি পেয়েছে।</t>
  </si>
  <si>
    <t>(২ )    আলু, পেঁয়াজ (দেশী)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</si>
</sst>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7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7"/>
  <sheetViews>
    <sheetView tabSelected="1" topLeftCell="H1" zoomScale="98" zoomScaleNormal="98" workbookViewId="0">
      <selection activeCell="L6" sqref="L6"/>
    </sheetView>
  </sheetViews>
  <sheetFormatPr defaultRowHeight="16.5" x14ac:dyDescent="0.25"/>
  <cols>
    <col min="1" max="1" width="16.04296875" customWidth="1"/>
    <col min="2" max="2" width="8.94921875" customWidth="1"/>
    <col min="3" max="4" width="10.578125" customWidth="1"/>
    <col min="5" max="5" width="10.92578125" customWidth="1"/>
    <col min="6" max="7" width="9.53125" customWidth="1"/>
    <col min="8" max="8" width="9.99609375" customWidth="1"/>
    <col min="9" max="9" width="9.30078125" customWidth="1"/>
    <col min="10" max="10" width="8.25390625" customWidth="1"/>
    <col min="11" max="11" width="9.4140625" customWidth="1"/>
    <col min="12" max="12" width="9.765625" customWidth="1"/>
  </cols>
  <sheetData>
    <row r="2" spans="1:12" ht="21" x14ac:dyDescent="0.2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" x14ac:dyDescent="0.2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5" t="s">
        <v>124</v>
      </c>
      <c r="L4" s="84"/>
    </row>
    <row r="5" spans="1:12" ht="19.5" customHeight="1" x14ac:dyDescent="0.25">
      <c r="A5" s="18"/>
      <c r="B5" s="8"/>
      <c r="C5" s="8"/>
      <c r="D5" s="18"/>
      <c r="E5" s="8"/>
      <c r="F5" s="8" t="s">
        <v>125</v>
      </c>
      <c r="G5" s="8"/>
      <c r="H5" s="8"/>
      <c r="I5" s="8"/>
      <c r="J5" s="8"/>
      <c r="K5" s="8"/>
      <c r="L5" s="50"/>
    </row>
    <row r="6" spans="1:12" ht="21" x14ac:dyDescent="0.25">
      <c r="A6" s="21" t="s">
        <v>123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45934</v>
      </c>
    </row>
    <row r="7" spans="1:12" ht="21" x14ac:dyDescent="0.25">
      <c r="A7" s="26" t="s">
        <v>4</v>
      </c>
      <c r="B7" s="27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7" t="s">
        <v>9</v>
      </c>
      <c r="J7" s="85" t="s">
        <v>10</v>
      </c>
      <c r="K7" s="84"/>
      <c r="L7" s="28" t="s">
        <v>11</v>
      </c>
    </row>
    <row r="8" spans="1:12" ht="21" x14ac:dyDescent="0.25">
      <c r="A8" s="26"/>
      <c r="B8" s="27"/>
      <c r="C8" s="83">
        <v>45934</v>
      </c>
      <c r="D8" s="84"/>
      <c r="E8" s="83">
        <v>45927</v>
      </c>
      <c r="F8" s="84"/>
      <c r="G8" s="83">
        <v>45904</v>
      </c>
      <c r="H8" s="84"/>
      <c r="I8" s="27" t="s">
        <v>12</v>
      </c>
      <c r="J8" s="83">
        <v>45569</v>
      </c>
      <c r="K8" s="84"/>
      <c r="L8" s="27" t="s">
        <v>12</v>
      </c>
    </row>
    <row r="9" spans="1:12" ht="21" x14ac:dyDescent="0.2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" x14ac:dyDescent="0.3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" x14ac:dyDescent="0.3">
      <c r="A11" s="70" t="s">
        <v>105</v>
      </c>
      <c r="B11" s="6" t="s">
        <v>18</v>
      </c>
      <c r="C11" s="30">
        <v>60</v>
      </c>
      <c r="D11" s="30">
        <v>70</v>
      </c>
      <c r="E11" s="30">
        <v>60</v>
      </c>
      <c r="F11" s="30">
        <v>70</v>
      </c>
      <c r="G11" s="30">
        <v>60</v>
      </c>
      <c r="H11" s="30">
        <v>75</v>
      </c>
      <c r="I11" s="31">
        <f>((C11+D11)/2-(G11+H11)/2)/((G11+H11)/2)*100</f>
        <v>-3.7037037037037033</v>
      </c>
      <c r="J11" s="30">
        <v>55</v>
      </c>
      <c r="K11" s="30">
        <v>60</v>
      </c>
      <c r="L11" s="32">
        <f>((C11+D11)/2-(J11+K11)/2)/((J11+K11)/2)*100</f>
        <v>13.043478260869565</v>
      </c>
    </row>
    <row r="12" spans="1:12" ht="21" x14ac:dyDescent="0.3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50</v>
      </c>
      <c r="K12" s="30">
        <v>55</v>
      </c>
      <c r="L12" s="32">
        <f>((C12+D12)/2-(J12+K12)/2)/((J12+K12)/2)*100</f>
        <v>9.5238095238095237</v>
      </c>
    </row>
    <row r="13" spans="1:12" ht="18" customHeight="1" x14ac:dyDescent="0.3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" x14ac:dyDescent="0.3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45</v>
      </c>
      <c r="H14" s="30">
        <v>52</v>
      </c>
      <c r="I14" s="31">
        <f>((C14+D14)/2-(G14+H14)/2)/((G14+H14)/2)*100</f>
        <v>0</v>
      </c>
      <c r="J14" s="30">
        <v>40</v>
      </c>
      <c r="K14" s="30">
        <v>45</v>
      </c>
      <c r="L14" s="32">
        <f>((C14+D14)/2-(J14+K14)/2)/((J14+K14)/2)*100</f>
        <v>14.117647058823529</v>
      </c>
    </row>
    <row r="15" spans="1:12" ht="21" x14ac:dyDescent="0.3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55</v>
      </c>
      <c r="H15" s="30">
        <v>65</v>
      </c>
      <c r="I15" s="31">
        <f>((C15+D15)/2-(G15+H15)/2)/((G15+H15)/2)*100</f>
        <v>0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" x14ac:dyDescent="0.3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55</v>
      </c>
      <c r="H16" s="30">
        <v>65</v>
      </c>
      <c r="I16" s="31">
        <f>((C16+D16)/2-(G16+H16)/2)/((G16+H16)/2)*100</f>
        <v>0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" x14ac:dyDescent="0.3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75</v>
      </c>
      <c r="I17" s="31">
        <f>((C17+D17)/2-(G17+H17)/2)/((G17+H17)/2)*100</f>
        <v>0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 x14ac:dyDescent="0.3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" x14ac:dyDescent="0.3">
      <c r="A19" s="70" t="s">
        <v>27</v>
      </c>
      <c r="B19" s="6" t="s">
        <v>28</v>
      </c>
      <c r="C19" s="30">
        <v>172</v>
      </c>
      <c r="D19" s="30">
        <v>178</v>
      </c>
      <c r="E19" s="30">
        <v>170</v>
      </c>
      <c r="F19" s="30">
        <v>176</v>
      </c>
      <c r="G19" s="30">
        <v>166</v>
      </c>
      <c r="H19" s="30">
        <v>174</v>
      </c>
      <c r="I19" s="31">
        <f t="shared" ref="I19:I25" si="0">((C19+D19)/2-(G19+H19)/2)/((G19+H19)/2)*100</f>
        <v>2.9411764705882351</v>
      </c>
      <c r="J19" s="30">
        <v>151</v>
      </c>
      <c r="K19" s="30">
        <v>155</v>
      </c>
      <c r="L19" s="32">
        <f t="shared" ref="L19:L25" si="1">((C19+D19)/2-(J19+K19)/2)/((J19+K19)/2)*100</f>
        <v>14.37908496732026</v>
      </c>
    </row>
    <row r="20" spans="1:12" ht="21" x14ac:dyDescent="0.3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" x14ac:dyDescent="0.3">
      <c r="A21" s="70" t="s">
        <v>29</v>
      </c>
      <c r="B21" s="6" t="s">
        <v>31</v>
      </c>
      <c r="C21" s="30">
        <v>375</v>
      </c>
      <c r="D21" s="30">
        <v>380</v>
      </c>
      <c r="E21" s="30">
        <v>375</v>
      </c>
      <c r="F21" s="30">
        <v>378</v>
      </c>
      <c r="G21" s="30">
        <v>375</v>
      </c>
      <c r="H21" s="30">
        <v>378</v>
      </c>
      <c r="I21" s="31">
        <f t="shared" si="0"/>
        <v>0.26560424966799467</v>
      </c>
      <c r="J21" s="30">
        <v>330</v>
      </c>
      <c r="K21" s="30">
        <v>335</v>
      </c>
      <c r="L21" s="32">
        <f t="shared" si="1"/>
        <v>13.533834586466165</v>
      </c>
    </row>
    <row r="22" spans="1:12" ht="21" x14ac:dyDescent="0.3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188</v>
      </c>
      <c r="H22" s="30">
        <v>190</v>
      </c>
      <c r="I22" s="31">
        <f t="shared" si="0"/>
        <v>0</v>
      </c>
      <c r="J22" s="30">
        <v>165</v>
      </c>
      <c r="K22" s="30">
        <v>167</v>
      </c>
      <c r="L22" s="32">
        <f t="shared" si="1"/>
        <v>13.855421686746988</v>
      </c>
    </row>
    <row r="23" spans="1:12" ht="21" x14ac:dyDescent="0.3">
      <c r="A23" s="70" t="s">
        <v>33</v>
      </c>
      <c r="B23" s="6" t="s">
        <v>28</v>
      </c>
      <c r="C23" s="30">
        <v>153</v>
      </c>
      <c r="D23" s="30">
        <v>160</v>
      </c>
      <c r="E23" s="30">
        <v>153</v>
      </c>
      <c r="F23" s="30">
        <v>160</v>
      </c>
      <c r="G23" s="30">
        <v>153</v>
      </c>
      <c r="H23" s="30">
        <v>158</v>
      </c>
      <c r="I23" s="31">
        <f t="shared" si="0"/>
        <v>0.64308681672025725</v>
      </c>
      <c r="J23" s="30">
        <v>137</v>
      </c>
      <c r="K23" s="30">
        <v>142</v>
      </c>
      <c r="L23" s="32">
        <f t="shared" si="1"/>
        <v>12.186379928315413</v>
      </c>
    </row>
    <row r="24" spans="1:12" ht="21" x14ac:dyDescent="0.3">
      <c r="A24" s="70" t="s">
        <v>106</v>
      </c>
      <c r="B24" s="6" t="s">
        <v>28</v>
      </c>
      <c r="C24" s="30">
        <v>155</v>
      </c>
      <c r="D24" s="30">
        <v>166</v>
      </c>
      <c r="E24" s="30">
        <v>155</v>
      </c>
      <c r="F24" s="30">
        <v>166</v>
      </c>
      <c r="G24" s="30">
        <v>155</v>
      </c>
      <c r="H24" s="30">
        <v>164</v>
      </c>
      <c r="I24" s="31">
        <f t="shared" si="0"/>
        <v>0.62695924764890276</v>
      </c>
      <c r="J24" s="30">
        <v>145</v>
      </c>
      <c r="K24" s="30">
        <v>150</v>
      </c>
      <c r="L24" s="32">
        <f t="shared" si="1"/>
        <v>8.8135593220338979</v>
      </c>
    </row>
    <row r="25" spans="1:12" ht="21" x14ac:dyDescent="0.3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" x14ac:dyDescent="0.3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" x14ac:dyDescent="0.3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" x14ac:dyDescent="0.3">
      <c r="A28" s="70" t="s">
        <v>110</v>
      </c>
      <c r="B28" s="6" t="s">
        <v>18</v>
      </c>
      <c r="C28" s="30">
        <v>120</v>
      </c>
      <c r="D28" s="30">
        <v>140</v>
      </c>
      <c r="E28" s="30">
        <v>110</v>
      </c>
      <c r="F28" s="30">
        <v>140</v>
      </c>
      <c r="G28" s="30">
        <v>110</v>
      </c>
      <c r="H28" s="30">
        <v>135</v>
      </c>
      <c r="I28" s="31">
        <f t="shared" si="2"/>
        <v>6.1224489795918364</v>
      </c>
      <c r="J28" s="30">
        <v>115</v>
      </c>
      <c r="K28" s="30">
        <v>120</v>
      </c>
      <c r="L28" s="32">
        <f t="shared" si="3"/>
        <v>10.638297872340425</v>
      </c>
    </row>
    <row r="29" spans="1:12" ht="21" x14ac:dyDescent="0.3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160</v>
      </c>
      <c r="I29" s="31">
        <f t="shared" si="2"/>
        <v>0</v>
      </c>
      <c r="J29" s="30">
        <v>130</v>
      </c>
      <c r="K29" s="30">
        <v>135</v>
      </c>
      <c r="L29" s="32">
        <f t="shared" si="3"/>
        <v>16.981132075471699</v>
      </c>
    </row>
    <row r="30" spans="1:12" ht="21" x14ac:dyDescent="0.3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120</v>
      </c>
      <c r="H30" s="30">
        <v>180</v>
      </c>
      <c r="I30" s="31">
        <f t="shared" si="2"/>
        <v>0</v>
      </c>
      <c r="J30" s="30">
        <v>160</v>
      </c>
      <c r="K30" s="30">
        <v>180</v>
      </c>
      <c r="L30" s="32">
        <f t="shared" si="3"/>
        <v>-11.76470588235294</v>
      </c>
    </row>
    <row r="31" spans="1:12" ht="21" x14ac:dyDescent="0.3">
      <c r="A31" s="70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" x14ac:dyDescent="0.3">
      <c r="A32" s="70" t="s">
        <v>41</v>
      </c>
      <c r="B32" s="6" t="s">
        <v>18</v>
      </c>
      <c r="C32" s="30">
        <v>100</v>
      </c>
      <c r="D32" s="30">
        <v>115</v>
      </c>
      <c r="E32" s="30">
        <v>100</v>
      </c>
      <c r="F32" s="30">
        <v>115</v>
      </c>
      <c r="G32" s="30">
        <v>95</v>
      </c>
      <c r="H32" s="30">
        <v>110</v>
      </c>
      <c r="I32" s="31">
        <f t="shared" si="2"/>
        <v>4.8780487804878048</v>
      </c>
      <c r="J32" s="30">
        <v>120</v>
      </c>
      <c r="K32" s="30">
        <v>130</v>
      </c>
      <c r="L32" s="32">
        <f t="shared" si="3"/>
        <v>-14.000000000000002</v>
      </c>
    </row>
    <row r="33" spans="1:12" ht="21" x14ac:dyDescent="0.3">
      <c r="A33" s="70" t="s">
        <v>42</v>
      </c>
      <c r="B33" s="6" t="s">
        <v>18</v>
      </c>
      <c r="C33" s="30">
        <v>18</v>
      </c>
      <c r="D33" s="30">
        <v>25</v>
      </c>
      <c r="E33" s="30">
        <v>20</v>
      </c>
      <c r="F33" s="30">
        <v>25</v>
      </c>
      <c r="G33" s="30">
        <v>25</v>
      </c>
      <c r="H33" s="30">
        <v>30</v>
      </c>
      <c r="I33" s="31">
        <f t="shared" si="2"/>
        <v>-21.818181818181817</v>
      </c>
      <c r="J33" s="30">
        <v>50</v>
      </c>
      <c r="K33" s="30">
        <v>60</v>
      </c>
      <c r="L33" s="32">
        <f t="shared" si="3"/>
        <v>-60.909090909090914</v>
      </c>
    </row>
    <row r="34" spans="1:12" ht="21" x14ac:dyDescent="0.3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" x14ac:dyDescent="0.3">
      <c r="A35" s="70" t="s">
        <v>90</v>
      </c>
      <c r="B35" s="6" t="s">
        <v>18</v>
      </c>
      <c r="C35" s="30">
        <v>65</v>
      </c>
      <c r="D35" s="30">
        <v>80</v>
      </c>
      <c r="E35" s="30">
        <v>70</v>
      </c>
      <c r="F35" s="30">
        <v>80</v>
      </c>
      <c r="G35" s="30">
        <v>75</v>
      </c>
      <c r="H35" s="30">
        <v>85</v>
      </c>
      <c r="I35" s="31">
        <f t="shared" ref="I35:I50" si="4">((C35+D35)/2-(G35+H35)/2)/((G35+H35)/2)*100</f>
        <v>-9.375</v>
      </c>
      <c r="J35" s="30">
        <v>105</v>
      </c>
      <c r="K35" s="30">
        <v>110</v>
      </c>
      <c r="L35" s="32">
        <f t="shared" ref="L35:L50" si="5">((C35+D35)/2-(J35+K35)/2)/((J35+K35)/2)*100</f>
        <v>-32.558139534883722</v>
      </c>
    </row>
    <row r="36" spans="1:12" ht="21" x14ac:dyDescent="0.3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90</v>
      </c>
      <c r="K36" s="30">
        <v>100</v>
      </c>
      <c r="L36" s="32">
        <f t="shared" si="5"/>
        <v>-100</v>
      </c>
    </row>
    <row r="37" spans="1:12" ht="21" x14ac:dyDescent="0.3">
      <c r="A37" s="70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140</v>
      </c>
      <c r="G37" s="30">
        <v>100</v>
      </c>
      <c r="H37" s="30">
        <v>140</v>
      </c>
      <c r="I37" s="31">
        <f t="shared" si="4"/>
        <v>0</v>
      </c>
      <c r="J37" s="30">
        <v>210</v>
      </c>
      <c r="K37" s="30">
        <v>220</v>
      </c>
      <c r="L37" s="32">
        <f t="shared" si="5"/>
        <v>-44.186046511627907</v>
      </c>
    </row>
    <row r="38" spans="1:12" ht="21" x14ac:dyDescent="0.3">
      <c r="A38" s="70" t="s">
        <v>46</v>
      </c>
      <c r="B38" s="6" t="s">
        <v>18</v>
      </c>
      <c r="C38" s="30">
        <v>150</v>
      </c>
      <c r="D38" s="30">
        <v>200</v>
      </c>
      <c r="E38" s="30">
        <v>130</v>
      </c>
      <c r="F38" s="30">
        <v>200</v>
      </c>
      <c r="G38" s="30">
        <v>130</v>
      </c>
      <c r="H38" s="30">
        <v>200</v>
      </c>
      <c r="I38" s="31">
        <f t="shared" si="4"/>
        <v>6.0606060606060606</v>
      </c>
      <c r="J38" s="30">
        <v>200</v>
      </c>
      <c r="K38" s="30">
        <v>220</v>
      </c>
      <c r="L38" s="32">
        <f t="shared" si="5"/>
        <v>-16.666666666666664</v>
      </c>
    </row>
    <row r="39" spans="1:12" ht="21" x14ac:dyDescent="0.3">
      <c r="A39" s="70" t="s">
        <v>47</v>
      </c>
      <c r="B39" s="6" t="s">
        <v>18</v>
      </c>
      <c r="C39" s="30">
        <v>220</v>
      </c>
      <c r="D39" s="30">
        <v>350</v>
      </c>
      <c r="E39" s="30">
        <v>220</v>
      </c>
      <c r="F39" s="30">
        <v>350</v>
      </c>
      <c r="G39" s="30">
        <v>270</v>
      </c>
      <c r="H39" s="30">
        <v>350</v>
      </c>
      <c r="I39" s="31">
        <f t="shared" si="4"/>
        <v>-8.064516129032258</v>
      </c>
      <c r="J39" s="30">
        <v>280</v>
      </c>
      <c r="K39" s="30">
        <v>350</v>
      </c>
      <c r="L39" s="32">
        <f t="shared" si="5"/>
        <v>-9.5238095238095237</v>
      </c>
    </row>
    <row r="40" spans="1:12" ht="21" x14ac:dyDescent="0.3">
      <c r="A40" s="70" t="s">
        <v>48</v>
      </c>
      <c r="B40" s="6" t="s">
        <v>18</v>
      </c>
      <c r="C40" s="30">
        <v>320</v>
      </c>
      <c r="D40" s="30">
        <v>420</v>
      </c>
      <c r="E40" s="30">
        <v>320</v>
      </c>
      <c r="F40" s="30">
        <v>420</v>
      </c>
      <c r="G40" s="30">
        <v>300</v>
      </c>
      <c r="H40" s="30">
        <v>450</v>
      </c>
      <c r="I40" s="31">
        <f t="shared" si="4"/>
        <v>-1.3333333333333335</v>
      </c>
      <c r="J40" s="30">
        <v>350</v>
      </c>
      <c r="K40" s="30">
        <v>450</v>
      </c>
      <c r="L40" s="32">
        <f t="shared" si="5"/>
        <v>-7.5</v>
      </c>
    </row>
    <row r="41" spans="1:12" ht="21" x14ac:dyDescent="0.3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" x14ac:dyDescent="0.3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" x14ac:dyDescent="0.3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" x14ac:dyDescent="0.3">
      <c r="A44" s="70" t="s">
        <v>52</v>
      </c>
      <c r="B44" s="6" t="s">
        <v>18</v>
      </c>
      <c r="C44" s="30">
        <v>150</v>
      </c>
      <c r="D44" s="30">
        <v>240</v>
      </c>
      <c r="E44" s="30">
        <v>140</v>
      </c>
      <c r="F44" s="30">
        <v>240</v>
      </c>
      <c r="G44" s="30">
        <v>140</v>
      </c>
      <c r="H44" s="30">
        <v>260</v>
      </c>
      <c r="I44" s="31">
        <f t="shared" si="4"/>
        <v>-2.5</v>
      </c>
      <c r="J44" s="30">
        <v>200</v>
      </c>
      <c r="K44" s="30">
        <v>280</v>
      </c>
      <c r="L44" s="32">
        <f t="shared" si="5"/>
        <v>-18.75</v>
      </c>
    </row>
    <row r="45" spans="1:12" ht="21" x14ac:dyDescent="0.3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680</v>
      </c>
      <c r="K45" s="30">
        <v>750</v>
      </c>
      <c r="L45" s="32">
        <f t="shared" si="5"/>
        <v>-5.5944055944055942</v>
      </c>
    </row>
    <row r="46" spans="1:12" ht="21" x14ac:dyDescent="0.3">
      <c r="A46" s="70" t="s">
        <v>54</v>
      </c>
      <c r="B46" s="6" t="s">
        <v>18</v>
      </c>
      <c r="C46" s="30">
        <v>480</v>
      </c>
      <c r="D46" s="30">
        <v>600</v>
      </c>
      <c r="E46" s="30">
        <v>480</v>
      </c>
      <c r="F46" s="30">
        <v>600</v>
      </c>
      <c r="G46" s="30">
        <v>500</v>
      </c>
      <c r="H46" s="30">
        <v>600</v>
      </c>
      <c r="I46" s="31">
        <f t="shared" si="4"/>
        <v>-1.8181818181818181</v>
      </c>
      <c r="J46" s="30">
        <v>450</v>
      </c>
      <c r="K46" s="30">
        <v>550</v>
      </c>
      <c r="L46" s="32">
        <f t="shared" si="5"/>
        <v>8</v>
      </c>
    </row>
    <row r="47" spans="1:12" ht="21" x14ac:dyDescent="0.3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1600</v>
      </c>
      <c r="G47" s="30">
        <v>1350</v>
      </c>
      <c r="H47" s="30">
        <v>1700</v>
      </c>
      <c r="I47" s="31">
        <f t="shared" si="4"/>
        <v>-3.278688524590164</v>
      </c>
      <c r="J47" s="30">
        <v>1300</v>
      </c>
      <c r="K47" s="30">
        <v>1500</v>
      </c>
      <c r="L47" s="32">
        <f t="shared" si="5"/>
        <v>5.3571428571428568</v>
      </c>
    </row>
    <row r="48" spans="1:12" ht="21" x14ac:dyDescent="0.3">
      <c r="A48" s="70" t="s">
        <v>56</v>
      </c>
      <c r="B48" s="6" t="s">
        <v>18</v>
      </c>
      <c r="C48" s="30">
        <v>4800</v>
      </c>
      <c r="D48" s="30">
        <v>5500</v>
      </c>
      <c r="E48" s="30">
        <v>4800</v>
      </c>
      <c r="F48" s="30">
        <v>5500</v>
      </c>
      <c r="G48" s="30">
        <v>4600</v>
      </c>
      <c r="H48" s="30">
        <v>5500</v>
      </c>
      <c r="I48" s="31">
        <f t="shared" si="4"/>
        <v>1.9801980198019802</v>
      </c>
      <c r="J48" s="30">
        <v>3200</v>
      </c>
      <c r="K48" s="30">
        <v>3650</v>
      </c>
      <c r="L48" s="32">
        <f t="shared" si="5"/>
        <v>50.364963503649641</v>
      </c>
    </row>
    <row r="49" spans="1:12" ht="21" x14ac:dyDescent="0.3">
      <c r="A49" s="70" t="s">
        <v>57</v>
      </c>
      <c r="B49" s="6" t="s">
        <v>18</v>
      </c>
      <c r="C49" s="30">
        <v>200</v>
      </c>
      <c r="D49" s="30">
        <v>280</v>
      </c>
      <c r="E49" s="30">
        <v>200</v>
      </c>
      <c r="F49" s="30">
        <v>280</v>
      </c>
      <c r="G49" s="30">
        <v>200</v>
      </c>
      <c r="H49" s="30">
        <v>280</v>
      </c>
      <c r="I49" s="31">
        <f t="shared" si="4"/>
        <v>0</v>
      </c>
      <c r="J49" s="30">
        <v>200</v>
      </c>
      <c r="K49" s="30">
        <v>280</v>
      </c>
      <c r="L49" s="32">
        <f t="shared" si="5"/>
        <v>0</v>
      </c>
    </row>
    <row r="50" spans="1:12" ht="21" x14ac:dyDescent="0.3">
      <c r="A50" s="70" t="s">
        <v>58</v>
      </c>
      <c r="B50" s="6" t="s">
        <v>18</v>
      </c>
      <c r="C50" s="30">
        <v>200</v>
      </c>
      <c r="D50" s="30">
        <v>225</v>
      </c>
      <c r="E50" s="30">
        <v>190</v>
      </c>
      <c r="F50" s="30">
        <v>225</v>
      </c>
      <c r="G50" s="30">
        <v>190</v>
      </c>
      <c r="H50" s="30">
        <v>225</v>
      </c>
      <c r="I50" s="31">
        <f t="shared" si="4"/>
        <v>2.4096385542168677</v>
      </c>
      <c r="J50" s="30">
        <v>120</v>
      </c>
      <c r="K50" s="30">
        <v>200</v>
      </c>
      <c r="L50" s="32">
        <f t="shared" si="5"/>
        <v>32.8125</v>
      </c>
    </row>
    <row r="51" spans="1:12" ht="21" x14ac:dyDescent="0.3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" x14ac:dyDescent="0.3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300</v>
      </c>
      <c r="K52" s="30">
        <v>400</v>
      </c>
      <c r="L52" s="32">
        <f t="shared" ref="L52:L57" si="7">((C52+D52)/2-(J52+K52)/2)/((J52+K52)/2)*100</f>
        <v>7.1428571428571423</v>
      </c>
    </row>
    <row r="53" spans="1:12" ht="21" x14ac:dyDescent="0.3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900</v>
      </c>
      <c r="H53" s="30">
        <v>2200</v>
      </c>
      <c r="I53" s="31">
        <f t="shared" si="6"/>
        <v>0</v>
      </c>
      <c r="J53" s="30">
        <v>800</v>
      </c>
      <c r="K53" s="30">
        <v>1800</v>
      </c>
      <c r="L53" s="32">
        <f t="shared" si="7"/>
        <v>19.230769230769234</v>
      </c>
    </row>
    <row r="54" spans="1:12" ht="21" x14ac:dyDescent="0.3">
      <c r="A54" s="70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650</v>
      </c>
      <c r="K54" s="30">
        <v>750</v>
      </c>
      <c r="L54" s="32">
        <f t="shared" si="7"/>
        <v>10.714285714285714</v>
      </c>
    </row>
    <row r="55" spans="1:12" ht="21" x14ac:dyDescent="0.3">
      <c r="A55" s="70" t="s">
        <v>92</v>
      </c>
      <c r="B55" s="6" t="s">
        <v>18</v>
      </c>
      <c r="C55" s="30">
        <v>1000</v>
      </c>
      <c r="D55" s="30">
        <v>1200</v>
      </c>
      <c r="E55" s="30">
        <v>1000</v>
      </c>
      <c r="F55" s="30">
        <v>1200</v>
      </c>
      <c r="G55" s="30">
        <v>1000</v>
      </c>
      <c r="H55" s="30">
        <v>1250</v>
      </c>
      <c r="I55" s="31">
        <f t="shared" si="6"/>
        <v>-2.2222222222222223</v>
      </c>
      <c r="J55" s="30">
        <v>1000</v>
      </c>
      <c r="K55" s="30">
        <v>1100</v>
      </c>
      <c r="L55" s="32">
        <f t="shared" si="7"/>
        <v>4.7619047619047619</v>
      </c>
    </row>
    <row r="56" spans="1:12" ht="21" x14ac:dyDescent="0.3">
      <c r="A56" s="70" t="s">
        <v>62</v>
      </c>
      <c r="B56" s="6" t="s">
        <v>18</v>
      </c>
      <c r="C56" s="30">
        <v>170</v>
      </c>
      <c r="D56" s="30">
        <v>185</v>
      </c>
      <c r="E56" s="30">
        <v>160</v>
      </c>
      <c r="F56" s="30">
        <v>185</v>
      </c>
      <c r="G56" s="30">
        <v>170</v>
      </c>
      <c r="H56" s="30">
        <v>180</v>
      </c>
      <c r="I56" s="31">
        <f t="shared" si="6"/>
        <v>1.4285714285714286</v>
      </c>
      <c r="J56" s="30">
        <v>175</v>
      </c>
      <c r="K56" s="30">
        <v>190</v>
      </c>
      <c r="L56" s="32">
        <f t="shared" si="7"/>
        <v>-2.7397260273972601</v>
      </c>
    </row>
    <row r="57" spans="1:12" ht="21" x14ac:dyDescent="0.3">
      <c r="A57" s="70" t="s">
        <v>63</v>
      </c>
      <c r="B57" s="6" t="s">
        <v>18</v>
      </c>
      <c r="C57" s="30">
        <v>550</v>
      </c>
      <c r="D57" s="30">
        <v>650</v>
      </c>
      <c r="E57" s="30">
        <v>550</v>
      </c>
      <c r="F57" s="30">
        <v>650</v>
      </c>
      <c r="G57" s="30">
        <v>550</v>
      </c>
      <c r="H57" s="30">
        <v>700</v>
      </c>
      <c r="I57" s="31">
        <f t="shared" si="6"/>
        <v>-4</v>
      </c>
      <c r="J57" s="30">
        <v>480</v>
      </c>
      <c r="K57" s="30">
        <v>600</v>
      </c>
      <c r="L57" s="32">
        <f t="shared" si="7"/>
        <v>11.111111111111111</v>
      </c>
    </row>
    <row r="58" spans="1:12" ht="21" x14ac:dyDescent="0.3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 x14ac:dyDescent="0.3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740</v>
      </c>
      <c r="K59" s="30">
        <v>820</v>
      </c>
      <c r="L59" s="32">
        <f>((C59+D59)/2-(J59+K59)/2)/((J59+K59)/2)*100</f>
        <v>1.2820512820512819</v>
      </c>
    </row>
    <row r="60" spans="1:12" ht="20.25" customHeight="1" x14ac:dyDescent="0.3">
      <c r="A60" s="70" t="s">
        <v>67</v>
      </c>
      <c r="B60" s="6" t="s">
        <v>66</v>
      </c>
      <c r="C60" s="30">
        <v>850</v>
      </c>
      <c r="D60" s="30">
        <v>920</v>
      </c>
      <c r="E60" s="30">
        <v>850</v>
      </c>
      <c r="F60" s="30">
        <v>920</v>
      </c>
      <c r="G60" s="30">
        <v>840</v>
      </c>
      <c r="H60" s="30">
        <v>920</v>
      </c>
      <c r="I60" s="31">
        <f>((C60+D60)/2-(G60+H60)/2)/((G60+H60)/2)*100</f>
        <v>0.56818181818181823</v>
      </c>
      <c r="J60" s="30">
        <v>790</v>
      </c>
      <c r="K60" s="30">
        <v>840</v>
      </c>
      <c r="L60" s="32">
        <f>((C60+D60)/2-(J60+K60)/2)/((J60+K60)/2)*100</f>
        <v>8.5889570552147241</v>
      </c>
    </row>
    <row r="61" spans="1:12" ht="22.5" customHeight="1" x14ac:dyDescent="0.3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775</v>
      </c>
      <c r="K61" s="30">
        <v>820</v>
      </c>
      <c r="L61" s="32">
        <f>((C61+D61)/2-(J61+K61)/2)/((J61+K61)/2)*100</f>
        <v>7.8369905956112857</v>
      </c>
    </row>
    <row r="62" spans="1:12" ht="25.5" customHeight="1" x14ac:dyDescent="0.3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775</v>
      </c>
      <c r="K62" s="30">
        <v>830</v>
      </c>
      <c r="L62" s="32">
        <f>((C62+D62)/2-(J62+K62)/2)/((J62+K62)/2)*100</f>
        <v>7.7881619937694699</v>
      </c>
    </row>
    <row r="63" spans="1:12" ht="24" customHeight="1" x14ac:dyDescent="0.3">
      <c r="A63" s="73"/>
      <c r="B63" s="82"/>
      <c r="C63" s="79"/>
      <c r="D63" s="79"/>
      <c r="E63" s="79"/>
      <c r="F63" s="79"/>
      <c r="G63" s="63"/>
      <c r="H63" s="63"/>
      <c r="I63" s="80"/>
      <c r="J63" s="79"/>
      <c r="K63" s="79"/>
      <c r="L63" s="81"/>
    </row>
    <row r="64" spans="1:12" ht="20.25" customHeight="1" x14ac:dyDescent="0.3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 x14ac:dyDescent="0.3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" x14ac:dyDescent="0.25">
      <c r="A66" s="70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7" t="s">
        <v>9</v>
      </c>
      <c r="J66" s="85" t="s">
        <v>10</v>
      </c>
      <c r="K66" s="84"/>
      <c r="L66" s="27" t="s">
        <v>11</v>
      </c>
    </row>
    <row r="67" spans="1:12" ht="18" customHeight="1" x14ac:dyDescent="0.25">
      <c r="A67" s="74"/>
      <c r="B67" s="65"/>
      <c r="C67" s="83">
        <v>45934</v>
      </c>
      <c r="D67" s="84"/>
      <c r="E67" s="83">
        <v>45927</v>
      </c>
      <c r="F67" s="84"/>
      <c r="G67" s="83">
        <v>45904</v>
      </c>
      <c r="H67" s="84"/>
      <c r="I67" s="27" t="s">
        <v>12</v>
      </c>
      <c r="J67" s="83">
        <v>45569</v>
      </c>
      <c r="K67" s="84"/>
      <c r="L67" s="27" t="s">
        <v>12</v>
      </c>
    </row>
    <row r="68" spans="1:12" ht="21" x14ac:dyDescent="0.2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 x14ac:dyDescent="0.3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115</v>
      </c>
      <c r="I69" s="31">
        <f>((C69+D69)/2-(G69+H69)/2)/((G69+H69)/2)*100</f>
        <v>0</v>
      </c>
      <c r="J69" s="30">
        <v>128</v>
      </c>
      <c r="K69" s="30">
        <v>135</v>
      </c>
      <c r="L69" s="32">
        <f t="shared" ref="L69:L75" si="8">((C69+D69)/2-(J69+K69)/2)/((J69+K69)/2)*100</f>
        <v>-16.34980988593156</v>
      </c>
    </row>
    <row r="70" spans="1:12" ht="21" x14ac:dyDescent="0.3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" x14ac:dyDescent="0.3">
      <c r="A71" s="70" t="s">
        <v>108</v>
      </c>
      <c r="B71" s="67" t="s">
        <v>18</v>
      </c>
      <c r="C71" s="30">
        <v>40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2.5</v>
      </c>
      <c r="J71" s="30">
        <v>38</v>
      </c>
      <c r="K71" s="30">
        <v>42</v>
      </c>
      <c r="L71" s="32">
        <f t="shared" si="8"/>
        <v>2.5</v>
      </c>
    </row>
    <row r="72" spans="1:12" ht="18.75" customHeight="1" x14ac:dyDescent="0.3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45</v>
      </c>
      <c r="H72" s="38">
        <v>50</v>
      </c>
      <c r="I72" s="31">
        <f t="shared" si="9"/>
        <v>0</v>
      </c>
      <c r="J72" s="38">
        <v>55</v>
      </c>
      <c r="K72" s="38">
        <v>56</v>
      </c>
      <c r="L72" s="32">
        <f t="shared" si="8"/>
        <v>-14.414414414414415</v>
      </c>
    </row>
    <row r="73" spans="1:12" ht="21" x14ac:dyDescent="0.3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" x14ac:dyDescent="0.3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86000</v>
      </c>
      <c r="I74" s="31">
        <f t="shared" si="9"/>
        <v>0</v>
      </c>
      <c r="J74" s="30">
        <v>87000</v>
      </c>
      <c r="K74" s="30">
        <v>89000</v>
      </c>
      <c r="L74" s="32">
        <f t="shared" si="8"/>
        <v>-3.6931818181818183</v>
      </c>
    </row>
    <row r="75" spans="1:12" ht="21" x14ac:dyDescent="0.3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75000</v>
      </c>
      <c r="H75" s="38">
        <v>79000</v>
      </c>
      <c r="I75" s="31">
        <f t="shared" si="9"/>
        <v>0</v>
      </c>
      <c r="J75" s="38">
        <v>82500</v>
      </c>
      <c r="K75" s="38">
        <v>85000</v>
      </c>
      <c r="L75" s="32">
        <f t="shared" si="8"/>
        <v>-8.0597014925373127</v>
      </c>
    </row>
    <row r="76" spans="1:12" ht="21.75" customHeight="1" x14ac:dyDescent="0.25">
      <c r="A76" s="86" t="s">
        <v>112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" x14ac:dyDescent="0.2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7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7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" x14ac:dyDescent="0.2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8" t="s">
        <v>12</v>
      </c>
      <c r="H82" s="88" t="s">
        <v>84</v>
      </c>
      <c r="I82" s="92"/>
      <c r="J82" s="89"/>
      <c r="K82" s="51"/>
      <c r="L82" s="18"/>
    </row>
    <row r="83" spans="1:12" ht="21" x14ac:dyDescent="0.3">
      <c r="A83" s="5" t="s">
        <v>27</v>
      </c>
      <c r="B83" s="6" t="s">
        <v>28</v>
      </c>
      <c r="C83" s="30">
        <v>172</v>
      </c>
      <c r="D83" s="30">
        <v>178</v>
      </c>
      <c r="E83" s="30">
        <v>170</v>
      </c>
      <c r="F83" s="30">
        <v>176</v>
      </c>
      <c r="G83" s="7">
        <f t="shared" ref="G83:G89" si="10">((C83+D83)/2-(E83+F83)/2)/((E83+F83)/2)*100</f>
        <v>1.1560693641618496</v>
      </c>
      <c r="H83" s="5" t="s">
        <v>126</v>
      </c>
      <c r="I83" s="6"/>
      <c r="J83" s="6"/>
      <c r="K83" s="51"/>
      <c r="L83" s="18"/>
    </row>
    <row r="84" spans="1:12" ht="21" x14ac:dyDescent="0.3">
      <c r="A84" s="5" t="s">
        <v>29</v>
      </c>
      <c r="B84" s="6" t="s">
        <v>31</v>
      </c>
      <c r="C84" s="30">
        <v>375</v>
      </c>
      <c r="D84" s="30">
        <v>380</v>
      </c>
      <c r="E84" s="30">
        <v>375</v>
      </c>
      <c r="F84" s="30">
        <v>378</v>
      </c>
      <c r="G84" s="7">
        <f t="shared" si="10"/>
        <v>0.26560424966799467</v>
      </c>
      <c r="H84" s="5" t="s">
        <v>120</v>
      </c>
      <c r="I84" s="6"/>
      <c r="J84" s="6"/>
      <c r="K84" s="51"/>
      <c r="L84" s="18"/>
    </row>
    <row r="85" spans="1:12" ht="21" x14ac:dyDescent="0.3">
      <c r="A85" s="5" t="s">
        <v>110</v>
      </c>
      <c r="B85" s="6" t="s">
        <v>18</v>
      </c>
      <c r="C85" s="30">
        <v>120</v>
      </c>
      <c r="D85" s="30">
        <v>140</v>
      </c>
      <c r="E85" s="30">
        <v>110</v>
      </c>
      <c r="F85" s="30">
        <v>140</v>
      </c>
      <c r="G85" s="7">
        <f t="shared" si="10"/>
        <v>4</v>
      </c>
      <c r="H85" s="5" t="s">
        <v>122</v>
      </c>
      <c r="I85" s="6"/>
      <c r="J85" s="6"/>
      <c r="K85" s="51"/>
      <c r="L85" s="18"/>
    </row>
    <row r="86" spans="1:12" ht="21" x14ac:dyDescent="0.3">
      <c r="A86" s="5" t="s">
        <v>42</v>
      </c>
      <c r="B86" s="6" t="s">
        <v>18</v>
      </c>
      <c r="C86" s="30">
        <v>18</v>
      </c>
      <c r="D86" s="30">
        <v>25</v>
      </c>
      <c r="E86" s="30">
        <v>20</v>
      </c>
      <c r="F86" s="30">
        <v>25</v>
      </c>
      <c r="G86" s="7">
        <f t="shared" si="10"/>
        <v>-4.4444444444444446</v>
      </c>
      <c r="H86" s="5" t="s">
        <v>121</v>
      </c>
      <c r="I86" s="6"/>
      <c r="J86" s="6"/>
      <c r="K86" s="51"/>
      <c r="L86" s="18"/>
    </row>
    <row r="87" spans="1:12" ht="21" x14ac:dyDescent="0.3">
      <c r="A87" s="70" t="s">
        <v>90</v>
      </c>
      <c r="B87" s="6" t="s">
        <v>18</v>
      </c>
      <c r="C87" s="30">
        <v>65</v>
      </c>
      <c r="D87" s="30">
        <v>80</v>
      </c>
      <c r="E87" s="30">
        <v>70</v>
      </c>
      <c r="F87" s="30">
        <v>80</v>
      </c>
      <c r="G87" s="7">
        <f t="shared" si="10"/>
        <v>-3.3333333333333335</v>
      </c>
      <c r="H87" s="5" t="s">
        <v>127</v>
      </c>
      <c r="I87" s="6"/>
      <c r="J87" s="6"/>
      <c r="K87" s="51"/>
      <c r="L87" s="18"/>
    </row>
    <row r="88" spans="1:12" ht="21" x14ac:dyDescent="0.3">
      <c r="A88" s="70" t="s">
        <v>46</v>
      </c>
      <c r="B88" s="6" t="s">
        <v>18</v>
      </c>
      <c r="C88" s="30">
        <v>150</v>
      </c>
      <c r="D88" s="30">
        <v>200</v>
      </c>
      <c r="E88" s="30">
        <v>130</v>
      </c>
      <c r="F88" s="30">
        <v>200</v>
      </c>
      <c r="G88" s="7">
        <f t="shared" si="10"/>
        <v>6.0606060606060606</v>
      </c>
      <c r="H88" s="5" t="s">
        <v>126</v>
      </c>
      <c r="I88" s="6"/>
      <c r="J88" s="6"/>
      <c r="K88" s="51"/>
      <c r="L88" s="18"/>
    </row>
    <row r="89" spans="1:12" ht="21" x14ac:dyDescent="0.3">
      <c r="A89" s="70" t="s">
        <v>52</v>
      </c>
      <c r="B89" s="6" t="s">
        <v>18</v>
      </c>
      <c r="C89" s="30">
        <v>150</v>
      </c>
      <c r="D89" s="30">
        <v>240</v>
      </c>
      <c r="E89" s="30">
        <v>140</v>
      </c>
      <c r="F89" s="30">
        <v>240</v>
      </c>
      <c r="G89" s="7">
        <f t="shared" si="10"/>
        <v>2.6315789473684208</v>
      </c>
      <c r="H89" s="5" t="s">
        <v>126</v>
      </c>
      <c r="I89" s="6"/>
      <c r="J89" s="6"/>
      <c r="K89" s="51"/>
      <c r="L89" s="18"/>
    </row>
    <row r="90" spans="1:12" ht="21" x14ac:dyDescent="0.3">
      <c r="A90" s="70" t="s">
        <v>62</v>
      </c>
      <c r="B90" s="6" t="s">
        <v>18</v>
      </c>
      <c r="C90" s="30">
        <v>170</v>
      </c>
      <c r="D90" s="30">
        <v>185</v>
      </c>
      <c r="E90" s="30">
        <v>160</v>
      </c>
      <c r="F90" s="30">
        <v>185</v>
      </c>
      <c r="G90" s="7">
        <f t="shared" ref="G90" si="11">((C90+D90)/2-(E90+F90)/2)/((E90+F90)/2)*100</f>
        <v>2.8985507246376812</v>
      </c>
      <c r="H90" s="5" t="s">
        <v>126</v>
      </c>
      <c r="I90" s="6"/>
      <c r="J90" s="6"/>
      <c r="K90" s="51"/>
      <c r="L90" s="18"/>
    </row>
    <row r="91" spans="1:12" ht="21" x14ac:dyDescent="0.3">
      <c r="A91" s="73"/>
      <c r="B91" s="3"/>
      <c r="C91" s="79"/>
      <c r="D91" s="79"/>
      <c r="E91" s="79"/>
      <c r="F91" s="79"/>
      <c r="G91" s="10"/>
      <c r="H91" s="1"/>
      <c r="I91" s="3"/>
      <c r="J91" s="3"/>
      <c r="K91" s="51"/>
      <c r="L91" s="18"/>
    </row>
    <row r="92" spans="1:12" ht="23.25" x14ac:dyDescent="0.3">
      <c r="A92" s="1"/>
      <c r="B92" s="3"/>
      <c r="C92" s="9"/>
      <c r="D92" s="9"/>
      <c r="E92" s="9"/>
      <c r="F92" s="9"/>
      <c r="G92" s="10"/>
      <c r="H92" s="1"/>
      <c r="I92" s="3"/>
      <c r="J92" s="3"/>
      <c r="K92" s="12"/>
      <c r="L92" s="12"/>
    </row>
    <row r="93" spans="1:12" ht="23.25" x14ac:dyDescent="0.3">
      <c r="A93" s="1"/>
      <c r="B93" s="14"/>
      <c r="C93" s="15"/>
      <c r="D93" s="15"/>
      <c r="E93" s="14"/>
      <c r="F93" s="15"/>
      <c r="G93" s="39"/>
      <c r="H93" s="40"/>
      <c r="I93" s="41"/>
      <c r="J93" s="41"/>
      <c r="K93" s="41"/>
      <c r="L93" s="12"/>
    </row>
    <row r="94" spans="1:12" ht="23.25" x14ac:dyDescent="0.3">
      <c r="A94" s="1"/>
      <c r="B94" s="42"/>
      <c r="C94" s="43" t="s">
        <v>118</v>
      </c>
      <c r="D94" s="11"/>
      <c r="E94" s="42"/>
      <c r="F94" s="14"/>
      <c r="G94" s="11"/>
      <c r="H94" s="40"/>
      <c r="I94" s="13"/>
      <c r="J94" s="14" t="s">
        <v>116</v>
      </c>
      <c r="K94" s="11"/>
      <c r="L94" s="11"/>
    </row>
    <row r="95" spans="1:12" ht="23.25" x14ac:dyDescent="0.3">
      <c r="A95" s="1"/>
      <c r="B95" s="44"/>
      <c r="C95" s="43" t="s">
        <v>119</v>
      </c>
      <c r="D95" s="14"/>
      <c r="E95" s="42"/>
      <c r="F95" s="45"/>
      <c r="G95" s="47"/>
      <c r="H95" s="47"/>
      <c r="I95" s="77"/>
      <c r="J95" s="14" t="s">
        <v>117</v>
      </c>
      <c r="K95" s="14"/>
      <c r="L95" s="14"/>
    </row>
    <row r="96" spans="1:12" ht="23.25" x14ac:dyDescent="0.3">
      <c r="A96" s="1"/>
      <c r="B96" s="14"/>
      <c r="C96" s="15"/>
      <c r="D96" s="14"/>
      <c r="E96" s="15"/>
      <c r="F96" s="45"/>
      <c r="G96" s="47"/>
      <c r="H96" s="47"/>
      <c r="I96" s="46"/>
      <c r="J96" s="11"/>
      <c r="K96" s="11"/>
      <c r="L96" s="2"/>
    </row>
    <row r="97" spans="1:12" ht="18.75" x14ac:dyDescent="0.25">
      <c r="A97" s="56" t="s">
        <v>93</v>
      </c>
      <c r="B97" s="54"/>
      <c r="C97" s="52"/>
      <c r="D97" s="54"/>
      <c r="E97" s="52"/>
      <c r="F97" s="52"/>
      <c r="G97" s="52"/>
      <c r="H97" s="53"/>
      <c r="I97" s="58"/>
      <c r="J97" s="2"/>
      <c r="K97" s="2"/>
      <c r="L97" s="2"/>
    </row>
    <row r="98" spans="1:12" ht="18.75" x14ac:dyDescent="0.25">
      <c r="A98" s="55" t="s">
        <v>99</v>
      </c>
      <c r="B98" s="54"/>
      <c r="C98" s="52"/>
      <c r="D98" s="54"/>
      <c r="E98" s="52"/>
      <c r="F98" s="52"/>
      <c r="G98" s="54"/>
      <c r="H98" s="53"/>
      <c r="I98" s="58"/>
      <c r="J98" s="2"/>
      <c r="K98" s="2"/>
      <c r="L98" s="2"/>
    </row>
    <row r="99" spans="1:12" ht="18.75" x14ac:dyDescent="0.25">
      <c r="A99" s="55" t="s">
        <v>98</v>
      </c>
      <c r="B99" s="54"/>
      <c r="C99" s="54"/>
      <c r="D99" s="54"/>
      <c r="E99" s="54"/>
      <c r="F99" s="52"/>
      <c r="G99" s="54"/>
      <c r="H99" s="53"/>
      <c r="I99" s="58"/>
      <c r="J99" s="2"/>
      <c r="K99" s="2"/>
      <c r="L99" s="2"/>
    </row>
    <row r="100" spans="1:12" ht="18.75" x14ac:dyDescent="0.25">
      <c r="A100" s="55" t="s">
        <v>85</v>
      </c>
      <c r="B100" s="54"/>
      <c r="C100" s="54"/>
      <c r="D100" s="54"/>
      <c r="E100" s="54"/>
      <c r="F100" s="53"/>
      <c r="G100" s="53"/>
      <c r="H100" s="53"/>
      <c r="I100" s="58"/>
      <c r="J100" s="2"/>
      <c r="K100" s="2"/>
      <c r="L100" s="2"/>
    </row>
    <row r="101" spans="1:12" ht="18.75" x14ac:dyDescent="0.25">
      <c r="A101" s="55" t="s">
        <v>97</v>
      </c>
      <c r="B101" s="54"/>
      <c r="C101" s="54"/>
      <c r="D101" s="54"/>
      <c r="E101" s="54"/>
      <c r="F101" s="54"/>
      <c r="G101" s="53"/>
      <c r="H101" s="53"/>
      <c r="I101" s="58"/>
      <c r="J101" s="2"/>
      <c r="K101" s="2"/>
      <c r="L101" s="2"/>
    </row>
    <row r="102" spans="1:12" ht="18.75" x14ac:dyDescent="0.25">
      <c r="A102" s="55" t="s">
        <v>96</v>
      </c>
      <c r="B102" s="54"/>
      <c r="C102" s="54"/>
      <c r="D102" s="54"/>
      <c r="E102" s="54"/>
      <c r="F102" s="54"/>
      <c r="G102" s="54"/>
      <c r="H102" s="53"/>
      <c r="I102" s="58"/>
      <c r="J102" s="2"/>
      <c r="K102" s="2"/>
      <c r="L102" s="2"/>
    </row>
    <row r="103" spans="1:12" ht="18.75" x14ac:dyDescent="0.25">
      <c r="A103" s="55" t="s">
        <v>107</v>
      </c>
      <c r="B103" s="54"/>
      <c r="C103" s="54"/>
      <c r="D103" s="54"/>
      <c r="E103" s="54"/>
      <c r="F103" s="54"/>
      <c r="G103" s="54"/>
      <c r="H103" s="53"/>
      <c r="I103" s="58"/>
      <c r="J103" s="2"/>
      <c r="K103" s="2"/>
      <c r="L103" s="2"/>
    </row>
    <row r="104" spans="1:12" ht="18.75" x14ac:dyDescent="0.25">
      <c r="A104" s="55" t="s">
        <v>95</v>
      </c>
      <c r="B104" s="54"/>
      <c r="C104" s="54"/>
      <c r="D104" s="54"/>
      <c r="E104" s="54"/>
      <c r="F104" s="54"/>
      <c r="G104" s="54"/>
      <c r="H104" s="53"/>
      <c r="I104" s="58"/>
      <c r="J104" s="2"/>
      <c r="K104" s="2"/>
      <c r="L104" s="2"/>
    </row>
    <row r="105" spans="1:12" ht="18.75" x14ac:dyDescent="0.25">
      <c r="A105" s="55" t="s">
        <v>94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8.75" x14ac:dyDescent="0.25">
      <c r="A106" s="55" t="s">
        <v>86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8.75" x14ac:dyDescent="0.25">
      <c r="A107" s="55" t="s">
        <v>101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8.75" x14ac:dyDescent="0.25">
      <c r="A108" s="55" t="s">
        <v>100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8.75" x14ac:dyDescent="0.25">
      <c r="A109" s="55" t="s">
        <v>102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8.75" x14ac:dyDescent="0.25">
      <c r="A110" s="55" t="s">
        <v>103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8.75" x14ac:dyDescent="0.25">
      <c r="A111" s="55" t="s">
        <v>87</v>
      </c>
      <c r="B111" s="54"/>
      <c r="C111" s="54"/>
      <c r="D111" s="54"/>
      <c r="E111" s="54"/>
      <c r="F111" s="54"/>
      <c r="G111" s="54"/>
      <c r="H111" s="57"/>
      <c r="I111" s="59"/>
      <c r="J111" s="12"/>
      <c r="K111" s="12"/>
      <c r="L111" s="12"/>
    </row>
    <row r="112" spans="1:12" ht="18.75" x14ac:dyDescent="0.25">
      <c r="A112" s="55"/>
      <c r="B112" s="54"/>
      <c r="C112" s="54"/>
      <c r="D112" s="54"/>
      <c r="E112" s="54"/>
      <c r="F112" s="54"/>
      <c r="G112" s="54"/>
      <c r="H112" s="57"/>
      <c r="I112" s="59"/>
      <c r="J112" s="12"/>
      <c r="K112" s="12"/>
      <c r="L112" s="12"/>
    </row>
    <row r="113" spans="1:12" ht="18.75" x14ac:dyDescent="0.25">
      <c r="A113" s="56" t="s">
        <v>88</v>
      </c>
      <c r="B113" s="54"/>
      <c r="C113" s="54"/>
      <c r="D113" s="54"/>
      <c r="E113" s="54"/>
      <c r="F113" s="54"/>
      <c r="G113" s="54"/>
      <c r="H113" s="57"/>
      <c r="I113" s="59"/>
      <c r="J113" s="12"/>
      <c r="K113" s="12"/>
      <c r="L113" s="12"/>
    </row>
    <row r="114" spans="1:12" ht="18.75" x14ac:dyDescent="0.25">
      <c r="A114" s="55" t="s">
        <v>89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8.75" x14ac:dyDescent="0.25">
      <c r="A115" s="55" t="s">
        <v>115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8.75" x14ac:dyDescent="0.25">
      <c r="A116" s="55" t="s">
        <v>114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8.75" x14ac:dyDescent="0.25">
      <c r="A117" s="55" t="s">
        <v>113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2025-09-30T08:31:24Z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