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83FB4744-1C0E-49BF-B407-F68B48FEF0B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3" i="4" l="1"/>
  <c r="G86" i="4"/>
  <c r="G85" i="4"/>
  <c r="G90" i="4"/>
  <c r="G89" i="4"/>
  <c r="G88" i="4"/>
  <c r="G87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<sst xmlns="http://schemas.openxmlformats.org/spreadsheetml/2006/main" count="235" uniqueCount="128">
  <si>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</si>
  <si>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</si>
  <si>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</si>
  <si>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</si>
  <si>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</si>
  <si>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</si>
  <si>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</si>
  <si>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</si>
  <si>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</si>
  <si>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</si>
  <si>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</si>
  <si>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</si>
  <si>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</si>
  <si>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</si>
  <si>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</si>
  <si>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</si>
  <si>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</si>
  <si>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</si>
  <si>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</si>
  <si>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</si>
  <si>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</si>
  <si>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</si>
  <si>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</si>
  <si>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</si>
  <si>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</si>
  <si>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</si>
  <si>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</si>
  <si>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</si>
  <si>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</si>
  <si>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</si>
  <si>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</si>
  <si>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</si>
  <si>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</si>
  <si>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</si>
  <si>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</si>
  <si>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</si>
  <si>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</si>
  <si>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</si>
  <si>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</si>
  <si>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</si>
  <si>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</si>
  <si>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</si>
  <si>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</si>
  <si>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</si>
  <si>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</si>
  <si>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</si>
  <si>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</si>
  <si>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</si>
  <si>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</si>
  <si>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</si>
  <si>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</si>
  <si>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</si>
  <si>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</si>
  <si>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</si>
  <si>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</si>
  <si>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</si>
  <si>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</si>
  <si>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</si>
  <si>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</si>
  <si>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</si>
  <si>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</si>
  <si>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</si>
  <si>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</si>
  <si>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</si>
  <si>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</si>
  <si>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</si>
  <si>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</si>
  <si>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</si>
  <si>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</si>
  <si>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</si>
  <si>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</si>
  <si>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</si>
  <si>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</si>
  <si>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</si>
  <si>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</si>
  <si>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</si>
  <si>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</si>
  <si>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</si>
  <si>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</si>
  <si>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</si>
  <si>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</si>
  <si>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</si>
  <si>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</si>
  <si>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</si>
  <si>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</si>
  <si>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</si>
  <si>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</si>
  <si>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</si>
  <si>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</si>
  <si>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</si>
  <si>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</si>
  <si>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</si>
  <si>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</si>
  <si>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</si>
  <si>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</si>
  <si>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</si>
  <si>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</si>
  <si>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</si>
  <si>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</si>
  <si>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</si>
  <si>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</si>
  <si>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</si>
  <si>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</si>
  <si>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</si>
  <si>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</si>
  <si>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</si>
  <si>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</si>
  <si>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</si>
  <si>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</si>
  <si>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</si>
  <si>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</si>
  <si>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</si>
  <si>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</si>
  <si>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</si>
  <si>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</si>
  <si>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</si>
  <si>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হুমায়ুন কবির)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</si>
  <si>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</si>
  <si>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</si>
  <si>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</si>
  <si>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১২-০৯-২০২৫ তারিখে মূল্য বৃদ্ধি পেয়েছে।</t>
  </si>
  <si>
    <t>স্মারক নং-২৬.০৫.০০০০.০১৭.৩১.০১.২৫-৬৫২</t>
  </si>
  <si>
    <t xml:space="preserve">সোমবার ১৫ সেপ্টেম্বর ২০২৫ খ্রিঃ, ৩১ ভাদ্র ১৪৩২ বাংলা, ২১ রবিউল আউয়াল ১৪৪৭ হিজরি </t>
  </si>
  <si>
    <t xml:space="preserve">   সিরিয়াল নংঃ     ২৩১</t>
  </si>
  <si>
    <t>১৫-০৯-২০২৫ তারিখে মূল্য বৃদ্ধি পেয়েছে।</t>
  </si>
  <si>
    <t>১৫-০৯-২০২৫ তারিখে মূল্য হ্রাস পেয়েছে।</t>
  </si>
  <si>
    <t>(১)     সয়াবিন তেল লুজ, পাম অয়েল লুজ, সুপার পাম অয়েল (লুজ), ছোলা  এর মূল্য বৃদ্ধি পেয়েছে।</t>
  </si>
  <si>
    <t>(২ )    আলু, পেঁয়াজ (দেশী), আদা (আম), তেজপাতা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</si>
</sst>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8"/>
  <sheetViews>
    <sheetView tabSelected="1" topLeftCell="A76" zoomScale="98" zoomScaleNormal="98" workbookViewId="0">
      <selection activeCell="B79" sqref="B79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123</v>
      </c>
      <c r="L4" s="84"/>
    </row>
    <row r="5" spans="1:12" ht="19.5" customHeight="1">
      <c r="A5" s="18"/>
      <c r="B5" s="8"/>
      <c r="C5" s="8"/>
      <c r="D5" s="18"/>
      <c r="E5" s="8"/>
      <c r="F5" s="8" t="s">
        <v>122</v>
      </c>
      <c r="G5" s="8"/>
      <c r="H5" s="8"/>
      <c r="I5" s="8"/>
      <c r="J5" s="8"/>
      <c r="K5" s="8"/>
      <c r="L5" s="50"/>
    </row>
    <row r="6" spans="1:12" ht="21.75">
      <c r="A6" s="21" t="s">
        <v>121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45915</v>
      </c>
    </row>
    <row r="7" spans="1:12" ht="21.75">
      <c r="A7" s="26" t="s">
        <v>4</v>
      </c>
      <c r="B7" s="27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7" t="s">
        <v>9</v>
      </c>
      <c r="J7" s="85" t="s">
        <v>10</v>
      </c>
      <c r="K7" s="84"/>
      <c r="L7" s="28" t="s">
        <v>11</v>
      </c>
    </row>
    <row r="8" spans="1:12" ht="21.75">
      <c r="A8" s="26"/>
      <c r="B8" s="27"/>
      <c r="C8" s="83">
        <v>45915</v>
      </c>
      <c r="D8" s="84"/>
      <c r="E8" s="83">
        <v>45908</v>
      </c>
      <c r="F8" s="84"/>
      <c r="G8" s="83">
        <v>45884</v>
      </c>
      <c r="H8" s="84"/>
      <c r="I8" s="27" t="s">
        <v>12</v>
      </c>
      <c r="J8" s="83">
        <v>45550</v>
      </c>
      <c r="K8" s="84"/>
      <c r="L8" s="27" t="s">
        <v>12</v>
      </c>
    </row>
    <row r="9" spans="1:12" ht="21.7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.75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0" t="s">
        <v>105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75</v>
      </c>
      <c r="I11" s="31">
        <f>((C11+D11)/2-(G11+H11)/2)/((G11+H11)/2)*100</f>
        <v>0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.75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42</v>
      </c>
      <c r="H14" s="30">
        <v>45</v>
      </c>
      <c r="I14" s="31">
        <f>((C14+D14)/2-(G14+H14)/2)/((G14+H14)/2)*100</f>
        <v>11.494252873563218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.75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52</v>
      </c>
      <c r="H15" s="30">
        <v>60</v>
      </c>
      <c r="I15" s="31">
        <f>((C15+D15)/2-(G15+H15)/2)/((G15+H15)/2)*100</f>
        <v>7.1428571428571423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0" t="s">
        <v>27</v>
      </c>
      <c r="B19" s="6" t="s">
        <v>28</v>
      </c>
      <c r="C19" s="30">
        <v>168</v>
      </c>
      <c r="D19" s="30">
        <v>174</v>
      </c>
      <c r="E19" s="30">
        <v>168</v>
      </c>
      <c r="F19" s="30">
        <v>172</v>
      </c>
      <c r="G19" s="30">
        <v>162</v>
      </c>
      <c r="H19" s="30">
        <v>172</v>
      </c>
      <c r="I19" s="31">
        <f t="shared" ref="I19:I25" si="0">((C19+D19)/2-(G19+H19)/2)/((G19+H19)/2)*100</f>
        <v>2.3952095808383236</v>
      </c>
      <c r="J19" s="30">
        <v>148</v>
      </c>
      <c r="K19" s="30">
        <v>155</v>
      </c>
      <c r="L19" s="32">
        <f t="shared" ref="L19:L25" si="1">((C19+D19)/2-(J19+K19)/2)/((J19+K19)/2)*100</f>
        <v>12.871287128712872</v>
      </c>
    </row>
    <row r="20" spans="1:12" ht="21.75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30">
        <v>330</v>
      </c>
      <c r="K21" s="30">
        <v>335</v>
      </c>
      <c r="L21" s="32">
        <f t="shared" si="1"/>
        <v>13.233082706766917</v>
      </c>
    </row>
    <row r="22" spans="1:12" ht="21.75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0" t="s">
        <v>33</v>
      </c>
      <c r="B23" s="6" t="s">
        <v>28</v>
      </c>
      <c r="C23" s="30">
        <v>153</v>
      </c>
      <c r="D23" s="30">
        <v>158</v>
      </c>
      <c r="E23" s="30">
        <v>153</v>
      </c>
      <c r="F23" s="30">
        <v>157</v>
      </c>
      <c r="G23" s="30">
        <v>150</v>
      </c>
      <c r="H23" s="30">
        <v>160</v>
      </c>
      <c r="I23" s="31">
        <f t="shared" si="0"/>
        <v>0.32258064516129031</v>
      </c>
      <c r="J23" s="30">
        <v>130</v>
      </c>
      <c r="K23" s="30">
        <v>135</v>
      </c>
      <c r="L23" s="32">
        <f t="shared" si="1"/>
        <v>17.358490566037734</v>
      </c>
    </row>
    <row r="24" spans="1:12" ht="21.75">
      <c r="A24" s="70" t="s">
        <v>106</v>
      </c>
      <c r="B24" s="6" t="s">
        <v>28</v>
      </c>
      <c r="C24" s="30">
        <v>155</v>
      </c>
      <c r="D24" s="30">
        <v>165</v>
      </c>
      <c r="E24" s="30">
        <v>155</v>
      </c>
      <c r="F24" s="30">
        <v>164</v>
      </c>
      <c r="G24" s="30">
        <v>152</v>
      </c>
      <c r="H24" s="30">
        <v>163</v>
      </c>
      <c r="I24" s="31">
        <f t="shared" si="0"/>
        <v>1.5873015873015872</v>
      </c>
      <c r="J24" s="30">
        <v>135</v>
      </c>
      <c r="K24" s="30">
        <v>140</v>
      </c>
      <c r="L24" s="32">
        <f t="shared" si="1"/>
        <v>16.363636363636363</v>
      </c>
    </row>
    <row r="25" spans="1:12" ht="21.75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.75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155</v>
      </c>
      <c r="I29" s="31">
        <f t="shared" si="2"/>
        <v>1.639344262295082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160</v>
      </c>
      <c r="H30" s="30">
        <v>180</v>
      </c>
      <c r="I30" s="31">
        <f t="shared" si="2"/>
        <v>-11.76470588235294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0" t="s">
        <v>41</v>
      </c>
      <c r="B32" s="6" t="s">
        <v>18</v>
      </c>
      <c r="C32" s="30">
        <v>95</v>
      </c>
      <c r="D32" s="30">
        <v>115</v>
      </c>
      <c r="E32" s="30">
        <v>95</v>
      </c>
      <c r="F32" s="30">
        <v>110</v>
      </c>
      <c r="G32" s="30">
        <v>95</v>
      </c>
      <c r="H32" s="30">
        <v>110</v>
      </c>
      <c r="I32" s="31">
        <f t="shared" si="2"/>
        <v>2.4390243902439024</v>
      </c>
      <c r="J32" s="30">
        <v>115</v>
      </c>
      <c r="K32" s="30">
        <v>125</v>
      </c>
      <c r="L32" s="32">
        <f t="shared" si="3"/>
        <v>-12.5</v>
      </c>
    </row>
    <row r="33" spans="1:12" ht="21.75">
      <c r="A33" s="70" t="s">
        <v>42</v>
      </c>
      <c r="B33" s="6" t="s">
        <v>18</v>
      </c>
      <c r="C33" s="30">
        <v>20</v>
      </c>
      <c r="D33" s="30">
        <v>25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-18.181818181818183</v>
      </c>
      <c r="J33" s="30">
        <v>52</v>
      </c>
      <c r="K33" s="30">
        <v>60</v>
      </c>
      <c r="L33" s="32">
        <f t="shared" si="3"/>
        <v>-59.821428571428569</v>
      </c>
    </row>
    <row r="34" spans="1:12" ht="21.75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0" t="s">
        <v>90</v>
      </c>
      <c r="B35" s="6" t="s">
        <v>18</v>
      </c>
      <c r="C35" s="30">
        <v>70</v>
      </c>
      <c r="D35" s="30">
        <v>80</v>
      </c>
      <c r="E35" s="30">
        <v>75</v>
      </c>
      <c r="F35" s="30">
        <v>85</v>
      </c>
      <c r="G35" s="30">
        <v>75</v>
      </c>
      <c r="H35" s="30">
        <v>85</v>
      </c>
      <c r="I35" s="31">
        <f t="shared" ref="I35:I50" si="4">((C35+D35)/2-(G35+H35)/2)/((G35+H35)/2)*100</f>
        <v>-6.25</v>
      </c>
      <c r="J35" s="30">
        <v>110</v>
      </c>
      <c r="K35" s="30">
        <v>120</v>
      </c>
      <c r="L35" s="32">
        <f t="shared" ref="L35:L50" si="5">((C35+D35)/2-(J35+K35)/2)/((J35+K35)/2)*100</f>
        <v>-34.782608695652172</v>
      </c>
    </row>
    <row r="36" spans="1:12" ht="21.75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110</v>
      </c>
      <c r="L36" s="32">
        <f t="shared" si="5"/>
        <v>-100</v>
      </c>
    </row>
    <row r="37" spans="1:12" ht="21.75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80</v>
      </c>
      <c r="H37" s="30">
        <v>160</v>
      </c>
      <c r="I37" s="31">
        <f t="shared" si="4"/>
        <v>0</v>
      </c>
      <c r="J37" s="30">
        <v>200</v>
      </c>
      <c r="K37" s="30">
        <v>250</v>
      </c>
      <c r="L37" s="32">
        <f t="shared" si="5"/>
        <v>-46.666666666666664</v>
      </c>
    </row>
    <row r="38" spans="1:12" ht="21.75">
      <c r="A38" s="70" t="s">
        <v>46</v>
      </c>
      <c r="B38" s="6" t="s">
        <v>18</v>
      </c>
      <c r="C38" s="30">
        <v>130</v>
      </c>
      <c r="D38" s="30">
        <v>200</v>
      </c>
      <c r="E38" s="30">
        <v>130</v>
      </c>
      <c r="F38" s="30">
        <v>200</v>
      </c>
      <c r="G38" s="30">
        <v>160</v>
      </c>
      <c r="H38" s="30">
        <v>200</v>
      </c>
      <c r="I38" s="31">
        <f t="shared" si="4"/>
        <v>-8.3333333333333321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0" t="s">
        <v>47</v>
      </c>
      <c r="B39" s="6" t="s">
        <v>18</v>
      </c>
      <c r="C39" s="30">
        <v>220</v>
      </c>
      <c r="D39" s="30">
        <v>350</v>
      </c>
      <c r="E39" s="30">
        <v>250</v>
      </c>
      <c r="F39" s="30">
        <v>350</v>
      </c>
      <c r="G39" s="30">
        <v>240</v>
      </c>
      <c r="H39" s="30">
        <v>350</v>
      </c>
      <c r="I39" s="31">
        <f t="shared" si="4"/>
        <v>-3.3898305084745761</v>
      </c>
      <c r="J39" s="30">
        <v>300</v>
      </c>
      <c r="K39" s="30">
        <v>350</v>
      </c>
      <c r="L39" s="32">
        <f t="shared" si="5"/>
        <v>-12.307692307692308</v>
      </c>
    </row>
    <row r="40" spans="1:12" ht="21.75">
      <c r="A40" s="70" t="s">
        <v>48</v>
      </c>
      <c r="B40" s="6" t="s">
        <v>18</v>
      </c>
      <c r="C40" s="30">
        <v>320</v>
      </c>
      <c r="D40" s="30">
        <v>430</v>
      </c>
      <c r="E40" s="30">
        <v>320</v>
      </c>
      <c r="F40" s="30">
        <v>430</v>
      </c>
      <c r="G40" s="30">
        <v>300</v>
      </c>
      <c r="H40" s="30">
        <v>450</v>
      </c>
      <c r="I40" s="31">
        <f t="shared" si="4"/>
        <v>0</v>
      </c>
      <c r="J40" s="30">
        <v>400</v>
      </c>
      <c r="K40" s="30">
        <v>450</v>
      </c>
      <c r="L40" s="32">
        <f t="shared" si="5"/>
        <v>-11.76470588235294</v>
      </c>
    </row>
    <row r="41" spans="1:12" ht="21.75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0" t="s">
        <v>52</v>
      </c>
      <c r="B44" s="6" t="s">
        <v>18</v>
      </c>
      <c r="C44" s="30">
        <v>130</v>
      </c>
      <c r="D44" s="30">
        <v>260</v>
      </c>
      <c r="E44" s="30">
        <v>140</v>
      </c>
      <c r="F44" s="30">
        <v>260</v>
      </c>
      <c r="G44" s="30">
        <v>180</v>
      </c>
      <c r="H44" s="30">
        <v>280</v>
      </c>
      <c r="I44" s="31">
        <f t="shared" si="4"/>
        <v>-15.217391304347828</v>
      </c>
      <c r="J44" s="30">
        <v>200</v>
      </c>
      <c r="K44" s="30">
        <v>260</v>
      </c>
      <c r="L44" s="32">
        <f t="shared" si="5"/>
        <v>-15.217391304347828</v>
      </c>
    </row>
    <row r="45" spans="1:12" ht="21.75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.75">
      <c r="A46" s="70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450</v>
      </c>
      <c r="K46" s="30">
        <v>500</v>
      </c>
      <c r="L46" s="32">
        <f t="shared" si="5"/>
        <v>15.789473684210526</v>
      </c>
    </row>
    <row r="47" spans="1:12" ht="21.75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1400</v>
      </c>
      <c r="H47" s="30">
        <v>1600</v>
      </c>
      <c r="I47" s="31">
        <f t="shared" si="4"/>
        <v>-1.6666666666666667</v>
      </c>
      <c r="J47" s="30">
        <v>1200</v>
      </c>
      <c r="K47" s="30">
        <v>1500</v>
      </c>
      <c r="L47" s="32">
        <f t="shared" si="5"/>
        <v>9.2592592592592595</v>
      </c>
    </row>
    <row r="48" spans="1:12" ht="21.75">
      <c r="A48" s="70" t="s">
        <v>56</v>
      </c>
      <c r="B48" s="6" t="s">
        <v>18</v>
      </c>
      <c r="C48" s="30">
        <v>4700</v>
      </c>
      <c r="D48" s="30">
        <v>5500</v>
      </c>
      <c r="E48" s="30">
        <v>4700</v>
      </c>
      <c r="F48" s="30">
        <v>5500</v>
      </c>
      <c r="G48" s="30">
        <v>4500</v>
      </c>
      <c r="H48" s="30">
        <v>5200</v>
      </c>
      <c r="I48" s="31">
        <f t="shared" si="4"/>
        <v>5.1546391752577314</v>
      </c>
      <c r="J48" s="30">
        <v>3200</v>
      </c>
      <c r="K48" s="30">
        <v>3600</v>
      </c>
      <c r="L48" s="32">
        <f t="shared" si="5"/>
        <v>50</v>
      </c>
    </row>
    <row r="49" spans="1:12" ht="21.75">
      <c r="A49" s="70" t="s">
        <v>57</v>
      </c>
      <c r="B49" s="6" t="s">
        <v>18</v>
      </c>
      <c r="C49" s="30">
        <v>220</v>
      </c>
      <c r="D49" s="30">
        <v>280</v>
      </c>
      <c r="E49" s="30">
        <v>220</v>
      </c>
      <c r="F49" s="30">
        <v>280</v>
      </c>
      <c r="G49" s="30">
        <v>180</v>
      </c>
      <c r="H49" s="30">
        <v>280</v>
      </c>
      <c r="I49" s="31">
        <f t="shared" si="4"/>
        <v>8.695652173913043</v>
      </c>
      <c r="J49" s="30">
        <v>200</v>
      </c>
      <c r="K49" s="30">
        <v>250</v>
      </c>
      <c r="L49" s="32">
        <f t="shared" si="5"/>
        <v>11.111111111111111</v>
      </c>
    </row>
    <row r="50" spans="1:12" ht="21.75">
      <c r="A50" s="70" t="s">
        <v>58</v>
      </c>
      <c r="B50" s="6" t="s">
        <v>18</v>
      </c>
      <c r="C50" s="30">
        <v>190</v>
      </c>
      <c r="D50" s="30">
        <v>225</v>
      </c>
      <c r="E50" s="30">
        <v>200</v>
      </c>
      <c r="F50" s="30">
        <v>225</v>
      </c>
      <c r="G50" s="30">
        <v>180</v>
      </c>
      <c r="H50" s="30">
        <v>220</v>
      </c>
      <c r="I50" s="31">
        <f t="shared" si="4"/>
        <v>3.75</v>
      </c>
      <c r="J50" s="30">
        <v>120</v>
      </c>
      <c r="K50" s="30">
        <v>200</v>
      </c>
      <c r="L50" s="32">
        <f t="shared" si="5"/>
        <v>29.6875</v>
      </c>
    </row>
    <row r="51" spans="1:12" ht="21.75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800</v>
      </c>
      <c r="H53" s="30">
        <v>2000</v>
      </c>
      <c r="I53" s="31">
        <f t="shared" si="6"/>
        <v>10.714285714285714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0" t="s">
        <v>92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1000</v>
      </c>
      <c r="K55" s="30">
        <v>1100</v>
      </c>
      <c r="L55" s="32">
        <f t="shared" si="7"/>
        <v>7.1428571428571423</v>
      </c>
    </row>
    <row r="56" spans="1:12" ht="21.75">
      <c r="A56" s="70" t="s">
        <v>62</v>
      </c>
      <c r="B56" s="6" t="s">
        <v>18</v>
      </c>
      <c r="C56" s="30">
        <v>170</v>
      </c>
      <c r="D56" s="30">
        <v>185</v>
      </c>
      <c r="E56" s="30">
        <v>170</v>
      </c>
      <c r="F56" s="30">
        <v>185</v>
      </c>
      <c r="G56" s="30">
        <v>160</v>
      </c>
      <c r="H56" s="30">
        <v>175</v>
      </c>
      <c r="I56" s="31">
        <f t="shared" si="6"/>
        <v>5.9701492537313428</v>
      </c>
      <c r="J56" s="30">
        <v>170</v>
      </c>
      <c r="K56" s="30">
        <v>180</v>
      </c>
      <c r="L56" s="32">
        <f t="shared" si="7"/>
        <v>1.4285714285714286</v>
      </c>
    </row>
    <row r="57" spans="1:12" ht="21.75">
      <c r="A57" s="70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0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.75">
      <c r="A66" s="70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7" t="s">
        <v>9</v>
      </c>
      <c r="J66" s="85" t="s">
        <v>10</v>
      </c>
      <c r="K66" s="84"/>
      <c r="L66" s="27" t="s">
        <v>11</v>
      </c>
    </row>
    <row r="67" spans="1:12" ht="18" customHeight="1">
      <c r="A67" s="74"/>
      <c r="B67" s="65"/>
      <c r="C67" s="83">
        <v>45915</v>
      </c>
      <c r="D67" s="84"/>
      <c r="E67" s="83">
        <v>45908</v>
      </c>
      <c r="F67" s="84"/>
      <c r="G67" s="83">
        <v>45884</v>
      </c>
      <c r="H67" s="84"/>
      <c r="I67" s="27" t="s">
        <v>12</v>
      </c>
      <c r="J67" s="83">
        <v>45550</v>
      </c>
      <c r="K67" s="84"/>
      <c r="L67" s="27" t="s">
        <v>12</v>
      </c>
    </row>
    <row r="68" spans="1:12" ht="21.7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110</v>
      </c>
      <c r="I69" s="31">
        <f>((C69+D69)/2-(G69+H69)/2)/((G69+H69)/2)*100</f>
        <v>2.3255813953488373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.75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48</v>
      </c>
      <c r="H72" s="38">
        <v>50</v>
      </c>
      <c r="I72" s="31">
        <f t="shared" si="9"/>
        <v>-3.0612244897959182</v>
      </c>
      <c r="J72" s="38">
        <v>52</v>
      </c>
      <c r="K72" s="38">
        <v>54</v>
      </c>
      <c r="L72" s="32">
        <f t="shared" si="8"/>
        <v>-10.377358490566039</v>
      </c>
    </row>
    <row r="73" spans="1:12" ht="21.75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97500</v>
      </c>
      <c r="K74" s="30">
        <v>99500</v>
      </c>
      <c r="L74" s="32">
        <f t="shared" si="8"/>
        <v>-13.959390862944163</v>
      </c>
    </row>
    <row r="75" spans="1:12" ht="21.75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126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.75">
      <c r="A83" s="5" t="s">
        <v>27</v>
      </c>
      <c r="B83" s="6" t="s">
        <v>28</v>
      </c>
      <c r="C83" s="30">
        <v>168</v>
      </c>
      <c r="D83" s="30">
        <v>174</v>
      </c>
      <c r="E83" s="30">
        <v>168</v>
      </c>
      <c r="F83" s="30">
        <v>172</v>
      </c>
      <c r="G83" s="7">
        <f t="shared" ref="G83" si="10">((C83+D83)/2-(E83+F83)/2)/((E83+F83)/2)*100</f>
        <v>0.58823529411764708</v>
      </c>
      <c r="H83" s="5" t="s">
        <v>124</v>
      </c>
      <c r="I83" s="6"/>
      <c r="J83" s="6"/>
      <c r="K83" s="51"/>
      <c r="L83" s="18"/>
    </row>
    <row r="84" spans="1:12" ht="21.75">
      <c r="A84" s="70" t="s">
        <v>33</v>
      </c>
      <c r="B84" s="6" t="s">
        <v>28</v>
      </c>
      <c r="C84" s="30">
        <v>153</v>
      </c>
      <c r="D84" s="30">
        <v>158</v>
      </c>
      <c r="E84" s="30">
        <v>153</v>
      </c>
      <c r="F84" s="30">
        <v>157</v>
      </c>
      <c r="G84" s="7">
        <f t="shared" ref="G84:G88" si="11">((C84+D84)/2-(E84+F84)/2)/((E84+F84)/2)*100</f>
        <v>0.32258064516129031</v>
      </c>
      <c r="H84" s="5" t="s">
        <v>120</v>
      </c>
      <c r="I84" s="6"/>
      <c r="J84" s="6"/>
      <c r="K84" s="51"/>
      <c r="L84" s="18"/>
    </row>
    <row r="85" spans="1:12" ht="21.75">
      <c r="A85" s="70" t="s">
        <v>106</v>
      </c>
      <c r="B85" s="6" t="s">
        <v>28</v>
      </c>
      <c r="C85" s="30">
        <v>155</v>
      </c>
      <c r="D85" s="30">
        <v>165</v>
      </c>
      <c r="E85" s="30">
        <v>155</v>
      </c>
      <c r="F85" s="30">
        <v>164</v>
      </c>
      <c r="G85" s="7">
        <f t="shared" si="11"/>
        <v>0.31347962382445138</v>
      </c>
      <c r="H85" s="5" t="s">
        <v>124</v>
      </c>
      <c r="I85" s="6"/>
      <c r="J85" s="6"/>
      <c r="K85" s="51"/>
      <c r="L85" s="18"/>
    </row>
    <row r="86" spans="1:12" ht="21.75">
      <c r="A86" s="70" t="s">
        <v>41</v>
      </c>
      <c r="B86" s="6" t="s">
        <v>18</v>
      </c>
      <c r="C86" s="30">
        <v>95</v>
      </c>
      <c r="D86" s="30">
        <v>115</v>
      </c>
      <c r="E86" s="30">
        <v>95</v>
      </c>
      <c r="F86" s="30">
        <v>110</v>
      </c>
      <c r="G86" s="7">
        <f t="shared" si="11"/>
        <v>2.4390243902439024</v>
      </c>
      <c r="H86" s="5" t="s">
        <v>124</v>
      </c>
      <c r="I86" s="6"/>
      <c r="J86" s="6"/>
      <c r="K86" s="51"/>
      <c r="L86" s="18"/>
    </row>
    <row r="87" spans="1:12" ht="21.75">
      <c r="A87" s="70" t="s">
        <v>42</v>
      </c>
      <c r="B87" s="6" t="s">
        <v>18</v>
      </c>
      <c r="C87" s="30">
        <v>20</v>
      </c>
      <c r="D87" s="30">
        <v>25</v>
      </c>
      <c r="E87" s="30">
        <v>25</v>
      </c>
      <c r="F87" s="30">
        <v>30</v>
      </c>
      <c r="G87" s="7">
        <f t="shared" si="11"/>
        <v>-18.181818181818183</v>
      </c>
      <c r="H87" s="5" t="s">
        <v>125</v>
      </c>
      <c r="I87" s="6"/>
      <c r="J87" s="6"/>
      <c r="K87" s="51"/>
      <c r="L87" s="18"/>
    </row>
    <row r="88" spans="1:12" ht="21.75">
      <c r="A88" s="70" t="s">
        <v>90</v>
      </c>
      <c r="B88" s="6" t="s">
        <v>18</v>
      </c>
      <c r="C88" s="30">
        <v>70</v>
      </c>
      <c r="D88" s="30">
        <v>80</v>
      </c>
      <c r="E88" s="30">
        <v>75</v>
      </c>
      <c r="F88" s="30">
        <v>85</v>
      </c>
      <c r="G88" s="7">
        <f t="shared" si="11"/>
        <v>-6.25</v>
      </c>
      <c r="H88" s="5" t="s">
        <v>125</v>
      </c>
      <c r="I88" s="6"/>
      <c r="J88" s="6"/>
      <c r="K88" s="51"/>
      <c r="L88" s="18"/>
    </row>
    <row r="89" spans="1:12" ht="21.75">
      <c r="A89" s="70" t="s">
        <v>52</v>
      </c>
      <c r="B89" s="6" t="s">
        <v>18</v>
      </c>
      <c r="C89" s="30">
        <v>130</v>
      </c>
      <c r="D89" s="30">
        <v>260</v>
      </c>
      <c r="E89" s="30">
        <v>140</v>
      </c>
      <c r="F89" s="30">
        <v>260</v>
      </c>
      <c r="G89" s="7">
        <f t="shared" ref="G89:G90" si="12">((C89+D89)/2-(E89+F89)/2)/((E89+F89)/2)*100</f>
        <v>-2.5</v>
      </c>
      <c r="H89" s="5" t="s">
        <v>125</v>
      </c>
      <c r="I89" s="6"/>
      <c r="J89" s="6"/>
      <c r="K89" s="51"/>
      <c r="L89" s="18"/>
    </row>
    <row r="90" spans="1:12" ht="21.75">
      <c r="A90" s="70" t="s">
        <v>58</v>
      </c>
      <c r="B90" s="6" t="s">
        <v>18</v>
      </c>
      <c r="C90" s="30">
        <v>190</v>
      </c>
      <c r="D90" s="30">
        <v>225</v>
      </c>
      <c r="E90" s="30">
        <v>200</v>
      </c>
      <c r="F90" s="30">
        <v>225</v>
      </c>
      <c r="G90" s="7">
        <f t="shared" si="12"/>
        <v>-2.3529411764705883</v>
      </c>
      <c r="H90" s="5" t="s">
        <v>125</v>
      </c>
      <c r="I90" s="6"/>
      <c r="J90" s="6"/>
      <c r="K90" s="51"/>
      <c r="L90" s="18"/>
    </row>
    <row r="91" spans="1:12" ht="21.75">
      <c r="A91" s="73"/>
      <c r="B91" s="3"/>
      <c r="C91" s="79"/>
      <c r="D91" s="79"/>
      <c r="E91" s="79"/>
      <c r="F91" s="79"/>
      <c r="G91" s="10"/>
      <c r="H91" s="1"/>
      <c r="I91" s="3"/>
      <c r="J91" s="3"/>
      <c r="K91" s="51"/>
      <c r="L91" s="18"/>
    </row>
    <row r="92" spans="1:12" ht="24.75">
      <c r="A92" s="1"/>
      <c r="B92" s="3"/>
      <c r="C92" s="9"/>
      <c r="D92" s="9"/>
      <c r="E92" s="9"/>
      <c r="F92" s="9"/>
      <c r="G92" s="10"/>
      <c r="H92" s="1"/>
      <c r="I92" s="3"/>
      <c r="J92" s="3"/>
      <c r="K92" s="12"/>
      <c r="L92" s="12"/>
    </row>
    <row r="93" spans="1:12" ht="24.75">
      <c r="A93" s="1"/>
      <c r="B93" s="3"/>
      <c r="C93" s="9"/>
      <c r="D93" s="9"/>
      <c r="E93" s="9"/>
      <c r="F93" s="9"/>
      <c r="G93" s="10"/>
      <c r="H93" s="1"/>
      <c r="I93" s="3"/>
      <c r="J93" s="3"/>
      <c r="K93" s="12"/>
      <c r="L93" s="12"/>
    </row>
    <row r="94" spans="1:12" ht="24.75">
      <c r="A94" s="1"/>
      <c r="B94" s="14"/>
      <c r="C94" s="15"/>
      <c r="D94" s="15"/>
      <c r="E94" s="14"/>
      <c r="F94" s="15"/>
      <c r="G94" s="39"/>
      <c r="H94" s="40"/>
      <c r="I94" s="41"/>
      <c r="J94" s="41"/>
      <c r="K94" s="41"/>
      <c r="L94" s="12"/>
    </row>
    <row r="95" spans="1:12" ht="24.75">
      <c r="A95" s="1"/>
      <c r="B95" s="42"/>
      <c r="C95" s="43" t="s">
        <v>116</v>
      </c>
      <c r="D95" s="11"/>
      <c r="E95" s="42"/>
      <c r="F95" s="14"/>
      <c r="G95" s="11"/>
      <c r="H95" s="40"/>
      <c r="I95" s="13"/>
      <c r="J95" s="14" t="s">
        <v>118</v>
      </c>
      <c r="K95" s="11"/>
      <c r="L95" s="11"/>
    </row>
    <row r="96" spans="1:12" ht="24.75">
      <c r="A96" s="1"/>
      <c r="B96" s="44"/>
      <c r="C96" s="43" t="s">
        <v>117</v>
      </c>
      <c r="D96" s="14"/>
      <c r="E96" s="42"/>
      <c r="F96" s="45"/>
      <c r="G96" s="47"/>
      <c r="H96" s="47"/>
      <c r="I96" s="77"/>
      <c r="J96" s="14" t="s">
        <v>119</v>
      </c>
      <c r="K96" s="14"/>
      <c r="L96" s="14"/>
    </row>
    <row r="97" spans="1:12" ht="24.75">
      <c r="A97" s="1"/>
      <c r="B97" s="14"/>
      <c r="C97" s="15"/>
      <c r="D97" s="14"/>
      <c r="E97" s="15"/>
      <c r="F97" s="45"/>
      <c r="G97" s="47"/>
      <c r="H97" s="47"/>
      <c r="I97" s="46"/>
      <c r="J97" s="11"/>
      <c r="K97" s="11"/>
      <c r="L97" s="2"/>
    </row>
    <row r="98" spans="1:12" ht="19.5">
      <c r="A98" s="56" t="s">
        <v>93</v>
      </c>
      <c r="B98" s="54"/>
      <c r="C98" s="52"/>
      <c r="D98" s="54"/>
      <c r="E98" s="52"/>
      <c r="F98" s="52"/>
      <c r="G98" s="52"/>
      <c r="H98" s="53"/>
      <c r="I98" s="58"/>
      <c r="J98" s="2"/>
      <c r="K98" s="2"/>
      <c r="L98" s="2"/>
    </row>
    <row r="99" spans="1:12" ht="19.5">
      <c r="A99" s="55" t="s">
        <v>99</v>
      </c>
      <c r="B99" s="54"/>
      <c r="C99" s="52"/>
      <c r="D99" s="54"/>
      <c r="E99" s="52"/>
      <c r="F99" s="52"/>
      <c r="G99" s="54"/>
      <c r="H99" s="53"/>
      <c r="I99" s="58"/>
      <c r="J99" s="2"/>
      <c r="K99" s="2"/>
      <c r="L99" s="2"/>
    </row>
    <row r="100" spans="1:12" ht="19.5">
      <c r="A100" s="55" t="s">
        <v>98</v>
      </c>
      <c r="B100" s="54"/>
      <c r="C100" s="54"/>
      <c r="D100" s="54"/>
      <c r="E100" s="54"/>
      <c r="F100" s="52"/>
      <c r="G100" s="54"/>
      <c r="H100" s="53"/>
      <c r="I100" s="58"/>
      <c r="J100" s="2"/>
      <c r="K100" s="2"/>
      <c r="L100" s="2"/>
    </row>
    <row r="101" spans="1:12" ht="19.5">
      <c r="A101" s="55" t="s">
        <v>85</v>
      </c>
      <c r="B101" s="54"/>
      <c r="C101" s="54"/>
      <c r="D101" s="54"/>
      <c r="E101" s="54"/>
      <c r="F101" s="53"/>
      <c r="G101" s="53"/>
      <c r="H101" s="53"/>
      <c r="I101" s="58"/>
      <c r="J101" s="2"/>
      <c r="K101" s="2"/>
      <c r="L101" s="2"/>
    </row>
    <row r="102" spans="1:12" ht="19.5">
      <c r="A102" s="55" t="s">
        <v>97</v>
      </c>
      <c r="B102" s="54"/>
      <c r="C102" s="54"/>
      <c r="D102" s="54"/>
      <c r="E102" s="54"/>
      <c r="F102" s="54"/>
      <c r="G102" s="53"/>
      <c r="H102" s="53"/>
      <c r="I102" s="58"/>
      <c r="J102" s="2"/>
      <c r="K102" s="2"/>
      <c r="L102" s="2"/>
    </row>
    <row r="103" spans="1:12" ht="19.5">
      <c r="A103" s="55" t="s">
        <v>96</v>
      </c>
      <c r="B103" s="54"/>
      <c r="C103" s="54"/>
      <c r="D103" s="54"/>
      <c r="E103" s="54"/>
      <c r="F103" s="54"/>
      <c r="G103" s="54"/>
      <c r="H103" s="53"/>
      <c r="I103" s="58"/>
      <c r="J103" s="2"/>
      <c r="K103" s="2"/>
      <c r="L103" s="2"/>
    </row>
    <row r="104" spans="1:12" ht="19.5">
      <c r="A104" s="55" t="s">
        <v>107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9.5">
      <c r="A105" s="55" t="s">
        <v>95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94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86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101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100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102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103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87</v>
      </c>
      <c r="B112" s="54"/>
      <c r="C112" s="54"/>
      <c r="D112" s="54"/>
      <c r="E112" s="54"/>
      <c r="F112" s="54"/>
      <c r="G112" s="54"/>
      <c r="H112" s="57"/>
      <c r="I112" s="59"/>
      <c r="J112" s="12"/>
      <c r="K112" s="12"/>
      <c r="L112" s="12"/>
    </row>
    <row r="113" spans="1:12" ht="19.5">
      <c r="A113" s="55"/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9.5">
      <c r="A114" s="56" t="s">
        <v>88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5" t="s">
        <v>89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 t="s">
        <v>115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 t="s">
        <v>114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113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2025-09-15T08:17:18Z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