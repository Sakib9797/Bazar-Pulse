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F10FB0CA-7EEC-4F85-8262-D6BBF8508DC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91" i="4"/>
  <c r="G89" i="4"/>
  <c r="G90" i="4"/>
  <c r="G86" i="4"/>
  <c r="G87" i="4"/>
  <c r="G84" i="4"/>
  <c r="G83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<sst xmlns="http://schemas.openxmlformats.org/spreadsheetml/2006/main" count="240" uniqueCount="132">
  <si>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</si>
  <si>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</si>
  <si>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</si>
  <si>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</si>
  <si>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</si>
  <si>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</si>
  <si>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</si>
  <si>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</si>
  <si>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</si>
  <si>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</si>
  <si>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</si>
  <si>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</si>
  <si>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</si>
  <si>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</si>
  <si>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</si>
  <si>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</si>
  <si>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</si>
  <si>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</si>
  <si>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</si>
  <si>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</si>
  <si>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</si>
  <si>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</si>
  <si>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</si>
  <si>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</si>
  <si>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</si>
  <si>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</si>
  <si>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</si>
  <si>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</si>
  <si>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</si>
  <si>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</si>
  <si>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</si>
  <si>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</si>
  <si>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</si>
  <si>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</si>
  <si>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</si>
  <si>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</si>
  <si>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</si>
  <si>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</si>
  <si>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</si>
  <si>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</si>
  <si>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</si>
  <si>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</si>
  <si>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</si>
  <si>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</si>
  <si>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</si>
  <si>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</si>
  <si>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</si>
  <si>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</si>
  <si>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</si>
  <si>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</si>
  <si>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</si>
  <si>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</si>
  <si>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</si>
  <si>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</si>
  <si>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</si>
  <si>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</si>
  <si>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</si>
  <si>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</si>
  <si>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</si>
  <si>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</si>
  <si>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</si>
  <si>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</si>
  <si>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</si>
  <si>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</si>
  <si>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</si>
  <si>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</si>
  <si>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</si>
  <si>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</si>
  <si>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</si>
  <si>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</si>
  <si>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</si>
  <si>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</si>
  <si>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</si>
  <si>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</si>
  <si>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</si>
  <si>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</si>
  <si>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</si>
  <si>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</si>
  <si>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</si>
  <si>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</si>
  <si>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</si>
  <si>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</si>
  <si>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</si>
  <si>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</si>
  <si>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</si>
  <si>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</si>
  <si>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</si>
  <si>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</si>
  <si>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</si>
  <si>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</si>
  <si>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</si>
  <si>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</si>
  <si>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</si>
  <si>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</si>
  <si>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</si>
  <si>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</si>
  <si>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</si>
  <si>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</si>
  <si>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</si>
  <si>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</si>
  <si>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</si>
  <si>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</si>
  <si>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</si>
  <si>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</si>
  <si>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</si>
  <si>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</si>
  <si>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</si>
  <si>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</si>
  <si>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</si>
  <si>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</si>
  <si>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</si>
  <si>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</si>
  <si>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</si>
  <si>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</si>
  <si>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</si>
  <si>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</si>
  <si>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</si>
  <si>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</si>
  <si>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</si>
  <si>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 xml:space="preserve"> (মোঃ গোলাম খোরশেদ)   </t>
  </si>
  <si>
    <t xml:space="preserve"> অতিরিক্ত পরিচালক (বাণিজ্যিক)</t>
  </si>
  <si>
    <t>পিঁয়াজ (দেশী)(নতুন/পুরাতন)</t>
  </si>
  <si>
    <t>০৮-১২-২০২৫ তারিখে মূল্য হ্রাস পেয়েছে।</t>
  </si>
  <si>
    <t>০৮-১২-২০২৫ তারিখে মূল্য বৃদ্ধি পেয়েছে।</t>
  </si>
  <si>
    <t>০৩-১২-২০২৫ তারিখে মূল্য বৃদ্ধি পেয়েছে।</t>
  </si>
  <si>
    <t>০৯-১২-২০২৫ তারিখে মূল্য বৃদ্ধি পেয়েছে।</t>
  </si>
  <si>
    <t>স্মারক নং-২৬.০৫.০০০০.০১৭.৩১.০১.২৫-৮৯৪</t>
  </si>
  <si>
    <t xml:space="preserve">বুধবার ১০ ডিসেম্বর ২০২৫ খ্রিঃ, ২৫ অগ্রহায়ন ১৪৩২ বাংলা, ১৮ জমা-সানি ১৪৪৭ হিজরি </t>
  </si>
  <si>
    <t xml:space="preserve">   সিরিয়াল নংঃ     ৩০৭</t>
  </si>
  <si>
    <t>১০-১২-২০২৫ তারিখে মূল্য বৃদ্ধি পেয়েছে।</t>
  </si>
  <si>
    <t>(১ )    মসুর ডাল (বড়), লবঙ্গ, মুরগী ব্রয়লার  এর মূল্য হ্রাস পেয়েছে।</t>
  </si>
  <si>
    <t>(২ )   সয়াবিন তেল (২লিঃ, ৫লিঃ বোতল), আলু, পেঁয়াজ (দেশী), রশুন (আম), চিনি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</si>
</sst>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30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4"/>
      <color theme="1"/>
      <name val="NikoshBAN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1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3" fillId="0" borderId="0" xfId="3" applyFont="1" applyAlignment="1">
      <alignment vertical="center"/>
    </xf>
    <xf numFmtId="0" fontId="16" fillId="0" borderId="12" xfId="3" applyFont="1" applyBorder="1" applyAlignment="1">
      <alignment vertical="center"/>
    </xf>
    <xf numFmtId="167" fontId="27" fillId="0" borderId="1" xfId="1" applyNumberFormat="1" applyFont="1" applyFill="1" applyBorder="1" applyAlignment="1">
      <alignment horizontal="center" vertical="center"/>
    </xf>
    <xf numFmtId="167" fontId="27" fillId="0" borderId="2" xfId="1" applyNumberFormat="1" applyFont="1" applyFill="1" applyBorder="1" applyAlignment="1">
      <alignment horizontal="center" vertical="center"/>
    </xf>
    <xf numFmtId="0" fontId="28" fillId="0" borderId="1" xfId="3" applyFont="1" applyBorder="1" applyAlignment="1">
      <alignment horizontal="left" vertical="center"/>
    </xf>
    <xf numFmtId="0" fontId="29" fillId="0" borderId="0" xfId="3" applyFont="1" applyAlignment="1">
      <alignment horizontal="left" vertical="center"/>
    </xf>
    <xf numFmtId="166" fontId="29" fillId="0" borderId="0" xfId="1" applyNumberFormat="1" applyFont="1" applyBorder="1" applyAlignment="1">
      <alignment horizontal="center"/>
    </xf>
    <xf numFmtId="0" fontId="29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18"/>
  <sheetViews>
    <sheetView tabSelected="1" topLeftCell="A76" zoomScale="96" zoomScaleNormal="96" workbookViewId="0">
      <selection activeCell="B79" sqref="B7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91" t="s">
        <v>128</v>
      </c>
      <c r="L4" s="92"/>
    </row>
    <row r="5" spans="1:12" ht="19.5" customHeight="1">
      <c r="A5" s="17"/>
      <c r="B5" s="8"/>
      <c r="C5" s="8"/>
      <c r="D5" s="17"/>
      <c r="E5" s="8"/>
      <c r="F5" s="8" t="s">
        <v>127</v>
      </c>
      <c r="G5" s="8"/>
      <c r="H5" s="8"/>
      <c r="I5" s="8"/>
      <c r="J5" s="8"/>
      <c r="K5" s="8"/>
      <c r="L5" s="49"/>
    </row>
    <row r="6" spans="1:12" ht="21.75">
      <c r="A6" s="20" t="s">
        <v>126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46001</v>
      </c>
    </row>
    <row r="7" spans="1:12" ht="21.75">
      <c r="A7" s="25" t="s">
        <v>4</v>
      </c>
      <c r="B7" s="26" t="s">
        <v>5</v>
      </c>
      <c r="C7" s="91" t="s">
        <v>6</v>
      </c>
      <c r="D7" s="92"/>
      <c r="E7" s="91" t="s">
        <v>7</v>
      </c>
      <c r="F7" s="92"/>
      <c r="G7" s="91" t="s">
        <v>8</v>
      </c>
      <c r="H7" s="92"/>
      <c r="I7" s="26" t="s">
        <v>9</v>
      </c>
      <c r="J7" s="91" t="s">
        <v>10</v>
      </c>
      <c r="K7" s="92"/>
      <c r="L7" s="27" t="s">
        <v>11</v>
      </c>
    </row>
    <row r="8" spans="1:12" ht="21.75">
      <c r="A8" s="25"/>
      <c r="B8" s="26"/>
      <c r="C8" s="93">
        <v>46001</v>
      </c>
      <c r="D8" s="92"/>
      <c r="E8" s="93">
        <v>45994</v>
      </c>
      <c r="F8" s="92"/>
      <c r="G8" s="93">
        <v>45971</v>
      </c>
      <c r="H8" s="92"/>
      <c r="I8" s="26" t="s">
        <v>12</v>
      </c>
      <c r="J8" s="93">
        <v>45636</v>
      </c>
      <c r="K8" s="92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59</v>
      </c>
      <c r="K11" s="29">
        <v>63</v>
      </c>
      <c r="L11" s="31">
        <f>((C11+D11)/2-(J11+K11)/2)/((J11+K11)/2)*100</f>
        <v>3.278688524590164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165</v>
      </c>
      <c r="K19" s="29">
        <v>168</v>
      </c>
      <c r="L19" s="31">
        <f t="shared" ref="L19:L25" si="1">((C19+D19)/2-(J19+K19)/2)/((J19+K19)/2)*100</f>
        <v>5.1051051051051051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910</v>
      </c>
      <c r="F20" s="29">
        <v>960</v>
      </c>
      <c r="G20" s="29">
        <v>910</v>
      </c>
      <c r="H20" s="29">
        <v>925</v>
      </c>
      <c r="I20" s="30">
        <f t="shared" si="0"/>
        <v>2.7247956403269753</v>
      </c>
      <c r="J20" s="29">
        <v>815</v>
      </c>
      <c r="K20" s="29">
        <v>818</v>
      </c>
      <c r="L20" s="31">
        <f t="shared" si="1"/>
        <v>15.43172075933864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370</v>
      </c>
      <c r="F21" s="29">
        <v>385</v>
      </c>
      <c r="G21" s="29">
        <v>375</v>
      </c>
      <c r="H21" s="29">
        <v>385</v>
      </c>
      <c r="I21" s="30">
        <f t="shared" si="0"/>
        <v>1.7105263157894739</v>
      </c>
      <c r="J21" s="29">
        <v>330</v>
      </c>
      <c r="K21" s="29">
        <v>340</v>
      </c>
      <c r="L21" s="31">
        <f t="shared" si="1"/>
        <v>15.37313432835821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167</v>
      </c>
      <c r="K22" s="29">
        <v>170</v>
      </c>
      <c r="L22" s="31">
        <f t="shared" si="1"/>
        <v>14.836795252225517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0.64102564102564097</v>
      </c>
      <c r="J23" s="29">
        <v>160</v>
      </c>
      <c r="K23" s="29">
        <v>161</v>
      </c>
      <c r="L23" s="31">
        <f t="shared" si="1"/>
        <v>-2.1806853582554515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162</v>
      </c>
      <c r="K24" s="29">
        <v>163</v>
      </c>
      <c r="L24" s="31">
        <f t="shared" si="1"/>
        <v>-1.5384615384615385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85</v>
      </c>
      <c r="D27" s="29">
        <v>100</v>
      </c>
      <c r="E27" s="29">
        <v>85</v>
      </c>
      <c r="F27" s="29">
        <v>110</v>
      </c>
      <c r="G27" s="29">
        <v>90</v>
      </c>
      <c r="H27" s="29">
        <v>110</v>
      </c>
      <c r="I27" s="30">
        <f t="shared" ref="I27:I33" si="2">((C27+D27)/2-(G27+H27)/2)/((G27+H27)/2)*100</f>
        <v>-7.5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75</v>
      </c>
      <c r="E31" s="29">
        <v>60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.75">
      <c r="A32" s="69" t="s">
        <v>41</v>
      </c>
      <c r="B32" s="6" t="s">
        <v>18</v>
      </c>
      <c r="C32" s="29">
        <v>95</v>
      </c>
      <c r="D32" s="29">
        <v>110</v>
      </c>
      <c r="E32" s="29">
        <v>95</v>
      </c>
      <c r="F32" s="29">
        <v>110</v>
      </c>
      <c r="G32" s="29">
        <v>100</v>
      </c>
      <c r="H32" s="29">
        <v>110</v>
      </c>
      <c r="I32" s="30">
        <f t="shared" si="2"/>
        <v>-2.3809523809523809</v>
      </c>
      <c r="J32" s="29">
        <v>125</v>
      </c>
      <c r="K32" s="29">
        <v>135</v>
      </c>
      <c r="L32" s="31">
        <f t="shared" si="3"/>
        <v>-21.153846153846153</v>
      </c>
    </row>
    <row r="33" spans="1:12" ht="21.75">
      <c r="A33" s="69" t="s">
        <v>118</v>
      </c>
      <c r="B33" s="6" t="s">
        <v>18</v>
      </c>
      <c r="C33" s="29">
        <v>25</v>
      </c>
      <c r="D33" s="29">
        <v>40</v>
      </c>
      <c r="E33" s="29">
        <v>22</v>
      </c>
      <c r="F33" s="29">
        <v>30</v>
      </c>
      <c r="G33" s="29">
        <v>20</v>
      </c>
      <c r="H33" s="29">
        <v>25</v>
      </c>
      <c r="I33" s="30">
        <f t="shared" si="2"/>
        <v>44.444444444444443</v>
      </c>
      <c r="J33" s="29">
        <v>65</v>
      </c>
      <c r="K33" s="29">
        <v>80</v>
      </c>
      <c r="L33" s="31">
        <f t="shared" si="3"/>
        <v>-55.172413793103445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7" t="s">
        <v>121</v>
      </c>
      <c r="B35" s="6" t="s">
        <v>18</v>
      </c>
      <c r="C35" s="29">
        <v>100</v>
      </c>
      <c r="D35" s="29">
        <v>140</v>
      </c>
      <c r="E35" s="29">
        <v>100</v>
      </c>
      <c r="F35" s="29">
        <v>120</v>
      </c>
      <c r="G35" s="29">
        <v>110</v>
      </c>
      <c r="H35" s="29">
        <v>120</v>
      </c>
      <c r="I35" s="30">
        <f t="shared" ref="I35:I50" si="4">((C35+D35)/2-(G35+H35)/2)/((G35+H35)/2)*100</f>
        <v>4.3478260869565215</v>
      </c>
      <c r="J35" s="29">
        <v>110</v>
      </c>
      <c r="K35" s="29">
        <v>130</v>
      </c>
      <c r="L35" s="31">
        <f t="shared" ref="L35:L50" si="5">((C35+D35)/2-(J35+K35)/2)/((J35+K35)/2)*100</f>
        <v>0</v>
      </c>
    </row>
    <row r="36" spans="1:12" ht="21.75">
      <c r="A36" s="69" t="s">
        <v>43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.75">
      <c r="A37" s="69" t="s">
        <v>44</v>
      </c>
      <c r="B37" s="6" t="s">
        <v>18</v>
      </c>
      <c r="C37" s="29">
        <v>60</v>
      </c>
      <c r="D37" s="29">
        <v>140</v>
      </c>
      <c r="E37" s="29">
        <v>60</v>
      </c>
      <c r="F37" s="29">
        <v>140</v>
      </c>
      <c r="G37" s="29">
        <v>80</v>
      </c>
      <c r="H37" s="29">
        <v>140</v>
      </c>
      <c r="I37" s="30">
        <f t="shared" si="4"/>
        <v>-9.0909090909090917</v>
      </c>
      <c r="J37" s="29">
        <v>240</v>
      </c>
      <c r="K37" s="29">
        <v>270</v>
      </c>
      <c r="L37" s="31">
        <f t="shared" si="5"/>
        <v>-60.784313725490193</v>
      </c>
    </row>
    <row r="38" spans="1:12" ht="21.75">
      <c r="A38" s="69" t="s">
        <v>45</v>
      </c>
      <c r="B38" s="6" t="s">
        <v>18</v>
      </c>
      <c r="C38" s="29">
        <v>160</v>
      </c>
      <c r="D38" s="29">
        <v>220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5.5555555555555554</v>
      </c>
      <c r="J38" s="29">
        <v>230</v>
      </c>
      <c r="K38" s="29">
        <v>250</v>
      </c>
      <c r="L38" s="31">
        <f t="shared" si="5"/>
        <v>-20.833333333333336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50</v>
      </c>
      <c r="B43" s="6" t="s">
        <v>18</v>
      </c>
      <c r="C43" s="29">
        <v>140</v>
      </c>
      <c r="D43" s="29">
        <v>170</v>
      </c>
      <c r="E43" s="29">
        <v>120</v>
      </c>
      <c r="F43" s="29">
        <v>150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-67.368421052631575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270</v>
      </c>
      <c r="L44" s="31">
        <f t="shared" si="5"/>
        <v>-2.6315789473684208</v>
      </c>
    </row>
    <row r="45" spans="1:12" ht="21.75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630</v>
      </c>
      <c r="K45" s="29">
        <v>800</v>
      </c>
      <c r="L45" s="31">
        <f t="shared" si="5"/>
        <v>-6.9930069930069934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.75">
      <c r="A47" s="69" t="s">
        <v>54</v>
      </c>
      <c r="B47" s="6" t="s">
        <v>18</v>
      </c>
      <c r="C47" s="29">
        <v>1300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-1.6949152542372881</v>
      </c>
      <c r="J47" s="29">
        <v>1400</v>
      </c>
      <c r="K47" s="29">
        <v>1600</v>
      </c>
      <c r="L47" s="31">
        <f t="shared" si="5"/>
        <v>-3.3333333333333335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120</v>
      </c>
      <c r="K50" s="29">
        <v>220</v>
      </c>
      <c r="L50" s="31">
        <f t="shared" si="5"/>
        <v>13.23529411764706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61</v>
      </c>
      <c r="B56" s="6" t="s">
        <v>18</v>
      </c>
      <c r="C56" s="29">
        <v>145</v>
      </c>
      <c r="D56" s="29">
        <v>170</v>
      </c>
      <c r="E56" s="29">
        <v>150</v>
      </c>
      <c r="F56" s="29">
        <v>180</v>
      </c>
      <c r="G56" s="29">
        <v>170</v>
      </c>
      <c r="H56" s="29">
        <v>190</v>
      </c>
      <c r="I56" s="30">
        <f t="shared" si="6"/>
        <v>-12.5</v>
      </c>
      <c r="J56" s="29">
        <v>175</v>
      </c>
      <c r="K56" s="29">
        <v>200</v>
      </c>
      <c r="L56" s="31">
        <f t="shared" si="7"/>
        <v>-16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91" t="s">
        <v>6</v>
      </c>
      <c r="D66" s="92"/>
      <c r="E66" s="91" t="s">
        <v>7</v>
      </c>
      <c r="F66" s="92"/>
      <c r="G66" s="91" t="s">
        <v>8</v>
      </c>
      <c r="H66" s="92"/>
      <c r="I66" s="26" t="s">
        <v>9</v>
      </c>
      <c r="J66" s="91" t="s">
        <v>10</v>
      </c>
      <c r="K66" s="92"/>
      <c r="L66" s="26" t="s">
        <v>11</v>
      </c>
    </row>
    <row r="67" spans="1:12" ht="18" customHeight="1">
      <c r="A67" s="73"/>
      <c r="B67" s="64"/>
      <c r="C67" s="93">
        <v>46001</v>
      </c>
      <c r="D67" s="92"/>
      <c r="E67" s="93">
        <v>45994</v>
      </c>
      <c r="F67" s="92"/>
      <c r="G67" s="93">
        <v>45971</v>
      </c>
      <c r="H67" s="92"/>
      <c r="I67" s="26" t="s">
        <v>12</v>
      </c>
      <c r="J67" s="93">
        <v>45636</v>
      </c>
      <c r="K67" s="92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95</v>
      </c>
      <c r="D69" s="29">
        <v>110</v>
      </c>
      <c r="E69" s="29">
        <v>90</v>
      </c>
      <c r="F69" s="29">
        <v>110</v>
      </c>
      <c r="G69" s="29">
        <v>100</v>
      </c>
      <c r="H69" s="29">
        <v>110</v>
      </c>
      <c r="I69" s="30">
        <f>((C69+D69)/2-(G69+H69)/2)/((G69+H69)/2)*100</f>
        <v>-2.3809523809523809</v>
      </c>
      <c r="J69" s="29">
        <v>125</v>
      </c>
      <c r="K69" s="29">
        <v>127</v>
      </c>
      <c r="L69" s="31">
        <f t="shared" ref="L69:L75" si="8">((C69+D69)/2-(J69+K69)/2)/((J69+K69)/2)*100</f>
        <v>-18.650793650793652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43</v>
      </c>
      <c r="H72" s="37">
        <v>50</v>
      </c>
      <c r="I72" s="30">
        <f t="shared" si="9"/>
        <v>-12.903225806451612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0</v>
      </c>
      <c r="J74" s="29">
        <v>84000</v>
      </c>
      <c r="K74" s="29">
        <v>85000</v>
      </c>
      <c r="L74" s="31">
        <f t="shared" si="8"/>
        <v>-1.1834319526627219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4" t="s">
        <v>112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131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115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7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7" ht="21.75">
      <c r="A82" s="5" t="s">
        <v>80</v>
      </c>
      <c r="B82" s="6" t="s">
        <v>81</v>
      </c>
      <c r="C82" s="96" t="s">
        <v>6</v>
      </c>
      <c r="D82" s="97"/>
      <c r="E82" s="98" t="s">
        <v>82</v>
      </c>
      <c r="F82" s="99"/>
      <c r="G82" s="77" t="s">
        <v>12</v>
      </c>
      <c r="H82" s="96" t="s">
        <v>83</v>
      </c>
      <c r="I82" s="100"/>
      <c r="J82" s="97"/>
      <c r="K82" s="50"/>
      <c r="L82" s="17"/>
    </row>
    <row r="83" spans="1:17" ht="24.75" customHeight="1">
      <c r="A83" s="69" t="s">
        <v>29</v>
      </c>
      <c r="B83" s="6" t="s">
        <v>30</v>
      </c>
      <c r="C83" s="29">
        <v>920</v>
      </c>
      <c r="D83" s="29">
        <v>965</v>
      </c>
      <c r="E83" s="29">
        <v>910</v>
      </c>
      <c r="F83" s="29">
        <v>960</v>
      </c>
      <c r="G83" s="85">
        <f t="shared" ref="G83:G85" si="10">((C83+D83)/2-(E83+F83)/2)/((E83+F83)/2)*100</f>
        <v>0.80213903743315518</v>
      </c>
      <c r="H83" s="5" t="s">
        <v>124</v>
      </c>
      <c r="I83" s="6"/>
      <c r="J83" s="6"/>
      <c r="K83" s="83"/>
      <c r="L83" s="83"/>
      <c r="M83" s="83"/>
      <c r="N83" s="83"/>
      <c r="O83" s="83"/>
      <c r="P83" s="83"/>
      <c r="Q83" s="83"/>
    </row>
    <row r="84" spans="1:17" ht="21.75">
      <c r="A84" s="69" t="s">
        <v>29</v>
      </c>
      <c r="B84" s="6" t="s">
        <v>31</v>
      </c>
      <c r="C84" s="29">
        <v>378</v>
      </c>
      <c r="D84" s="29">
        <v>395</v>
      </c>
      <c r="E84" s="29">
        <v>370</v>
      </c>
      <c r="F84" s="29">
        <v>385</v>
      </c>
      <c r="G84" s="86">
        <f t="shared" si="10"/>
        <v>2.3841059602649008</v>
      </c>
      <c r="H84" s="5" t="s">
        <v>129</v>
      </c>
      <c r="I84" s="6"/>
      <c r="J84" s="6"/>
      <c r="K84" s="84"/>
      <c r="L84" s="17"/>
    </row>
    <row r="85" spans="1:17" ht="21.75">
      <c r="A85" s="69" t="s">
        <v>37</v>
      </c>
      <c r="B85" s="6" t="s">
        <v>18</v>
      </c>
      <c r="C85" s="29">
        <v>85</v>
      </c>
      <c r="D85" s="29">
        <v>100</v>
      </c>
      <c r="E85" s="29">
        <v>85</v>
      </c>
      <c r="F85" s="29">
        <v>110</v>
      </c>
      <c r="G85" s="7">
        <f t="shared" si="10"/>
        <v>-5.1282051282051277</v>
      </c>
      <c r="H85" s="5" t="s">
        <v>122</v>
      </c>
      <c r="I85" s="6"/>
      <c r="J85" s="6"/>
      <c r="K85" s="50"/>
      <c r="L85" s="17"/>
    </row>
    <row r="86" spans="1:17" ht="21.75">
      <c r="A86" s="69" t="s">
        <v>118</v>
      </c>
      <c r="B86" s="6" t="s">
        <v>18</v>
      </c>
      <c r="C86" s="29">
        <v>25</v>
      </c>
      <c r="D86" s="29">
        <v>40</v>
      </c>
      <c r="E86" s="29">
        <v>22</v>
      </c>
      <c r="F86" s="29">
        <v>30</v>
      </c>
      <c r="G86" s="7">
        <f>((C86+D86)/2-(E86+F86)/2)/((E86+F86)/2)*100</f>
        <v>25</v>
      </c>
      <c r="H86" s="5" t="s">
        <v>123</v>
      </c>
      <c r="I86" s="6"/>
      <c r="J86" s="6"/>
      <c r="K86" s="50"/>
      <c r="L86" s="17"/>
    </row>
    <row r="87" spans="1:17" ht="21.75">
      <c r="A87" s="87" t="s">
        <v>121</v>
      </c>
      <c r="B87" s="6" t="s">
        <v>18</v>
      </c>
      <c r="C87" s="29">
        <v>100</v>
      </c>
      <c r="D87" s="29">
        <v>140</v>
      </c>
      <c r="E87" s="29">
        <v>100</v>
      </c>
      <c r="F87" s="29">
        <v>120</v>
      </c>
      <c r="G87" s="7">
        <f>((C87+D87)/2-(E87+F87)/2)/((E87+F87)/2)*100</f>
        <v>9.0909090909090917</v>
      </c>
      <c r="H87" s="5" t="s">
        <v>129</v>
      </c>
      <c r="I87" s="6"/>
      <c r="J87" s="6"/>
      <c r="K87" s="50"/>
      <c r="L87" s="17"/>
    </row>
    <row r="88" spans="1:17" ht="21.75">
      <c r="A88" s="69" t="s">
        <v>45</v>
      </c>
      <c r="B88" s="6" t="s">
        <v>18</v>
      </c>
      <c r="C88" s="29">
        <v>160</v>
      </c>
      <c r="D88" s="29">
        <v>220</v>
      </c>
      <c r="E88" s="29">
        <v>160</v>
      </c>
      <c r="F88" s="29">
        <v>200</v>
      </c>
      <c r="G88" s="7">
        <f>((C88+D88)/2-(E88+F88)/2)/((E88+F88)/2)*100</f>
        <v>5.5555555555555554</v>
      </c>
      <c r="H88" s="5" t="s">
        <v>129</v>
      </c>
      <c r="I88" s="6"/>
      <c r="J88" s="6"/>
      <c r="K88" s="50"/>
      <c r="L88" s="17"/>
    </row>
    <row r="89" spans="1:17" ht="21.75">
      <c r="A89" s="69" t="s">
        <v>54</v>
      </c>
      <c r="B89" s="6" t="s">
        <v>18</v>
      </c>
      <c r="C89" s="29">
        <v>1300</v>
      </c>
      <c r="D89" s="29">
        <v>1600</v>
      </c>
      <c r="E89" s="29">
        <v>1350</v>
      </c>
      <c r="F89" s="29">
        <v>1600</v>
      </c>
      <c r="G89" s="7">
        <f>((C89+D89)/2-(E89+F89)/2)/((E89+F89)/2)*100</f>
        <v>-1.6949152542372881</v>
      </c>
      <c r="H89" s="5" t="s">
        <v>122</v>
      </c>
      <c r="I89" s="6"/>
      <c r="J89" s="6"/>
      <c r="K89" s="50"/>
      <c r="L89" s="17"/>
    </row>
    <row r="90" spans="1:17" ht="21.75">
      <c r="A90" s="69" t="s">
        <v>61</v>
      </c>
      <c r="B90" s="6" t="s">
        <v>18</v>
      </c>
      <c r="C90" s="29">
        <v>145</v>
      </c>
      <c r="D90" s="29">
        <v>170</v>
      </c>
      <c r="E90" s="29">
        <v>150</v>
      </c>
      <c r="F90" s="29">
        <v>180</v>
      </c>
      <c r="G90" s="7">
        <f>((C90+D90)/2-(E90+F90)/2)/((E90+F90)/2)*100</f>
        <v>-4.5454545454545459</v>
      </c>
      <c r="H90" s="5" t="s">
        <v>122</v>
      </c>
      <c r="I90" s="6"/>
      <c r="J90" s="6"/>
      <c r="K90" s="50"/>
      <c r="L90" s="17"/>
    </row>
    <row r="91" spans="1:17" ht="24.75">
      <c r="A91" s="69" t="s">
        <v>70</v>
      </c>
      <c r="B91" s="6" t="s">
        <v>18</v>
      </c>
      <c r="C91" s="29">
        <v>95</v>
      </c>
      <c r="D91" s="29">
        <v>110</v>
      </c>
      <c r="E91" s="29">
        <v>90</v>
      </c>
      <c r="F91" s="29">
        <v>110</v>
      </c>
      <c r="G91" s="7">
        <f>((C91+D91)/2-(E91+F91)/2)/((E91+F91)/2)*100</f>
        <v>2.5</v>
      </c>
      <c r="H91" s="5" t="s">
        <v>125</v>
      </c>
      <c r="I91" s="6"/>
      <c r="J91" s="6"/>
      <c r="K91" s="40"/>
      <c r="L91" s="11"/>
    </row>
    <row r="92" spans="1:17" ht="24.75">
      <c r="A92" s="72"/>
      <c r="B92" s="3"/>
      <c r="C92" s="78"/>
      <c r="D92" s="78"/>
      <c r="E92" s="78"/>
      <c r="F92" s="78"/>
      <c r="G92" s="38"/>
      <c r="H92" s="39"/>
      <c r="I92" s="40"/>
      <c r="J92" s="40"/>
      <c r="K92" s="40"/>
      <c r="L92" s="11"/>
    </row>
    <row r="93" spans="1:17" ht="24.75">
      <c r="A93" s="1"/>
      <c r="B93" s="3"/>
      <c r="C93" s="82"/>
      <c r="D93" s="82"/>
      <c r="E93" s="8"/>
      <c r="F93" s="82"/>
      <c r="G93" s="38"/>
      <c r="H93" s="39"/>
      <c r="I93" s="40"/>
      <c r="J93" s="40"/>
      <c r="K93" s="40"/>
      <c r="L93" s="11"/>
    </row>
    <row r="94" spans="1:17" ht="24.75">
      <c r="A94" s="1"/>
      <c r="B94" s="13"/>
      <c r="C94" s="14"/>
      <c r="D94" s="14"/>
      <c r="E94" s="13"/>
      <c r="F94" s="14"/>
      <c r="G94" s="38"/>
      <c r="H94" s="39"/>
      <c r="I94" s="40"/>
      <c r="J94" s="40"/>
      <c r="K94" s="40"/>
      <c r="L94" s="11"/>
    </row>
    <row r="95" spans="1:17" ht="24.75">
      <c r="A95" s="41"/>
      <c r="B95" s="42" t="s">
        <v>113</v>
      </c>
      <c r="C95" s="10"/>
      <c r="E95" s="88"/>
      <c r="F95" s="89" t="s">
        <v>116</v>
      </c>
      <c r="G95" s="90"/>
      <c r="I95" s="12"/>
      <c r="J95" s="13" t="s">
        <v>119</v>
      </c>
      <c r="K95" s="10"/>
    </row>
    <row r="96" spans="1:17" ht="24.75">
      <c r="A96" s="43"/>
      <c r="B96" s="42" t="s">
        <v>114</v>
      </c>
      <c r="C96" s="13"/>
      <c r="E96" s="43"/>
      <c r="F96" s="89" t="s">
        <v>117</v>
      </c>
      <c r="G96" s="90"/>
      <c r="I96" s="76"/>
      <c r="J96" s="13" t="s">
        <v>120</v>
      </c>
    </row>
    <row r="97" spans="1:12" ht="24.75">
      <c r="A97" s="1"/>
      <c r="B97" s="13"/>
      <c r="C97" s="14"/>
      <c r="D97" s="13"/>
      <c r="E97" s="14"/>
      <c r="F97" s="44"/>
      <c r="G97" s="46"/>
      <c r="H97" s="46"/>
      <c r="I97" s="45"/>
      <c r="J97" s="10"/>
      <c r="K97" s="10"/>
      <c r="L97" s="2"/>
    </row>
    <row r="98" spans="1:12" ht="19.5">
      <c r="A98" s="55" t="s">
        <v>91</v>
      </c>
      <c r="B98" s="53"/>
      <c r="C98" s="51"/>
      <c r="D98" s="53"/>
      <c r="E98" s="51"/>
      <c r="F98" s="51"/>
      <c r="G98" s="51"/>
      <c r="H98" s="52"/>
      <c r="I98" s="57"/>
      <c r="J98" s="2"/>
      <c r="K98" s="2"/>
      <c r="L98" s="2"/>
    </row>
    <row r="99" spans="1:12" ht="19.5">
      <c r="A99" s="54" t="s">
        <v>97</v>
      </c>
      <c r="B99" s="53"/>
      <c r="C99" s="51"/>
      <c r="D99" s="53"/>
      <c r="E99" s="51"/>
      <c r="F99" s="51"/>
      <c r="G99" s="53"/>
      <c r="H99" s="52"/>
      <c r="I99" s="57"/>
      <c r="J99" s="2"/>
      <c r="K99" s="2"/>
      <c r="L99" s="2"/>
    </row>
    <row r="100" spans="1:12" ht="19.5">
      <c r="A100" s="54" t="s">
        <v>96</v>
      </c>
      <c r="B100" s="53"/>
      <c r="C100" s="53"/>
      <c r="D100" s="53"/>
      <c r="E100" s="53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84</v>
      </c>
      <c r="B101" s="53"/>
      <c r="C101" s="53"/>
      <c r="D101" s="53"/>
      <c r="E101" s="53"/>
      <c r="F101" s="52"/>
      <c r="G101" s="52"/>
      <c r="H101" s="52"/>
      <c r="I101" s="57"/>
      <c r="J101" s="2"/>
      <c r="K101" s="2"/>
      <c r="L101" s="2"/>
    </row>
    <row r="102" spans="1:12" ht="19.5">
      <c r="A102" s="54" t="s">
        <v>95</v>
      </c>
      <c r="B102" s="53"/>
      <c r="C102" s="53"/>
      <c r="D102" s="53"/>
      <c r="E102" s="53"/>
      <c r="F102" s="53"/>
      <c r="G102" s="52"/>
      <c r="H102" s="52"/>
      <c r="I102" s="57"/>
      <c r="J102" s="2"/>
      <c r="K102" s="2"/>
      <c r="L102" s="2"/>
    </row>
    <row r="103" spans="1:12" ht="19.5">
      <c r="A103" s="54" t="s">
        <v>94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93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92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85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99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98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100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101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86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/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5" t="s">
        <v>87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88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111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110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109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2025-12-10T09:03:22Z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