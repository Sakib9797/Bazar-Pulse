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A11EFA57-39C9-442A-98F1-25A18431A65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4" i="4"/>
  <c r="G87" i="4"/>
  <c r="G86" i="4"/>
  <c r="G91" i="4"/>
  <c r="G90" i="4"/>
  <c r="G89" i="4"/>
  <c r="G88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<sst xmlns="http://schemas.openxmlformats.org/spreadsheetml/2006/main" count="238" uniqueCount="130">
  <si>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</si>
  <si>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</si>
  <si>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</si>
  <si>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</si>
  <si>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</si>
  <si>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</si>
  <si>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</si>
  <si>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</si>
  <si>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</si>
  <si>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</si>
  <si>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</si>
  <si>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</si>
  <si>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</si>
  <si>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</si>
  <si>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</si>
  <si>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</si>
  <si>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</si>
  <si>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</si>
  <si>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</si>
  <si>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</si>
  <si>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</si>
  <si>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</si>
  <si>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</si>
  <si>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</si>
  <si>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</si>
  <si>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</si>
  <si>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</si>
  <si>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</si>
  <si>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</si>
  <si>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</si>
  <si>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</si>
  <si>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</si>
  <si>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</si>
  <si>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</si>
  <si>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</si>
  <si>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</si>
  <si>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</si>
  <si>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</si>
  <si>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</si>
  <si>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</si>
  <si>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</si>
  <si>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</si>
  <si>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</si>
  <si>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</si>
  <si>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</si>
  <si>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</si>
  <si>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</si>
  <si>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</si>
  <si>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</si>
  <si>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</si>
  <si>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</si>
  <si>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</si>
  <si>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</si>
  <si>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</si>
  <si>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</si>
  <si>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</si>
  <si>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</si>
  <si>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</si>
  <si>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</si>
  <si>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</si>
  <si>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</si>
  <si>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</si>
  <si>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</si>
  <si>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</si>
  <si>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</si>
  <si>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</si>
  <si>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</si>
  <si>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</si>
  <si>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</si>
  <si>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</si>
  <si>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</si>
  <si>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</si>
  <si>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</si>
  <si>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</si>
  <si>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</si>
  <si>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</si>
  <si>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</si>
  <si>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</si>
  <si>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</si>
  <si>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</si>
  <si>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</si>
  <si>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</si>
  <si>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</si>
  <si>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</si>
  <si>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</si>
  <si>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</si>
  <si>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</si>
  <si>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</si>
  <si>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</si>
  <si>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</si>
  <si>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</si>
  <si>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</si>
  <si>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</si>
  <si>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</si>
  <si>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</si>
  <si>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</si>
  <si>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</si>
  <si>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</si>
  <si>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</si>
  <si>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</si>
  <si>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</si>
  <si>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</si>
  <si>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</si>
  <si>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</si>
  <si>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</si>
  <si>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</si>
  <si>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</si>
  <si>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</si>
  <si>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</si>
  <si>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</si>
  <si>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</si>
  <si>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</si>
  <si>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</si>
  <si>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</si>
  <si>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</si>
  <si>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</si>
  <si>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</si>
  <si>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</si>
  <si>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</si>
  <si>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</si>
  <si>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১২-০৯-২০২৫ তারিখে মূল্য বৃদ্ধি পেয়েছে।</t>
  </si>
  <si>
    <t>১৫-০৯-২০২৫ তারিখে মূল্য বৃদ্ধি পেয়েছে।</t>
  </si>
  <si>
    <t>১৫-০৯-২০২৫ তারিখে মূল্য হ্রাস পেয়েছে।</t>
  </si>
  <si>
    <t>(১)     সয়াবিন তেল লুজ, পাম অয়েল লুজ, সুপার পাম অয়েল (লুজ), ছোলা  এর মূল্য বৃদ্ধি পেয়েছে।</t>
  </si>
  <si>
    <t>স্মারক নং-২৬.০৫.০০০০.০১৭.৩১.০১.২৫-৬৫৬</t>
  </si>
  <si>
    <t xml:space="preserve">মঙ্গলবার ১৬ সেপ্টেম্বর ২০২৫ খ্রিঃ, ০১ আশ্বিন ১৪৩২ বাংলা, ২২ রবিউল আউয়াল ১৪৪৭ হিজরি </t>
  </si>
  <si>
    <t xml:space="preserve">   সিরিয়াল নংঃ     ২৩২</t>
  </si>
  <si>
    <t>১৬-০৯-২০২৫ তারিখে মূল্য হ্রাস পেয়েছে।</t>
  </si>
  <si>
    <t>১৬-০৯-২০২৫ তারিখে মূল্য বৃদ্ধি পেয়েছে।</t>
  </si>
  <si>
    <t>(২ )    চাল (মাঝারী), আলু, পেঁয়াজ (দেশী), আদা (আম), তেজপাতা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</si>
</sst>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6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126</v>
      </c>
      <c r="L4" s="84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45916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45916</v>
      </c>
      <c r="D8" s="84"/>
      <c r="E8" s="83">
        <v>45909</v>
      </c>
      <c r="F8" s="84"/>
      <c r="G8" s="83">
        <v>45884</v>
      </c>
      <c r="H8" s="84"/>
      <c r="I8" s="27" t="s">
        <v>12</v>
      </c>
      <c r="J8" s="83">
        <v>45550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42</v>
      </c>
      <c r="H14" s="30">
        <v>45</v>
      </c>
      <c r="I14" s="31">
        <f>((C14+D14)/2-(G14+H14)/2)/((G14+H14)/2)*100</f>
        <v>11.494252873563218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60</v>
      </c>
      <c r="I15" s="31">
        <f>((C15+D15)/2-(G15+H15)/2)/((G15+H15)/2)*100</f>
        <v>7.1428571428571423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174</v>
      </c>
      <c r="E19" s="30">
        <v>168</v>
      </c>
      <c r="F19" s="30">
        <v>172</v>
      </c>
      <c r="G19" s="30">
        <v>162</v>
      </c>
      <c r="H19" s="30">
        <v>172</v>
      </c>
      <c r="I19" s="31">
        <f t="shared" ref="I19:I25" si="0">((C19+D19)/2-(G19+H19)/2)/((G19+H19)/2)*100</f>
        <v>2.9940119760479043</v>
      </c>
      <c r="J19" s="30">
        <v>148</v>
      </c>
      <c r="K19" s="30">
        <v>155</v>
      </c>
      <c r="L19" s="32">
        <f t="shared" ref="L19:L25" si="1">((C19+D19)/2-(J19+K19)/2)/((J19+K19)/2)*100</f>
        <v>13.531353135313532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330</v>
      </c>
      <c r="K21" s="30">
        <v>335</v>
      </c>
      <c r="L21" s="32">
        <f t="shared" si="1"/>
        <v>13.233082706766917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157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160</v>
      </c>
      <c r="H30" s="30">
        <v>180</v>
      </c>
      <c r="I30" s="31">
        <f t="shared" si="2"/>
        <v>-11.76470588235294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4.8780487804878048</v>
      </c>
      <c r="J32" s="30">
        <v>115</v>
      </c>
      <c r="K32" s="30">
        <v>125</v>
      </c>
      <c r="L32" s="32">
        <f t="shared" si="3"/>
        <v>-10.416666666666668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-18.181818181818183</v>
      </c>
      <c r="J33" s="30">
        <v>52</v>
      </c>
      <c r="K33" s="30">
        <v>60</v>
      </c>
      <c r="L33" s="32">
        <f t="shared" si="3"/>
        <v>-59.821428571428569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110</v>
      </c>
      <c r="K35" s="30">
        <v>120</v>
      </c>
      <c r="L35" s="32">
        <f t="shared" ref="L35:L50" si="5">((C35+D35)/2-(J35+K35)/2)/((J35+K35)/2)*100</f>
        <v>-34.782608695652172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250</v>
      </c>
      <c r="L37" s="32">
        <f t="shared" si="5"/>
        <v>-46.666666666666664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-3.3898305084745761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450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2.666666666666667</v>
      </c>
      <c r="J40" s="30">
        <v>400</v>
      </c>
      <c r="K40" s="30">
        <v>450</v>
      </c>
      <c r="L40" s="32">
        <f t="shared" si="5"/>
        <v>-9.4117647058823533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130</v>
      </c>
      <c r="D44" s="30">
        <v>260</v>
      </c>
      <c r="E44" s="30">
        <v>140</v>
      </c>
      <c r="F44" s="30">
        <v>260</v>
      </c>
      <c r="G44" s="30">
        <v>180</v>
      </c>
      <c r="H44" s="30">
        <v>280</v>
      </c>
      <c r="I44" s="31">
        <f t="shared" si="4"/>
        <v>-15.217391304347828</v>
      </c>
      <c r="J44" s="30">
        <v>200</v>
      </c>
      <c r="K44" s="30">
        <v>260</v>
      </c>
      <c r="L44" s="32">
        <f t="shared" si="5"/>
        <v>-15.217391304347828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4700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1000</v>
      </c>
      <c r="K55" s="30">
        <v>1100</v>
      </c>
      <c r="L55" s="32">
        <f t="shared" si="7"/>
        <v>7.1428571428571423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160</v>
      </c>
      <c r="H56" s="30">
        <v>175</v>
      </c>
      <c r="I56" s="31">
        <f t="shared" si="6"/>
        <v>5.9701492537313428</v>
      </c>
      <c r="J56" s="30">
        <v>170</v>
      </c>
      <c r="K56" s="30">
        <v>180</v>
      </c>
      <c r="L56" s="32">
        <f t="shared" si="7"/>
        <v>1.4285714285714286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45916</v>
      </c>
      <c r="D67" s="84"/>
      <c r="E67" s="83">
        <v>45909</v>
      </c>
      <c r="F67" s="84"/>
      <c r="G67" s="83">
        <v>45884</v>
      </c>
      <c r="H67" s="84"/>
      <c r="I67" s="27" t="s">
        <v>12</v>
      </c>
      <c r="J67" s="83">
        <v>45550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48</v>
      </c>
      <c r="H72" s="38">
        <v>50</v>
      </c>
      <c r="I72" s="31">
        <f t="shared" si="9"/>
        <v>-3.0612244897959182</v>
      </c>
      <c r="J72" s="38">
        <v>52</v>
      </c>
      <c r="K72" s="38">
        <v>54</v>
      </c>
      <c r="L72" s="32">
        <f t="shared" si="8"/>
        <v>-10.377358490566039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75</v>
      </c>
      <c r="G83" s="7">
        <f t="shared" ref="G83:G84" si="10">((C83+D83)/2-(E83+F83)/2)/((E83+F83)/2)*100</f>
        <v>-3.7037037037037033</v>
      </c>
      <c r="H83" s="5" t="s">
        <v>127</v>
      </c>
      <c r="I83" s="6"/>
      <c r="J83" s="6"/>
      <c r="K83" s="51"/>
      <c r="L83" s="18"/>
    </row>
    <row r="84" spans="1:12" ht="21.75">
      <c r="A84" s="5" t="s">
        <v>27</v>
      </c>
      <c r="B84" s="6" t="s">
        <v>28</v>
      </c>
      <c r="C84" s="30">
        <v>170</v>
      </c>
      <c r="D84" s="30">
        <v>174</v>
      </c>
      <c r="E84" s="30">
        <v>168</v>
      </c>
      <c r="F84" s="30">
        <v>172</v>
      </c>
      <c r="G84" s="7">
        <f t="shared" si="10"/>
        <v>1.1764705882352942</v>
      </c>
      <c r="H84" s="5" t="s">
        <v>128</v>
      </c>
      <c r="I84" s="6"/>
      <c r="J84" s="6"/>
      <c r="K84" s="51"/>
      <c r="L84" s="18"/>
    </row>
    <row r="85" spans="1:12" ht="21.75">
      <c r="A85" s="70" t="s">
        <v>33</v>
      </c>
      <c r="B85" s="6" t="s">
        <v>28</v>
      </c>
      <c r="C85" s="30">
        <v>153</v>
      </c>
      <c r="D85" s="30">
        <v>158</v>
      </c>
      <c r="E85" s="30">
        <v>153</v>
      </c>
      <c r="F85" s="30">
        <v>157</v>
      </c>
      <c r="G85" s="7">
        <f t="shared" ref="G85:G89" si="11">((C85+D85)/2-(E85+F85)/2)/((E85+F85)/2)*100</f>
        <v>0.32258064516129031</v>
      </c>
      <c r="H85" s="5" t="s">
        <v>120</v>
      </c>
      <c r="I85" s="6"/>
      <c r="J85" s="6"/>
      <c r="K85" s="51"/>
      <c r="L85" s="18"/>
    </row>
    <row r="86" spans="1:12" ht="21.75">
      <c r="A86" s="70" t="s">
        <v>106</v>
      </c>
      <c r="B86" s="6" t="s">
        <v>28</v>
      </c>
      <c r="C86" s="30">
        <v>155</v>
      </c>
      <c r="D86" s="30">
        <v>165</v>
      </c>
      <c r="E86" s="30">
        <v>155</v>
      </c>
      <c r="F86" s="30">
        <v>164</v>
      </c>
      <c r="G86" s="7">
        <f t="shared" si="11"/>
        <v>0.31347962382445138</v>
      </c>
      <c r="H86" s="5" t="s">
        <v>121</v>
      </c>
      <c r="I86" s="6"/>
      <c r="J86" s="6"/>
      <c r="K86" s="51"/>
      <c r="L86" s="18"/>
    </row>
    <row r="87" spans="1:12" ht="21.75">
      <c r="A87" s="70" t="s">
        <v>41</v>
      </c>
      <c r="B87" s="6" t="s">
        <v>18</v>
      </c>
      <c r="C87" s="30">
        <v>100</v>
      </c>
      <c r="D87" s="30">
        <v>115</v>
      </c>
      <c r="E87" s="30">
        <v>95</v>
      </c>
      <c r="F87" s="30">
        <v>110</v>
      </c>
      <c r="G87" s="7">
        <f t="shared" si="11"/>
        <v>4.8780487804878048</v>
      </c>
      <c r="H87" s="5" t="s">
        <v>128</v>
      </c>
      <c r="I87" s="6"/>
      <c r="J87" s="6"/>
      <c r="K87" s="51"/>
      <c r="L87" s="18"/>
    </row>
    <row r="88" spans="1:12" ht="21.75">
      <c r="A88" s="70" t="s">
        <v>42</v>
      </c>
      <c r="B88" s="6" t="s">
        <v>18</v>
      </c>
      <c r="C88" s="30">
        <v>20</v>
      </c>
      <c r="D88" s="30">
        <v>25</v>
      </c>
      <c r="E88" s="30">
        <v>25</v>
      </c>
      <c r="F88" s="30">
        <v>30</v>
      </c>
      <c r="G88" s="7">
        <f t="shared" si="11"/>
        <v>-18.181818181818183</v>
      </c>
      <c r="H88" s="5" t="s">
        <v>122</v>
      </c>
      <c r="I88" s="6"/>
      <c r="J88" s="6"/>
      <c r="K88" s="51"/>
      <c r="L88" s="18"/>
    </row>
    <row r="89" spans="1:12" ht="21.75">
      <c r="A89" s="70" t="s">
        <v>90</v>
      </c>
      <c r="B89" s="6" t="s">
        <v>18</v>
      </c>
      <c r="C89" s="30">
        <v>70</v>
      </c>
      <c r="D89" s="30">
        <v>80</v>
      </c>
      <c r="E89" s="30">
        <v>75</v>
      </c>
      <c r="F89" s="30">
        <v>85</v>
      </c>
      <c r="G89" s="7">
        <f t="shared" si="11"/>
        <v>-6.25</v>
      </c>
      <c r="H89" s="5" t="s">
        <v>122</v>
      </c>
      <c r="I89" s="6"/>
      <c r="J89" s="6"/>
      <c r="K89" s="51"/>
      <c r="L89" s="18"/>
    </row>
    <row r="90" spans="1:12" ht="21.75">
      <c r="A90" s="70" t="s">
        <v>52</v>
      </c>
      <c r="B90" s="6" t="s">
        <v>18</v>
      </c>
      <c r="C90" s="30">
        <v>130</v>
      </c>
      <c r="D90" s="30">
        <v>260</v>
      </c>
      <c r="E90" s="30">
        <v>140</v>
      </c>
      <c r="F90" s="30">
        <v>260</v>
      </c>
      <c r="G90" s="7">
        <f t="shared" ref="G90:G91" si="12">((C90+D90)/2-(E90+F90)/2)/((E90+F90)/2)*100</f>
        <v>-2.5</v>
      </c>
      <c r="H90" s="5" t="s">
        <v>122</v>
      </c>
      <c r="I90" s="6"/>
      <c r="J90" s="6"/>
      <c r="K90" s="51"/>
      <c r="L90" s="18"/>
    </row>
    <row r="91" spans="1:12" ht="21.75">
      <c r="A91" s="70" t="s">
        <v>58</v>
      </c>
      <c r="B91" s="6" t="s">
        <v>18</v>
      </c>
      <c r="C91" s="30">
        <v>190</v>
      </c>
      <c r="D91" s="30">
        <v>225</v>
      </c>
      <c r="E91" s="30">
        <v>200</v>
      </c>
      <c r="F91" s="30">
        <v>225</v>
      </c>
      <c r="G91" s="7">
        <f t="shared" si="12"/>
        <v>-2.3529411764705883</v>
      </c>
      <c r="H91" s="5" t="s">
        <v>122</v>
      </c>
      <c r="I91" s="6"/>
      <c r="J91" s="6"/>
      <c r="K91" s="51"/>
      <c r="L91" s="18"/>
    </row>
    <row r="92" spans="1:12" ht="21.75">
      <c r="A92" s="73"/>
      <c r="B92" s="3"/>
      <c r="C92" s="79"/>
      <c r="D92" s="79"/>
      <c r="E92" s="79"/>
      <c r="F92" s="79"/>
      <c r="G92" s="10"/>
      <c r="H92" s="1"/>
      <c r="I92" s="3"/>
      <c r="J92" s="3"/>
      <c r="K92" s="51"/>
      <c r="L92" s="18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14"/>
      <c r="C95" s="15"/>
      <c r="D95" s="15"/>
      <c r="E95" s="14"/>
      <c r="F95" s="15"/>
      <c r="G95" s="39"/>
      <c r="H95" s="40"/>
      <c r="I95" s="41"/>
      <c r="J95" s="41"/>
      <c r="K95" s="41"/>
      <c r="L95" s="12"/>
    </row>
    <row r="96" spans="1:12" ht="24.75">
      <c r="A96" s="1"/>
      <c r="B96" s="42"/>
      <c r="C96" s="43" t="s">
        <v>116</v>
      </c>
      <c r="D96" s="11"/>
      <c r="E96" s="42"/>
      <c r="F96" s="14"/>
      <c r="G96" s="11"/>
      <c r="H96" s="40"/>
      <c r="I96" s="13"/>
      <c r="J96" s="14" t="s">
        <v>118</v>
      </c>
      <c r="K96" s="11"/>
      <c r="L96" s="11"/>
    </row>
    <row r="97" spans="1:12" ht="24.75">
      <c r="A97" s="1"/>
      <c r="B97" s="44"/>
      <c r="C97" s="43" t="s">
        <v>117</v>
      </c>
      <c r="D97" s="14"/>
      <c r="E97" s="42"/>
      <c r="F97" s="45"/>
      <c r="G97" s="47"/>
      <c r="H97" s="47"/>
      <c r="I97" s="77"/>
      <c r="J97" s="14" t="s">
        <v>119</v>
      </c>
      <c r="K97" s="14"/>
      <c r="L97" s="14"/>
    </row>
    <row r="98" spans="1:12" ht="24.75">
      <c r="A98" s="1"/>
      <c r="B98" s="14"/>
      <c r="C98" s="15"/>
      <c r="D98" s="14"/>
      <c r="E98" s="15"/>
      <c r="F98" s="45"/>
      <c r="G98" s="47"/>
      <c r="H98" s="47"/>
      <c r="I98" s="46"/>
      <c r="J98" s="11"/>
      <c r="K98" s="11"/>
      <c r="L98" s="2"/>
    </row>
    <row r="99" spans="1:12" ht="19.5">
      <c r="A99" s="56" t="s">
        <v>93</v>
      </c>
      <c r="B99" s="54"/>
      <c r="C99" s="52"/>
      <c r="D99" s="54"/>
      <c r="E99" s="52"/>
      <c r="F99" s="52"/>
      <c r="G99" s="52"/>
      <c r="H99" s="53"/>
      <c r="I99" s="58"/>
      <c r="J99" s="2"/>
      <c r="K99" s="2"/>
      <c r="L99" s="2"/>
    </row>
    <row r="100" spans="1:12" ht="19.5">
      <c r="A100" s="55" t="s">
        <v>99</v>
      </c>
      <c r="B100" s="54"/>
      <c r="C100" s="52"/>
      <c r="D100" s="54"/>
      <c r="E100" s="52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98</v>
      </c>
      <c r="B101" s="54"/>
      <c r="C101" s="54"/>
      <c r="D101" s="54"/>
      <c r="E101" s="54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85</v>
      </c>
      <c r="B102" s="54"/>
      <c r="C102" s="54"/>
      <c r="D102" s="54"/>
      <c r="E102" s="54"/>
      <c r="F102" s="53"/>
      <c r="G102" s="53"/>
      <c r="H102" s="53"/>
      <c r="I102" s="58"/>
      <c r="J102" s="2"/>
      <c r="K102" s="2"/>
      <c r="L102" s="2"/>
    </row>
    <row r="103" spans="1:12" ht="19.5">
      <c r="A103" s="55" t="s">
        <v>97</v>
      </c>
      <c r="B103" s="54"/>
      <c r="C103" s="54"/>
      <c r="D103" s="54"/>
      <c r="E103" s="54"/>
      <c r="F103" s="54"/>
      <c r="G103" s="53"/>
      <c r="H103" s="53"/>
      <c r="I103" s="58"/>
      <c r="J103" s="2"/>
      <c r="K103" s="2"/>
      <c r="L103" s="2"/>
    </row>
    <row r="104" spans="1:12" ht="19.5">
      <c r="A104" s="55" t="s">
        <v>96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107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95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94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86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101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100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87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/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6" t="s">
        <v>88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89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115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114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113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2025-09-16T07:55:43Z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