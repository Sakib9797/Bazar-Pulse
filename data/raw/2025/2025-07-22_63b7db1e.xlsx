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55DCD87C-3677-4695-BDCE-95F2C252958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3" i="4"/>
  <c r="G88" i="4"/>
  <c r="G87" i="4"/>
  <c r="G86" i="4"/>
  <c r="G90" i="4"/>
  <c r="G89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<sst xmlns="http://schemas.openxmlformats.org/spreadsheetml/2006/main" count="234" uniqueCount="129">
  <si>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</si>
  <si>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</si>
  <si>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</si>
  <si>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</si>
  <si>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</si>
  <si>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</si>
  <si>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</si>
  <si>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</si>
  <si>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</si>
  <si>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</si>
  <si>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</si>
  <si>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</si>
  <si>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</si>
  <si>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</si>
  <si>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</si>
  <si>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</si>
  <si>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</si>
  <si>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</si>
  <si>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</si>
  <si>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</si>
  <si>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</si>
  <si>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</si>
  <si>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</si>
  <si>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</si>
  <si>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</si>
  <si>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</si>
  <si>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</si>
  <si>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</si>
  <si>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</si>
  <si>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</si>
  <si>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</si>
  <si>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</si>
  <si>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</si>
  <si>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</si>
  <si>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</si>
  <si>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</si>
  <si>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</si>
  <si>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</si>
  <si>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</si>
  <si>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</si>
  <si>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</si>
  <si>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</si>
  <si>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</si>
  <si>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</si>
  <si>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</si>
  <si>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</si>
  <si>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</si>
  <si>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</si>
  <si>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</si>
  <si>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</si>
  <si>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</si>
  <si>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</si>
  <si>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</si>
  <si>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</si>
  <si>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</si>
  <si>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</si>
  <si>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</si>
  <si>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</si>
  <si>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</si>
  <si>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</si>
  <si>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</si>
  <si>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</si>
  <si>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</si>
  <si>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</si>
  <si>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</si>
  <si>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</si>
  <si>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</si>
  <si>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</si>
  <si>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</si>
  <si>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</si>
  <si>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</si>
  <si>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</si>
  <si>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</si>
  <si>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</si>
  <si>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</si>
  <si>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</si>
  <si>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</si>
  <si>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</si>
  <si>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</si>
  <si>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</si>
  <si>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</si>
  <si>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</si>
  <si>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</si>
  <si>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</si>
  <si>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</si>
  <si>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</si>
  <si>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</si>
  <si>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</si>
  <si>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</si>
  <si>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</si>
  <si>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</si>
  <si>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</si>
  <si>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</si>
  <si>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</si>
  <si>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</si>
  <si>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</si>
  <si>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</si>
  <si>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</si>
  <si>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</si>
  <si>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</si>
  <si>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</si>
  <si>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</si>
  <si>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</si>
  <si>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</si>
  <si>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</si>
  <si>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</si>
  <si>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</si>
  <si>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</si>
  <si>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</si>
  <si>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</si>
  <si>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</si>
  <si>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</si>
  <si>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</si>
  <si>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</si>
  <si>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</si>
  <si>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</si>
  <si>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</si>
  <si>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১৭-০৭-২০২৫ তারিখে মূল্য হ্রাস পেয়েছে।</t>
  </si>
  <si>
    <t>১৮-০৭-২০২৫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</si>
  <si>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</si>
  <si>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</si>
  <si>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২১-০৭-২০২৫ তারিখে মূল্য বৃদ্ধি পেয়েছে।</t>
  </si>
  <si>
    <t>স্মারক নং-২৬.০৫.০০০০.০১৭.৩১.০১.২৫-৫১৫</t>
  </si>
  <si>
    <t xml:space="preserve">মঙ্গলবার ২২ জুলাই ২০২৫ খ্রিঃ, ০৭ শ্রাবণ ১৪৩২ বাংলা, ২৬ মুহররম ১৪৪৭ হিজরি </t>
  </si>
  <si>
    <t xml:space="preserve">   সিরিয়াল নংঃ     ১৭৯</t>
  </si>
  <si>
    <t>২১-০৭-২০২৫ তারিখে মূল্য হ্রাস পেয়েছে।</t>
  </si>
  <si>
    <t>২২-০৭-২০২৫ তারিখে মূল্য বৃদ্ধি পেয়েছে।</t>
  </si>
  <si>
    <t>(১)   পাম অয়েল লুজ, মসুর ডাল (ছোট), এ্যাংকর ডাল   এর মূল্য বৃদ্ধি পেয়েছে।</t>
  </si>
  <si>
    <t>(২ )  মসুর ডাল (বড়), মুগ ডাল, আদা (আম), দারুচিনি, চিনি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</si>
</sst>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zoomScale="98" zoomScaleNormal="98" workbookViewId="0">
      <selection activeCell="H91" sqref="H91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124</v>
      </c>
      <c r="L4" s="94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45860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45860</v>
      </c>
      <c r="D8" s="94"/>
      <c r="E8" s="95">
        <v>45853</v>
      </c>
      <c r="F8" s="94"/>
      <c r="G8" s="95">
        <v>45830</v>
      </c>
      <c r="H8" s="94"/>
      <c r="I8" s="27" t="s">
        <v>12</v>
      </c>
      <c r="J8" s="91">
        <v>45491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70</v>
      </c>
      <c r="H10" s="30">
        <v>82</v>
      </c>
      <c r="I10" s="31">
        <f>((C10+D10)/2-(G10+H10)/2)/((G10+H10)/2)*100</f>
        <v>5.2631578947368416</v>
      </c>
      <c r="J10" s="62">
        <v>62</v>
      </c>
      <c r="K10" s="62">
        <v>78</v>
      </c>
      <c r="L10" s="32">
        <f>((C10+D10)/2-(J10+K10)/2)/((J10+K10)/2)*100</f>
        <v>14.285714285714285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52</v>
      </c>
      <c r="H12" s="30">
        <v>58</v>
      </c>
      <c r="I12" s="31">
        <f>((C12+D12)/2-(G12+H12)/2)/((G12+H12)/2)*100</f>
        <v>4.5454545454545459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160</v>
      </c>
      <c r="D19" s="30">
        <v>170</v>
      </c>
      <c r="E19" s="30">
        <v>160</v>
      </c>
      <c r="F19" s="30">
        <v>170</v>
      </c>
      <c r="G19" s="30">
        <v>158</v>
      </c>
      <c r="H19" s="30">
        <v>168</v>
      </c>
      <c r="I19" s="31">
        <f t="shared" ref="I19:I25" si="0">((C19+D19)/2-(G19+H19)/2)/((G19+H19)/2)*100</f>
        <v>1.2269938650306749</v>
      </c>
      <c r="J19" s="62">
        <v>145</v>
      </c>
      <c r="K19" s="62">
        <v>155</v>
      </c>
      <c r="L19" s="32">
        <f t="shared" ref="L19:L25" si="1">((C19+D19)/2-(J19+K19)/2)/((J19+K19)/2)*100</f>
        <v>10</v>
      </c>
    </row>
    <row r="20" spans="1:12" ht="21.75">
      <c r="A20" s="76" t="s">
        <v>29</v>
      </c>
      <c r="B20" s="6" t="s">
        <v>30</v>
      </c>
      <c r="C20" s="30">
        <v>880</v>
      </c>
      <c r="D20" s="30">
        <v>920</v>
      </c>
      <c r="E20" s="30">
        <v>880</v>
      </c>
      <c r="F20" s="30">
        <v>920</v>
      </c>
      <c r="G20" s="30">
        <v>880</v>
      </c>
      <c r="H20" s="30">
        <v>920</v>
      </c>
      <c r="I20" s="31">
        <f t="shared" si="0"/>
        <v>0</v>
      </c>
      <c r="J20" s="62">
        <v>780</v>
      </c>
      <c r="K20" s="62">
        <v>810</v>
      </c>
      <c r="L20" s="32">
        <f t="shared" si="1"/>
        <v>13.20754716981132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188</v>
      </c>
      <c r="H22" s="30">
        <v>190</v>
      </c>
      <c r="I22" s="31">
        <f t="shared" si="0"/>
        <v>-0.79365079365079361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148</v>
      </c>
      <c r="D23" s="30">
        <v>155</v>
      </c>
      <c r="E23" s="30">
        <v>147</v>
      </c>
      <c r="F23" s="30">
        <v>155</v>
      </c>
      <c r="G23" s="30">
        <v>145</v>
      </c>
      <c r="H23" s="30">
        <v>154</v>
      </c>
      <c r="I23" s="31">
        <f t="shared" si="0"/>
        <v>1.3377926421404682</v>
      </c>
      <c r="J23" s="62">
        <v>125</v>
      </c>
      <c r="K23" s="62">
        <v>135</v>
      </c>
      <c r="L23" s="32">
        <f t="shared" si="1"/>
        <v>16.538461538461537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148</v>
      </c>
      <c r="H24" s="30">
        <v>162</v>
      </c>
      <c r="I24" s="31">
        <f t="shared" si="0"/>
        <v>0.64516129032258063</v>
      </c>
      <c r="J24" s="62">
        <v>135</v>
      </c>
      <c r="K24" s="62">
        <v>140</v>
      </c>
      <c r="L24" s="32">
        <f t="shared" si="1"/>
        <v>13.454545454545455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1070</v>
      </c>
      <c r="I25" s="31">
        <f t="shared" si="0"/>
        <v>0.47619047619047622</v>
      </c>
      <c r="J25" s="62">
        <v>860</v>
      </c>
      <c r="K25" s="62">
        <v>880</v>
      </c>
      <c r="L25" s="32">
        <f t="shared" si="1"/>
        <v>21.264367816091951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100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.75">
      <c r="A29" s="76" t="s">
        <v>38</v>
      </c>
      <c r="B29" s="6" t="s">
        <v>18</v>
      </c>
      <c r="C29" s="30">
        <v>130</v>
      </c>
      <c r="D29" s="30">
        <v>140</v>
      </c>
      <c r="E29" s="30">
        <v>125</v>
      </c>
      <c r="F29" s="30">
        <v>135</v>
      </c>
      <c r="G29" s="30">
        <v>125</v>
      </c>
      <c r="H29" s="30">
        <v>135</v>
      </c>
      <c r="I29" s="31">
        <f t="shared" si="2"/>
        <v>3.8461538461538463</v>
      </c>
      <c r="J29" s="62">
        <v>130</v>
      </c>
      <c r="K29" s="62">
        <v>140</v>
      </c>
      <c r="L29" s="32">
        <f t="shared" si="3"/>
        <v>0</v>
      </c>
    </row>
    <row r="30" spans="1:12" ht="21.75">
      <c r="A30" s="76" t="s">
        <v>39</v>
      </c>
      <c r="B30" s="6" t="s">
        <v>18</v>
      </c>
      <c r="C30" s="30">
        <v>110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.75">
      <c r="A31" s="76" t="s">
        <v>40</v>
      </c>
      <c r="B31" s="6" t="s">
        <v>18</v>
      </c>
      <c r="C31" s="30">
        <v>55</v>
      </c>
      <c r="D31" s="30">
        <v>80</v>
      </c>
      <c r="E31" s="30">
        <v>50</v>
      </c>
      <c r="F31" s="30">
        <v>80</v>
      </c>
      <c r="G31" s="30">
        <v>60</v>
      </c>
      <c r="H31" s="30">
        <v>80</v>
      </c>
      <c r="I31" s="31">
        <f t="shared" si="2"/>
        <v>-3.5714285714285712</v>
      </c>
      <c r="J31" s="62">
        <v>80</v>
      </c>
      <c r="K31" s="62">
        <v>90</v>
      </c>
      <c r="L31" s="32">
        <f t="shared" si="3"/>
        <v>-20.588235294117645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62">
        <v>55</v>
      </c>
      <c r="K33" s="62">
        <v>60</v>
      </c>
      <c r="L33" s="32">
        <f t="shared" si="3"/>
        <v>-52.173913043478258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55</v>
      </c>
      <c r="D35" s="30">
        <v>65</v>
      </c>
      <c r="E35" s="30">
        <v>55</v>
      </c>
      <c r="F35" s="30">
        <v>65</v>
      </c>
      <c r="G35" s="30">
        <v>50</v>
      </c>
      <c r="H35" s="30">
        <v>60</v>
      </c>
      <c r="I35" s="31">
        <f t="shared" ref="I35:I50" si="4">((C35+D35)/2-(G35+H35)/2)/((G35+H35)/2)*100</f>
        <v>9.0909090909090917</v>
      </c>
      <c r="J35" s="62">
        <v>110</v>
      </c>
      <c r="K35" s="62">
        <v>120</v>
      </c>
      <c r="L35" s="32">
        <f t="shared" ref="L35:L50" si="5">((C35+D35)/2-(J35+K35)/2)/((J35+K35)/2)*100</f>
        <v>-47.826086956521742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105</v>
      </c>
      <c r="K36" s="62">
        <v>120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90</v>
      </c>
      <c r="H37" s="30">
        <v>140</v>
      </c>
      <c r="I37" s="31">
        <f t="shared" si="4"/>
        <v>8.695652173913043</v>
      </c>
      <c r="J37" s="62">
        <v>200</v>
      </c>
      <c r="K37" s="62">
        <v>220</v>
      </c>
      <c r="L37" s="32">
        <f t="shared" si="5"/>
        <v>-40.476190476190474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140</v>
      </c>
      <c r="H38" s="30">
        <v>200</v>
      </c>
      <c r="I38" s="31">
        <f t="shared" si="4"/>
        <v>5.8823529411764701</v>
      </c>
      <c r="J38" s="62">
        <v>190</v>
      </c>
      <c r="K38" s="62">
        <v>220</v>
      </c>
      <c r="L38" s="32">
        <f t="shared" si="5"/>
        <v>-12.195121951219512</v>
      </c>
    </row>
    <row r="39" spans="1:12" ht="21.75">
      <c r="A39" s="76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3.6363636363636362</v>
      </c>
      <c r="J39" s="62">
        <v>320</v>
      </c>
      <c r="K39" s="62">
        <v>400</v>
      </c>
      <c r="L39" s="32">
        <f t="shared" si="5"/>
        <v>-20.833333333333336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120</v>
      </c>
      <c r="D44" s="30">
        <v>200</v>
      </c>
      <c r="E44" s="30">
        <v>130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200</v>
      </c>
      <c r="K44" s="62">
        <v>300</v>
      </c>
      <c r="L44" s="32">
        <f t="shared" si="5"/>
        <v>-36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850</v>
      </c>
      <c r="L45" s="32">
        <f t="shared" si="5"/>
        <v>-12.903225806451612</v>
      </c>
    </row>
    <row r="46" spans="1:12" ht="21.75">
      <c r="A46" s="76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480</v>
      </c>
      <c r="H46" s="30">
        <v>550</v>
      </c>
      <c r="I46" s="31">
        <f t="shared" si="4"/>
        <v>4.8543689320388346</v>
      </c>
      <c r="J46" s="62">
        <v>540</v>
      </c>
      <c r="K46" s="62">
        <v>610</v>
      </c>
      <c r="L46" s="32">
        <f t="shared" si="5"/>
        <v>-6.0869565217391308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1300</v>
      </c>
      <c r="H47" s="30">
        <v>1550</v>
      </c>
      <c r="I47" s="31">
        <f t="shared" si="4"/>
        <v>5.2631578947368416</v>
      </c>
      <c r="J47" s="62">
        <v>1480</v>
      </c>
      <c r="K47" s="62">
        <v>1750</v>
      </c>
      <c r="L47" s="32">
        <f t="shared" si="5"/>
        <v>-7.1207430340557281</v>
      </c>
    </row>
    <row r="48" spans="1:12" ht="21.75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3800</v>
      </c>
      <c r="L48" s="32">
        <f t="shared" si="5"/>
        <v>37.142857142857146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260</v>
      </c>
      <c r="L49" s="32">
        <f t="shared" si="5"/>
        <v>0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140</v>
      </c>
      <c r="H50" s="30">
        <v>220</v>
      </c>
      <c r="I50" s="31">
        <f t="shared" si="4"/>
        <v>11.111111111111111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1000</v>
      </c>
      <c r="D53" s="30">
        <v>2000</v>
      </c>
      <c r="E53" s="30">
        <v>900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150</v>
      </c>
      <c r="D56" s="30">
        <v>170</v>
      </c>
      <c r="E56" s="30">
        <v>150</v>
      </c>
      <c r="F56" s="30">
        <v>170</v>
      </c>
      <c r="G56" s="30">
        <v>150</v>
      </c>
      <c r="H56" s="30">
        <v>180</v>
      </c>
      <c r="I56" s="31">
        <f t="shared" si="6"/>
        <v>-3.0303030303030303</v>
      </c>
      <c r="J56" s="62">
        <v>170</v>
      </c>
      <c r="K56" s="62">
        <v>180</v>
      </c>
      <c r="L56" s="32">
        <f t="shared" si="7"/>
        <v>-8.5714285714285712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600</v>
      </c>
      <c r="H57" s="30">
        <v>700</v>
      </c>
      <c r="I57" s="31">
        <f t="shared" si="6"/>
        <v>-1.5384615384615385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45860</v>
      </c>
      <c r="D67" s="94"/>
      <c r="E67" s="95">
        <v>45853</v>
      </c>
      <c r="F67" s="94"/>
      <c r="G67" s="95">
        <v>45830</v>
      </c>
      <c r="H67" s="94"/>
      <c r="I67" s="27" t="s">
        <v>12</v>
      </c>
      <c r="J67" s="91">
        <v>45491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110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37</v>
      </c>
      <c r="H72" s="38">
        <v>46</v>
      </c>
      <c r="I72" s="31">
        <f t="shared" si="9"/>
        <v>1.2048192771084338</v>
      </c>
      <c r="J72" s="63">
        <v>46</v>
      </c>
      <c r="K72" s="63">
        <v>50</v>
      </c>
      <c r="L72" s="32">
        <f t="shared" si="8"/>
        <v>-12.5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91500</v>
      </c>
      <c r="E74" s="30">
        <v>85000</v>
      </c>
      <c r="F74" s="30">
        <v>91500</v>
      </c>
      <c r="G74" s="30">
        <v>87500</v>
      </c>
      <c r="H74" s="30">
        <v>91000</v>
      </c>
      <c r="I74" s="31">
        <f t="shared" si="9"/>
        <v>-1.1204481792717087</v>
      </c>
      <c r="J74" s="62">
        <v>95500</v>
      </c>
      <c r="K74" s="62">
        <v>98500</v>
      </c>
      <c r="L74" s="32">
        <f t="shared" si="8"/>
        <v>-9.0206185567010309</v>
      </c>
    </row>
    <row r="75" spans="1:12" ht="21.75">
      <c r="A75" s="76" t="s">
        <v>79</v>
      </c>
      <c r="B75" s="6" t="s">
        <v>78</v>
      </c>
      <c r="C75" s="30">
        <v>78000</v>
      </c>
      <c r="D75" s="38">
        <v>82500</v>
      </c>
      <c r="E75" s="30">
        <v>78000</v>
      </c>
      <c r="F75" s="38">
        <v>82500</v>
      </c>
      <c r="G75" s="30">
        <v>75000</v>
      </c>
      <c r="H75" s="38">
        <v>80000</v>
      </c>
      <c r="I75" s="31">
        <f t="shared" si="9"/>
        <v>3.5483870967741935</v>
      </c>
      <c r="J75" s="63">
        <v>88500</v>
      </c>
      <c r="K75" s="63">
        <v>89500</v>
      </c>
      <c r="L75" s="32">
        <f t="shared" si="8"/>
        <v>-9.8314606741573041</v>
      </c>
    </row>
    <row r="76" spans="1:12" ht="21.75" customHeight="1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5" t="s">
        <v>33</v>
      </c>
      <c r="B83" s="6" t="s">
        <v>28</v>
      </c>
      <c r="C83" s="30">
        <v>148</v>
      </c>
      <c r="D83" s="30">
        <v>155</v>
      </c>
      <c r="E83" s="30">
        <v>147</v>
      </c>
      <c r="F83" s="30">
        <v>155</v>
      </c>
      <c r="G83" s="7">
        <f t="shared" ref="G83:G90" si="10">((C83+D83)/2-(E83+F83)/2)/((E83+F83)/2)*100</f>
        <v>0.33112582781456956</v>
      </c>
      <c r="H83" s="5" t="s">
        <v>126</v>
      </c>
      <c r="I83" s="6"/>
      <c r="J83" s="6"/>
      <c r="K83" s="51"/>
      <c r="L83" s="18"/>
    </row>
    <row r="84" spans="1:12" ht="21.75">
      <c r="A84" s="5" t="s">
        <v>37</v>
      </c>
      <c r="B84" s="6" t="s">
        <v>18</v>
      </c>
      <c r="C84" s="30">
        <v>95</v>
      </c>
      <c r="D84" s="30">
        <v>110</v>
      </c>
      <c r="E84" s="30">
        <v>100</v>
      </c>
      <c r="F84" s="30">
        <v>110</v>
      </c>
      <c r="G84" s="7">
        <f t="shared" si="10"/>
        <v>-2.3809523809523809</v>
      </c>
      <c r="H84" s="5" t="s">
        <v>117</v>
      </c>
      <c r="I84" s="6"/>
      <c r="J84" s="6"/>
      <c r="K84" s="51"/>
      <c r="L84" s="18"/>
    </row>
    <row r="85" spans="1:12" ht="21.75">
      <c r="A85" s="76" t="s">
        <v>38</v>
      </c>
      <c r="B85" s="6" t="s">
        <v>18</v>
      </c>
      <c r="C85" s="30">
        <v>130</v>
      </c>
      <c r="D85" s="30">
        <v>140</v>
      </c>
      <c r="E85" s="30">
        <v>125</v>
      </c>
      <c r="F85" s="30">
        <v>135</v>
      </c>
      <c r="G85" s="7">
        <f t="shared" si="10"/>
        <v>3.8461538461538463</v>
      </c>
      <c r="H85" s="5" t="s">
        <v>126</v>
      </c>
      <c r="I85" s="6"/>
      <c r="J85" s="6"/>
      <c r="K85" s="51"/>
      <c r="L85" s="18"/>
    </row>
    <row r="86" spans="1:12" ht="21.75">
      <c r="A86" s="76" t="s">
        <v>39</v>
      </c>
      <c r="B86" s="6" t="s">
        <v>18</v>
      </c>
      <c r="C86" s="30">
        <v>110</v>
      </c>
      <c r="D86" s="30">
        <v>180</v>
      </c>
      <c r="E86" s="30">
        <v>125</v>
      </c>
      <c r="F86" s="30">
        <v>180</v>
      </c>
      <c r="G86" s="7">
        <f t="shared" si="10"/>
        <v>-4.918032786885246</v>
      </c>
      <c r="H86" s="5" t="s">
        <v>125</v>
      </c>
      <c r="I86" s="6"/>
      <c r="J86" s="6"/>
      <c r="K86" s="51"/>
      <c r="L86" s="18"/>
    </row>
    <row r="87" spans="1:12" ht="21.75">
      <c r="A87" s="76" t="s">
        <v>40</v>
      </c>
      <c r="B87" s="6" t="s">
        <v>18</v>
      </c>
      <c r="C87" s="30">
        <v>55</v>
      </c>
      <c r="D87" s="30">
        <v>80</v>
      </c>
      <c r="E87" s="30">
        <v>50</v>
      </c>
      <c r="F87" s="30">
        <v>80</v>
      </c>
      <c r="G87" s="7">
        <f t="shared" si="10"/>
        <v>3.8461538461538463</v>
      </c>
      <c r="H87" s="5" t="s">
        <v>121</v>
      </c>
      <c r="I87" s="6"/>
      <c r="J87" s="6"/>
      <c r="K87" s="51"/>
      <c r="L87" s="18"/>
    </row>
    <row r="88" spans="1:12" ht="21.75">
      <c r="A88" s="76" t="s">
        <v>52</v>
      </c>
      <c r="B88" s="6" t="s">
        <v>18</v>
      </c>
      <c r="C88" s="30">
        <v>120</v>
      </c>
      <c r="D88" s="30">
        <v>200</v>
      </c>
      <c r="E88" s="30">
        <v>130</v>
      </c>
      <c r="F88" s="30">
        <v>200</v>
      </c>
      <c r="G88" s="7">
        <f t="shared" si="10"/>
        <v>-3.0303030303030303</v>
      </c>
      <c r="H88" s="5" t="s">
        <v>118</v>
      </c>
      <c r="I88" s="6"/>
      <c r="J88" s="6"/>
      <c r="K88" s="51"/>
      <c r="L88" s="18"/>
    </row>
    <row r="89" spans="1:12" ht="21.75">
      <c r="A89" s="76" t="s">
        <v>54</v>
      </c>
      <c r="B89" s="6" t="s">
        <v>18</v>
      </c>
      <c r="C89" s="30">
        <v>480</v>
      </c>
      <c r="D89" s="30">
        <v>600</v>
      </c>
      <c r="E89" s="30">
        <v>500</v>
      </c>
      <c r="F89" s="30">
        <v>600</v>
      </c>
      <c r="G89" s="7">
        <f t="shared" si="10"/>
        <v>-1.8181818181818181</v>
      </c>
      <c r="H89" s="5" t="s">
        <v>117</v>
      </c>
      <c r="I89" s="6"/>
      <c r="J89" s="6"/>
      <c r="K89" s="51"/>
      <c r="L89" s="18"/>
    </row>
    <row r="90" spans="1:12" ht="21.75">
      <c r="A90" s="76" t="s">
        <v>71</v>
      </c>
      <c r="B90" s="6" t="s">
        <v>18</v>
      </c>
      <c r="C90" s="30">
        <v>105</v>
      </c>
      <c r="D90" s="30">
        <v>115</v>
      </c>
      <c r="E90" s="30">
        <v>110</v>
      </c>
      <c r="F90" s="30">
        <v>115</v>
      </c>
      <c r="G90" s="7">
        <f t="shared" si="10"/>
        <v>-2.2222222222222223</v>
      </c>
      <c r="H90" s="5" t="s">
        <v>125</v>
      </c>
      <c r="I90" s="6"/>
      <c r="J90" s="6"/>
      <c r="K90" s="51"/>
      <c r="L90" s="18"/>
    </row>
    <row r="91" spans="1:12" ht="21.75">
      <c r="A91" s="79"/>
      <c r="B91" s="3"/>
      <c r="C91" s="90"/>
      <c r="D91" s="90"/>
      <c r="E91" s="90"/>
      <c r="F91" s="90"/>
      <c r="G91" s="10"/>
      <c r="H91" s="1"/>
      <c r="I91" s="3"/>
      <c r="J91" s="3"/>
      <c r="K91" s="51"/>
      <c r="L91" s="18"/>
    </row>
    <row r="92" spans="1:12" ht="21.75">
      <c r="A92" s="79"/>
      <c r="B92" s="3"/>
      <c r="C92" s="90"/>
      <c r="D92" s="90"/>
      <c r="E92" s="90"/>
      <c r="F92" s="90"/>
      <c r="G92" s="10"/>
      <c r="H92" s="1"/>
      <c r="I92" s="3"/>
      <c r="J92" s="3"/>
      <c r="K92" s="51"/>
      <c r="L92" s="18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14"/>
      <c r="C95" s="15"/>
      <c r="D95" s="15"/>
      <c r="E95" s="14"/>
      <c r="F95" s="15"/>
      <c r="G95" s="39"/>
      <c r="H95" s="40"/>
      <c r="I95" s="41"/>
      <c r="J95" s="41"/>
      <c r="K95" s="41"/>
      <c r="L95" s="12"/>
    </row>
    <row r="96" spans="1:12" ht="24.75">
      <c r="A96" s="1"/>
      <c r="B96" s="42"/>
      <c r="C96" s="43" t="s">
        <v>113</v>
      </c>
      <c r="D96" s="11"/>
      <c r="E96" s="42"/>
      <c r="F96" s="14"/>
      <c r="G96" s="11"/>
      <c r="H96" s="40"/>
      <c r="I96" s="13"/>
      <c r="J96" s="14" t="s">
        <v>119</v>
      </c>
      <c r="K96" s="11"/>
      <c r="L96" s="11"/>
    </row>
    <row r="97" spans="1:12" ht="24.75">
      <c r="A97" s="1"/>
      <c r="B97" s="44"/>
      <c r="C97" s="43" t="s">
        <v>114</v>
      </c>
      <c r="D97" s="14"/>
      <c r="E97" s="42"/>
      <c r="F97" s="45"/>
      <c r="G97" s="47"/>
      <c r="H97" s="47"/>
      <c r="I97" s="86"/>
      <c r="J97" s="14" t="s">
        <v>120</v>
      </c>
      <c r="K97" s="14"/>
      <c r="L97" s="14"/>
    </row>
    <row r="98" spans="1:12" ht="24.75">
      <c r="A98" s="1"/>
      <c r="B98" s="14"/>
      <c r="C98" s="15"/>
      <c r="D98" s="14"/>
      <c r="E98" s="15"/>
      <c r="F98" s="45"/>
      <c r="G98" s="47"/>
      <c r="H98" s="47"/>
      <c r="I98" s="46"/>
      <c r="J98" s="11"/>
      <c r="K98" s="11"/>
      <c r="L98" s="2"/>
    </row>
    <row r="99" spans="1:12" ht="19.5">
      <c r="A99" s="56" t="s">
        <v>95</v>
      </c>
      <c r="B99" s="54"/>
      <c r="C99" s="52"/>
      <c r="D99" s="54"/>
      <c r="E99" s="52"/>
      <c r="F99" s="52"/>
      <c r="G99" s="52"/>
      <c r="H99" s="53"/>
      <c r="I99" s="58"/>
      <c r="J99" s="2"/>
      <c r="K99" s="2"/>
      <c r="L99" s="2"/>
    </row>
    <row r="100" spans="1:12" ht="19.5">
      <c r="A100" s="55" t="s">
        <v>101</v>
      </c>
      <c r="B100" s="54"/>
      <c r="C100" s="52"/>
      <c r="D100" s="54"/>
      <c r="E100" s="52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100</v>
      </c>
      <c r="B101" s="54"/>
      <c r="C101" s="54"/>
      <c r="D101" s="54"/>
      <c r="E101" s="54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85</v>
      </c>
      <c r="B102" s="54"/>
      <c r="C102" s="54"/>
      <c r="D102" s="54"/>
      <c r="E102" s="54"/>
      <c r="F102" s="53"/>
      <c r="G102" s="53"/>
      <c r="H102" s="53"/>
      <c r="I102" s="58"/>
      <c r="J102" s="2"/>
      <c r="K102" s="2"/>
      <c r="L102" s="2"/>
    </row>
    <row r="103" spans="1:12" ht="19.5">
      <c r="A103" s="55" t="s">
        <v>99</v>
      </c>
      <c r="B103" s="54"/>
      <c r="C103" s="54"/>
      <c r="D103" s="54"/>
      <c r="E103" s="54"/>
      <c r="F103" s="54"/>
      <c r="G103" s="53"/>
      <c r="H103" s="53"/>
      <c r="I103" s="58"/>
      <c r="J103" s="2"/>
      <c r="K103" s="2"/>
      <c r="L103" s="2"/>
    </row>
    <row r="104" spans="1:12" ht="19.5">
      <c r="A104" s="55" t="s">
        <v>98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109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97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96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86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103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102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104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105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87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/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6" t="s">
        <v>88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89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90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91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8">
      <c r="A119" s="60"/>
      <c r="B119" s="58"/>
      <c r="C119" s="58"/>
      <c r="D119" s="58"/>
      <c r="E119" s="58"/>
      <c r="F119" s="58"/>
      <c r="G119" s="58"/>
      <c r="H119" s="61"/>
      <c r="I119" s="59"/>
      <c r="J119" s="12"/>
      <c r="K119" s="12"/>
      <c r="L119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2025-07-22T08:10:37Z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