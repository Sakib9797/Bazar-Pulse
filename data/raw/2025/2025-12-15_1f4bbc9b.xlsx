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13_ncr:1_{0F2A4FC5-6818-4F59-BC83-4A214B1447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6" i="4"/>
  <c r="G90" i="4"/>
  <c r="G89" i="4"/>
  <c r="G87" i="4"/>
  <c r="G88" i="4"/>
  <c r="G83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<sst xmlns="http://schemas.openxmlformats.org/spreadsheetml/2006/main" count="237" uniqueCount="133">
  <si>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</si>
  <si>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</si>
  <si>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</si>
  <si>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</si>
  <si>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</si>
  <si>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</si>
  <si>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</si>
  <si>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</si>
  <si>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</si>
  <si>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</si>
  <si>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</si>
  <si>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</si>
  <si>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</si>
  <si>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</si>
  <si>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</si>
  <si>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</si>
  <si>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</si>
  <si>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</si>
  <si>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</si>
  <si>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</si>
  <si>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</si>
  <si>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</si>
  <si>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</si>
  <si>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</si>
  <si>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</si>
  <si>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</si>
  <si>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</si>
  <si>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</si>
  <si>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</si>
  <si>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</si>
  <si>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</si>
  <si>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</si>
  <si>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</si>
  <si>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</si>
  <si>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</si>
  <si>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</si>
  <si>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</si>
  <si>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</si>
  <si>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</si>
  <si>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</si>
  <si>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</si>
  <si>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</si>
  <si>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</si>
  <si>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</si>
  <si>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</si>
  <si>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</si>
  <si>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</si>
  <si>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</si>
  <si>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</si>
  <si>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</si>
  <si>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</si>
  <si>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</si>
  <si>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</si>
  <si>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</si>
  <si>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</si>
  <si>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</si>
  <si>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</si>
  <si>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</si>
  <si>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</si>
  <si>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</si>
  <si>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</si>
  <si>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</si>
  <si>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</si>
  <si>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</si>
  <si>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</si>
  <si>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</si>
  <si>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</si>
  <si>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</si>
  <si>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</si>
  <si>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</si>
  <si>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</si>
  <si>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</si>
  <si>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</si>
  <si>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</si>
  <si>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</si>
  <si>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</si>
  <si>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</si>
  <si>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</si>
  <si>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</si>
  <si>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</si>
  <si>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</si>
  <si>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</si>
  <si>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</si>
  <si>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</si>
  <si>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</si>
  <si>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</si>
  <si>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</si>
  <si>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</si>
  <si>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</si>
  <si>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</si>
  <si>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</si>
  <si>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</si>
  <si>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</si>
  <si>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</si>
  <si>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</si>
  <si>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</si>
  <si>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</si>
  <si>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</si>
  <si>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</si>
  <si>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</si>
  <si>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</si>
  <si>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</si>
  <si>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</si>
  <si>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</si>
  <si>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</si>
  <si>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</si>
  <si>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</si>
  <si>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</si>
  <si>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</si>
  <si>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</si>
  <si>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</si>
  <si>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</si>
  <si>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</si>
  <si>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</si>
  <si>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</si>
  <si>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</si>
  <si>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</si>
  <si>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</si>
  <si>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</si>
  <si>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</si>
  <si>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পিঁয়াজ (দেশী)(নতুন/পুরাতন)</t>
  </si>
  <si>
    <t>০৯-১২-২০২৫ তারিখে মূল্য বৃদ্ধি পেয়েছে।</t>
  </si>
  <si>
    <t>১০-১২-২০২৫ তারিখে মূল্য বৃদ্ধি পেয়েছে।</t>
  </si>
  <si>
    <t>১১-১২-২০২৫ তারিখে মূল্য হ্রাস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</si>
  <si>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</si>
  <si>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১৪-১২-২০২৫ তারিখে মূল্য হ্রাস পেয়েছে।</t>
  </si>
  <si>
    <t>স্মারক নং-২৬.০৫.০০০০.০১৭.৩১.০১.২৫-৯২৫</t>
  </si>
  <si>
    <t xml:space="preserve">সোমবার ১৫ ডিসেম্বর ২০২৫ খ্রিঃ, ৩০ অগ্রহায়ন ১৪৩২ বাংলা, ২৩ জমা-সানি ১৪৪৭ হিজরি </t>
  </si>
  <si>
    <t xml:space="preserve">   সিরিয়াল নংঃ     ৩১২</t>
  </si>
  <si>
    <t>১৫-১২-২০২৫ তারিখে মূল্য বৃদ্ধি পেয়েছে।</t>
  </si>
  <si>
    <t>(২ )   সয়াবিন তেল (২লিঃ বোতল), মসুর ডাল (বড়), মুরগী ব্রয়লার, চিনি   এর মূল্য বৃদ্ধি পেয়েছে।</t>
  </si>
  <si>
    <t>(১ )    পাম অয়েল লুজ, ছোলা, আলু, পেঁয়াজ (দেশী)    এর মূল্য হ্রাস পেয়েছে।</t>
  </si>
  <si>
    <t>১৫-১২-২০২৫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</si>
</sst>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30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4"/>
      <color theme="1"/>
      <name val="NikoshBAN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16" fillId="0" borderId="12" xfId="3" applyFont="1" applyBorder="1" applyAlignment="1">
      <alignment vertical="center"/>
    </xf>
    <xf numFmtId="167" fontId="27" fillId="0" borderId="2" xfId="1" applyNumberFormat="1" applyFont="1" applyFill="1" applyBorder="1" applyAlignment="1">
      <alignment horizontal="center" vertical="center"/>
    </xf>
    <xf numFmtId="0" fontId="28" fillId="0" borderId="1" xfId="3" applyFont="1" applyBorder="1" applyAlignment="1">
      <alignment horizontal="left" vertical="center"/>
    </xf>
    <xf numFmtId="0" fontId="29" fillId="0" borderId="0" xfId="3" applyFont="1" applyAlignment="1">
      <alignment horizontal="left" vertical="center"/>
    </xf>
    <xf numFmtId="166" fontId="29" fillId="0" borderId="0" xfId="1" applyNumberFormat="1" applyFont="1" applyBorder="1" applyAlignment="1">
      <alignment horizontal="center"/>
    </xf>
    <xf numFmtId="0" fontId="29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6" zoomScale="96" zoomScaleNormal="96" workbookViewId="0">
      <selection activeCell="H88" sqref="H8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9" t="s">
        <v>128</v>
      </c>
      <c r="L4" s="90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46006</v>
      </c>
    </row>
    <row r="7" spans="1:12" ht="21.75">
      <c r="A7" s="25" t="s">
        <v>4</v>
      </c>
      <c r="B7" s="26" t="s">
        <v>5</v>
      </c>
      <c r="C7" s="89" t="s">
        <v>6</v>
      </c>
      <c r="D7" s="90"/>
      <c r="E7" s="89" t="s">
        <v>7</v>
      </c>
      <c r="F7" s="90"/>
      <c r="G7" s="89" t="s">
        <v>8</v>
      </c>
      <c r="H7" s="90"/>
      <c r="I7" s="26" t="s">
        <v>9</v>
      </c>
      <c r="J7" s="89" t="s">
        <v>10</v>
      </c>
      <c r="K7" s="90"/>
      <c r="L7" s="27" t="s">
        <v>11</v>
      </c>
    </row>
    <row r="8" spans="1:12" ht="21.75">
      <c r="A8" s="25"/>
      <c r="B8" s="26"/>
      <c r="C8" s="91">
        <v>46006</v>
      </c>
      <c r="D8" s="90"/>
      <c r="E8" s="91">
        <v>45999</v>
      </c>
      <c r="F8" s="90"/>
      <c r="G8" s="91">
        <v>45976</v>
      </c>
      <c r="H8" s="90"/>
      <c r="I8" s="26" t="s">
        <v>12</v>
      </c>
      <c r="J8" s="91">
        <v>45641</v>
      </c>
      <c r="K8" s="90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58</v>
      </c>
      <c r="K11" s="29">
        <v>63</v>
      </c>
      <c r="L11" s="31">
        <f>((C11+D11)/2-(J11+K11)/2)/((J11+K11)/2)*100</f>
        <v>4.1322314049586781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0</v>
      </c>
      <c r="J19" s="29">
        <v>163</v>
      </c>
      <c r="K19" s="29">
        <v>165</v>
      </c>
      <c r="L19" s="31">
        <f t="shared" ref="L19:L25" si="1">((C19+D19)/2-(J19+K19)/2)/((J19+K19)/2)*100</f>
        <v>6.7073170731707323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375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</v>
      </c>
      <c r="J23" s="29">
        <v>156</v>
      </c>
      <c r="K23" s="29">
        <v>157</v>
      </c>
      <c r="L23" s="31">
        <f t="shared" si="1"/>
        <v>-0.31948881789137379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85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.75">
      <c r="A32" s="69" t="s">
        <v>41</v>
      </c>
      <c r="B32" s="6" t="s">
        <v>18</v>
      </c>
      <c r="C32" s="29">
        <v>90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-4.7619047619047619</v>
      </c>
      <c r="J32" s="29">
        <v>125</v>
      </c>
      <c r="K32" s="29">
        <v>135</v>
      </c>
      <c r="L32" s="31">
        <f t="shared" si="3"/>
        <v>-23.076923076923077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25</v>
      </c>
      <c r="F33" s="29">
        <v>40</v>
      </c>
      <c r="G33" s="29">
        <v>20</v>
      </c>
      <c r="H33" s="29">
        <v>25</v>
      </c>
      <c r="I33" s="30">
        <f t="shared" si="2"/>
        <v>11.111111111111111</v>
      </c>
      <c r="J33" s="29">
        <v>65</v>
      </c>
      <c r="K33" s="29">
        <v>80</v>
      </c>
      <c r="L33" s="31">
        <f t="shared" si="3"/>
        <v>-65.517241379310349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5" t="s">
        <v>120</v>
      </c>
      <c r="B35" s="6" t="s">
        <v>18</v>
      </c>
      <c r="C35" s="29">
        <v>80</v>
      </c>
      <c r="D35" s="29">
        <v>120</v>
      </c>
      <c r="E35" s="29">
        <v>100</v>
      </c>
      <c r="F35" s="29">
        <v>150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80</v>
      </c>
      <c r="K35" s="29">
        <v>125</v>
      </c>
      <c r="L35" s="31">
        <f t="shared" ref="L35:L50" si="5">((C35+D35)/2-(J35+K35)/2)/((J35+K35)/2)*100</f>
        <v>-2.4390243902439024</v>
      </c>
    </row>
    <row r="36" spans="1:12" ht="21.75">
      <c r="A36" s="69" t="s">
        <v>43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-100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60</v>
      </c>
      <c r="F37" s="29">
        <v>140</v>
      </c>
      <c r="G37" s="29">
        <v>80</v>
      </c>
      <c r="H37" s="29">
        <v>150</v>
      </c>
      <c r="I37" s="30">
        <f t="shared" si="4"/>
        <v>-4.3478260869565215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150</v>
      </c>
      <c r="D43" s="29">
        <v>200</v>
      </c>
      <c r="E43" s="29">
        <v>140</v>
      </c>
      <c r="F43" s="29">
        <v>170</v>
      </c>
      <c r="G43" s="29">
        <v>150</v>
      </c>
      <c r="H43" s="29">
        <v>180</v>
      </c>
      <c r="I43" s="30">
        <f t="shared" si="4"/>
        <v>6.0606060606060606</v>
      </c>
      <c r="J43" s="29">
        <v>450</v>
      </c>
      <c r="K43" s="29">
        <v>500</v>
      </c>
      <c r="L43" s="31">
        <f t="shared" si="5"/>
        <v>-63.157894736842103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1300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145</v>
      </c>
      <c r="F56" s="29">
        <v>170</v>
      </c>
      <c r="G56" s="29">
        <v>170</v>
      </c>
      <c r="H56" s="29">
        <v>185</v>
      </c>
      <c r="I56" s="30">
        <f t="shared" si="6"/>
        <v>-9.8591549295774641</v>
      </c>
      <c r="J56" s="29">
        <v>170</v>
      </c>
      <c r="K56" s="29">
        <v>200</v>
      </c>
      <c r="L56" s="31">
        <f t="shared" si="7"/>
        <v>-13.513513513513514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9" t="s">
        <v>6</v>
      </c>
      <c r="D66" s="90"/>
      <c r="E66" s="89" t="s">
        <v>7</v>
      </c>
      <c r="F66" s="90"/>
      <c r="G66" s="89" t="s">
        <v>8</v>
      </c>
      <c r="H66" s="90"/>
      <c r="I66" s="26" t="s">
        <v>9</v>
      </c>
      <c r="J66" s="89" t="s">
        <v>10</v>
      </c>
      <c r="K66" s="90"/>
      <c r="L66" s="26" t="s">
        <v>11</v>
      </c>
    </row>
    <row r="67" spans="1:12" ht="18" customHeight="1">
      <c r="A67" s="73"/>
      <c r="B67" s="64"/>
      <c r="C67" s="91">
        <v>46006</v>
      </c>
      <c r="D67" s="90"/>
      <c r="E67" s="91">
        <v>45999</v>
      </c>
      <c r="F67" s="90"/>
      <c r="G67" s="91">
        <v>45976</v>
      </c>
      <c r="H67" s="90"/>
      <c r="I67" s="26" t="s">
        <v>12</v>
      </c>
      <c r="J67" s="91">
        <v>45641</v>
      </c>
      <c r="K67" s="90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95</v>
      </c>
      <c r="D69" s="29">
        <v>110</v>
      </c>
      <c r="E69" s="29">
        <v>90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43</v>
      </c>
      <c r="H72" s="37">
        <v>50</v>
      </c>
      <c r="I72" s="30">
        <f t="shared" si="9"/>
        <v>-12.903225806451612</v>
      </c>
      <c r="J72" s="37">
        <v>47</v>
      </c>
      <c r="K72" s="37">
        <v>50</v>
      </c>
      <c r="L72" s="31">
        <f t="shared" si="8"/>
        <v>-16.494845360824741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0</v>
      </c>
      <c r="J74" s="29">
        <v>84000</v>
      </c>
      <c r="K74" s="29">
        <v>85000</v>
      </c>
      <c r="L74" s="31">
        <f t="shared" si="8"/>
        <v>-1.1834319526627219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2" t="s">
        <v>124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4" t="s">
        <v>6</v>
      </c>
      <c r="D82" s="95"/>
      <c r="E82" s="96" t="s">
        <v>82</v>
      </c>
      <c r="F82" s="97"/>
      <c r="G82" s="77" t="s">
        <v>12</v>
      </c>
      <c r="H82" s="94" t="s">
        <v>83</v>
      </c>
      <c r="I82" s="98"/>
      <c r="J82" s="95"/>
      <c r="K82" s="50"/>
      <c r="L82" s="17"/>
    </row>
    <row r="83" spans="1:12" ht="21.75">
      <c r="A83" s="69" t="s">
        <v>29</v>
      </c>
      <c r="B83" s="6" t="s">
        <v>31</v>
      </c>
      <c r="C83" s="29">
        <v>378</v>
      </c>
      <c r="D83" s="29">
        <v>395</v>
      </c>
      <c r="E83" s="29">
        <v>375</v>
      </c>
      <c r="F83" s="29">
        <v>395</v>
      </c>
      <c r="G83" s="84">
        <f t="shared" ref="G83:G85" si="10">((C83+D83)/2-(E83+F83)/2)/((E83+F83)/2)*100</f>
        <v>0.38961038961038963</v>
      </c>
      <c r="H83" s="5" t="s">
        <v>122</v>
      </c>
      <c r="I83" s="6"/>
      <c r="J83" s="6"/>
      <c r="K83" s="83"/>
      <c r="L83" s="17"/>
    </row>
    <row r="84" spans="1:12" ht="21.75">
      <c r="A84" s="69" t="s">
        <v>33</v>
      </c>
      <c r="B84" s="6" t="s">
        <v>28</v>
      </c>
      <c r="C84" s="29">
        <v>150</v>
      </c>
      <c r="D84" s="29">
        <v>162</v>
      </c>
      <c r="E84" s="29">
        <v>152</v>
      </c>
      <c r="F84" s="29">
        <v>162</v>
      </c>
      <c r="G84" s="7">
        <f t="shared" si="10"/>
        <v>-0.63694267515923575</v>
      </c>
      <c r="H84" s="5" t="s">
        <v>125</v>
      </c>
      <c r="I84" s="6"/>
      <c r="J84" s="6"/>
      <c r="K84" s="50"/>
      <c r="L84" s="17"/>
    </row>
    <row r="85" spans="1:12" ht="21.75">
      <c r="A85" s="69" t="s">
        <v>37</v>
      </c>
      <c r="B85" s="6" t="s">
        <v>18</v>
      </c>
      <c r="C85" s="29">
        <v>90</v>
      </c>
      <c r="D85" s="29">
        <v>100</v>
      </c>
      <c r="E85" s="29">
        <v>85</v>
      </c>
      <c r="F85" s="29">
        <v>100</v>
      </c>
      <c r="G85" s="7">
        <f t="shared" si="10"/>
        <v>2.7027027027027026</v>
      </c>
      <c r="H85" s="5" t="s">
        <v>129</v>
      </c>
      <c r="I85" s="6"/>
      <c r="J85" s="6"/>
      <c r="K85" s="50"/>
      <c r="L85" s="17"/>
    </row>
    <row r="86" spans="1:12" ht="21.75">
      <c r="A86" s="69" t="s">
        <v>41</v>
      </c>
      <c r="B86" s="6" t="s">
        <v>18</v>
      </c>
      <c r="C86" s="29">
        <v>90</v>
      </c>
      <c r="D86" s="29">
        <v>110</v>
      </c>
      <c r="E86" s="29">
        <v>95</v>
      </c>
      <c r="F86" s="29">
        <v>110</v>
      </c>
      <c r="G86" s="7">
        <f t="shared" ref="G86:G90" si="11">((C86+D86)/2-(E86+F86)/2)/((E86+F86)/2)*100</f>
        <v>-2.4390243902439024</v>
      </c>
      <c r="H86" s="5" t="s">
        <v>125</v>
      </c>
      <c r="I86" s="6"/>
      <c r="J86" s="6"/>
      <c r="K86" s="50"/>
      <c r="L86" s="17"/>
    </row>
    <row r="87" spans="1:12" ht="21.75">
      <c r="A87" s="69" t="s">
        <v>117</v>
      </c>
      <c r="B87" s="6" t="s">
        <v>18</v>
      </c>
      <c r="C87" s="29">
        <v>20</v>
      </c>
      <c r="D87" s="29">
        <v>30</v>
      </c>
      <c r="E87" s="29">
        <v>25</v>
      </c>
      <c r="F87" s="29">
        <v>40</v>
      </c>
      <c r="G87" s="7">
        <f t="shared" si="11"/>
        <v>-23.076923076923077</v>
      </c>
      <c r="H87" s="5" t="s">
        <v>123</v>
      </c>
      <c r="I87" s="6"/>
      <c r="J87" s="6"/>
      <c r="K87" s="50"/>
      <c r="L87" s="17"/>
    </row>
    <row r="88" spans="1:12" ht="21.75">
      <c r="A88" s="85" t="s">
        <v>120</v>
      </c>
      <c r="B88" s="6" t="s">
        <v>18</v>
      </c>
      <c r="C88" s="29">
        <v>80</v>
      </c>
      <c r="D88" s="29">
        <v>120</v>
      </c>
      <c r="E88" s="29">
        <v>100</v>
      </c>
      <c r="F88" s="29">
        <v>150</v>
      </c>
      <c r="G88" s="7">
        <f t="shared" si="11"/>
        <v>-20</v>
      </c>
      <c r="H88" s="5" t="s">
        <v>132</v>
      </c>
      <c r="I88" s="6"/>
      <c r="J88" s="6"/>
      <c r="K88" s="50"/>
      <c r="L88" s="17"/>
    </row>
    <row r="89" spans="1:12" ht="21.75">
      <c r="A89" s="69" t="s">
        <v>61</v>
      </c>
      <c r="B89" s="6" t="s">
        <v>18</v>
      </c>
      <c r="C89" s="29">
        <v>150</v>
      </c>
      <c r="D89" s="29">
        <v>170</v>
      </c>
      <c r="E89" s="29">
        <v>145</v>
      </c>
      <c r="F89" s="29">
        <v>170</v>
      </c>
      <c r="G89" s="7">
        <f t="shared" si="11"/>
        <v>1.5873015873015872</v>
      </c>
      <c r="H89" s="5" t="s">
        <v>129</v>
      </c>
      <c r="I89" s="6"/>
      <c r="J89" s="6"/>
      <c r="K89" s="50"/>
      <c r="L89" s="17"/>
    </row>
    <row r="90" spans="1:12" ht="24.75">
      <c r="A90" s="69" t="s">
        <v>70</v>
      </c>
      <c r="B90" s="6" t="s">
        <v>18</v>
      </c>
      <c r="C90" s="29">
        <v>95</v>
      </c>
      <c r="D90" s="29">
        <v>110</v>
      </c>
      <c r="E90" s="29">
        <v>90</v>
      </c>
      <c r="F90" s="29">
        <v>110</v>
      </c>
      <c r="G90" s="7">
        <f t="shared" si="11"/>
        <v>2.5</v>
      </c>
      <c r="H90" s="5" t="s">
        <v>121</v>
      </c>
      <c r="I90" s="6"/>
      <c r="J90" s="6"/>
      <c r="K90" s="40"/>
      <c r="L90" s="11"/>
    </row>
    <row r="91" spans="1:12" ht="24.75">
      <c r="A91" s="72"/>
      <c r="B91" s="3"/>
      <c r="C91" s="78"/>
      <c r="D91" s="78"/>
      <c r="E91" s="78"/>
      <c r="F91" s="78"/>
      <c r="G91" s="38"/>
      <c r="H91" s="39"/>
      <c r="I91" s="40"/>
      <c r="J91" s="40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112</v>
      </c>
      <c r="C94" s="10"/>
      <c r="E94" s="86"/>
      <c r="F94" s="87" t="s">
        <v>115</v>
      </c>
      <c r="G94" s="88"/>
      <c r="I94" s="12"/>
      <c r="J94" s="13" t="s">
        <v>118</v>
      </c>
      <c r="K94" s="10"/>
    </row>
    <row r="95" spans="1:12" ht="24.75">
      <c r="A95" s="43"/>
      <c r="B95" s="42" t="s">
        <v>113</v>
      </c>
      <c r="C95" s="13"/>
      <c r="E95" s="43"/>
      <c r="F95" s="87" t="s">
        <v>116</v>
      </c>
      <c r="G95" s="88"/>
      <c r="I95" s="76"/>
      <c r="J95" s="13" t="s">
        <v>119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2025-12-15T07:52:51Z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