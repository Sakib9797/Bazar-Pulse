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8_{EE937E2E-1ED1-1F4E-90A6-10F35D5F5E4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4" l="1"/>
  <c r="G90" i="4"/>
  <c r="G95" i="4"/>
  <c r="G86" i="4"/>
  <c r="G84" i="4"/>
  <c r="G87" i="4"/>
  <c r="G92" i="4"/>
  <c r="G94" i="4"/>
  <c r="G91" i="4"/>
  <c r="G89" i="4"/>
  <c r="G88" i="4"/>
  <c r="G83" i="4"/>
  <c r="G9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<sst xmlns="http://schemas.openxmlformats.org/spreadsheetml/2006/main" count="252" uniqueCount="141">
  <si>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</si>
  <si>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</si>
  <si>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</si>
  <si>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</si>
  <si>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</si>
  <si>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</si>
  <si>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</si>
  <si>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</si>
  <si>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</si>
  <si>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</si>
  <si>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</si>
  <si>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</si>
  <si>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</si>
  <si>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</si>
  <si>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</si>
  <si>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</si>
  <si>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</si>
  <si>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</si>
  <si>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</si>
  <si>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</si>
  <si>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</si>
  <si>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</si>
  <si>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</si>
  <si>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</si>
  <si>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</si>
  <si>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</si>
  <si>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</si>
  <si>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</si>
  <si>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</si>
  <si>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</si>
  <si>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</si>
  <si>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</si>
  <si>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</si>
  <si>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</si>
  <si>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</si>
  <si>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</si>
  <si>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</si>
  <si>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</si>
  <si>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</si>
  <si>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</si>
  <si>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</si>
  <si>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</si>
  <si>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</si>
  <si>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</si>
  <si>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</si>
  <si>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</si>
  <si>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</si>
  <si>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</si>
  <si>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</si>
  <si>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</si>
  <si>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</si>
  <si>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</si>
  <si>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</si>
  <si>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</si>
  <si>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</si>
  <si>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</si>
  <si>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</si>
  <si>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</si>
  <si>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</si>
  <si>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</si>
  <si>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</si>
  <si>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</si>
  <si>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</si>
  <si>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</si>
  <si>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</si>
  <si>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</si>
  <si>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</si>
  <si>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</si>
  <si>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</si>
  <si>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</si>
  <si>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</si>
  <si>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</si>
  <si>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</si>
  <si>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</si>
  <si>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</si>
  <si>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</si>
  <si>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</si>
  <si>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</si>
  <si>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</si>
  <si>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</si>
  <si>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</si>
  <si>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</si>
  <si>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</si>
  <si>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</si>
  <si>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</si>
  <si>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</si>
  <si>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</si>
  <si>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</si>
  <si>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</si>
  <si>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</si>
  <si>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</si>
  <si>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</si>
  <si>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</si>
  <si>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</si>
  <si>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</si>
  <si>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</si>
  <si>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</si>
  <si>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</si>
  <si>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</si>
  <si>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</si>
  <si>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</si>
  <si>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</si>
  <si>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</si>
  <si>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</si>
  <si>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</si>
  <si>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</si>
  <si>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</si>
  <si>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</si>
  <si>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</si>
  <si>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</si>
  <si>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</si>
  <si>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</si>
  <si>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</si>
  <si>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</si>
  <si>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</si>
  <si>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</si>
  <si>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</si>
  <si>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</si>
  <si>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</si>
  <si>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(৩)  অন্যান্য পণ্যের মূল্য অপরিবর্তীত রয়েছে।</t>
  </si>
  <si>
    <t>৩০-১১-২০২৫ তারিখে মূল্য হ্রাস পেয়েছে।</t>
  </si>
  <si>
    <t>(জামাল উদ্দিন আহমেদ)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</si>
  <si>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</si>
  <si>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</si>
  <si>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</si>
  <si>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০১-১২-২০২৫ তারিখে মূল্য হ্রাস পেয়েছে।</t>
  </si>
  <si>
    <t>০২-১২-২০২৫ তারিখে মূল্য হ্রাস পেয়েছে।</t>
  </si>
  <si>
    <t>০৩-১২-২০২৫ তারিখে মূল্য হ্রাস পেয়েছে।</t>
  </si>
  <si>
    <t xml:space="preserve">০৩-১২-২০২৫ তারিখে মূল্য বৃদ্ধি পেয়েছে এবং </t>
  </si>
  <si>
    <t>কাওরান বাজার ও বনানী বাজারে পাওয়া যাচ্ছে।</t>
  </si>
  <si>
    <t xml:space="preserve">অধিক মূল্যের বোতলজাত সয়াবিন তেল </t>
  </si>
  <si>
    <t xml:space="preserve">   সিরিয়াল নংঃ     ৩০৩</t>
  </si>
  <si>
    <t>স্মারক নং-২৬.০৫.০০০০.০১৭.৩১.০১.২৫-৮৮৪</t>
  </si>
  <si>
    <t xml:space="preserve">শনিবার ০৬ ডিসেম্বর ২০২৫ খ্রিঃ, ২১ অগ্রহায়ন ১৪৩২ বাংলা, ১৪ জমা-সানি ১৪৪৭ হিজরি </t>
  </si>
  <si>
    <t>০৬-১২-২০২৫ তারিখে মূল্য বৃদ্ধি পেয়েছে।</t>
  </si>
  <si>
    <t>০৬-১২-২০২৫ তারিখে মূল্য হ্রাস পেয়েছে।</t>
  </si>
  <si>
    <t>(২ )   সয়াবিন তেল (১লিঃ, ২লিঃ, ৫লিঃ বোতল), পেঁয়াজ (দেশী),   এর মূল্য বৃদ্ধি পেয়েছে।</t>
  </si>
  <si>
    <t>(১ )   চাল (মাঝারী), মসুর ডাল (বড়), ছোলা, রশুন (দেশী), জিরা, ধনে, এলাচ, মুরগী ব্রয়লার,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</si>
</sst>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31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2"/>
      <color indexed="8"/>
      <name val="NikoshBAN"/>
    </font>
    <font>
      <b/>
      <sz val="13"/>
      <color theme="1"/>
      <name val="NikoshBAN"/>
    </font>
    <font>
      <b/>
      <sz val="14"/>
      <color theme="1"/>
      <name val="NikoshBAN"/>
    </font>
    <font>
      <b/>
      <sz val="12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8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27" fillId="0" borderId="0" xfId="3" applyFont="1" applyAlignment="1">
      <alignment vertical="top"/>
    </xf>
    <xf numFmtId="0" fontId="16" fillId="0" borderId="12" xfId="3" applyFont="1" applyBorder="1" applyAlignment="1">
      <alignment vertical="center"/>
    </xf>
    <xf numFmtId="0" fontId="28" fillId="0" borderId="1" xfId="3" applyFont="1" applyBorder="1" applyAlignment="1">
      <alignment horizontal="left" vertical="center"/>
    </xf>
    <xf numFmtId="0" fontId="29" fillId="0" borderId="1" xfId="3" applyFont="1" applyBorder="1" applyAlignment="1">
      <alignment horizontal="center" vertical="center"/>
    </xf>
    <xf numFmtId="168" fontId="29" fillId="0" borderId="1" xfId="1" applyNumberFormat="1" applyFont="1" applyFill="1" applyBorder="1" applyAlignment="1">
      <alignment horizontal="center" vertical="center"/>
    </xf>
    <xf numFmtId="168" fontId="29" fillId="0" borderId="2" xfId="1" applyNumberFormat="1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0" fillId="0" borderId="12" xfId="3" applyFont="1" applyBorder="1" applyAlignment="1">
      <alignment horizontal="center" vertical="top"/>
    </xf>
    <xf numFmtId="0" fontId="30" fillId="0" borderId="0" xfId="3" applyFont="1" applyAlignment="1">
      <alignment horizontal="center" vertical="top"/>
    </xf>
    <xf numFmtId="0" fontId="30" fillId="0" borderId="8" xfId="3" applyFont="1" applyBorder="1" applyAlignment="1">
      <alignment horizontal="center" vertical="top"/>
    </xf>
    <xf numFmtId="0" fontId="30" fillId="0" borderId="9" xfId="3" applyFont="1" applyBorder="1" applyAlignment="1">
      <alignment horizontal="center" vertical="top"/>
    </xf>
    <xf numFmtId="0" fontId="30" fillId="0" borderId="13" xfId="3" applyFont="1" applyBorder="1" applyAlignment="1">
      <alignment horizontal="center" vertical="top"/>
    </xf>
    <xf numFmtId="0" fontId="30" fillId="0" borderId="7" xfId="3" applyFont="1" applyBorder="1" applyAlignment="1">
      <alignment horizontal="center" vertical="top"/>
    </xf>
    <xf numFmtId="0" fontId="30" fillId="0" borderId="6" xfId="3" applyFont="1" applyBorder="1" applyAlignment="1">
      <alignment horizontal="center" vertical="top"/>
    </xf>
    <xf numFmtId="0" fontId="30" fillId="0" borderId="14" xfId="3" applyFont="1" applyBorder="1" applyAlignment="1">
      <alignment horizontal="center" vertical="top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22"/>
  <sheetViews>
    <sheetView tabSelected="1" topLeftCell="F1" zoomScale="96" zoomScaleNormal="96" workbookViewId="0">
      <selection activeCell="B78" sqref="B7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90" t="s">
        <v>131</v>
      </c>
      <c r="L4" s="91"/>
    </row>
    <row r="5" spans="1:12" ht="19.5" customHeight="1" x14ac:dyDescent="0.25">
      <c r="A5" s="17"/>
      <c r="B5" s="8"/>
      <c r="C5" s="8"/>
      <c r="D5" s="17"/>
      <c r="E5" s="8"/>
      <c r="F5" s="8" t="s">
        <v>133</v>
      </c>
      <c r="G5" s="8"/>
      <c r="H5" s="8"/>
      <c r="I5" s="8"/>
      <c r="J5" s="8"/>
      <c r="K5" s="8"/>
      <c r="L5" s="49"/>
    </row>
    <row r="6" spans="1:12" ht="21" x14ac:dyDescent="0.25">
      <c r="A6" s="20" t="s">
        <v>132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45997</v>
      </c>
    </row>
    <row r="7" spans="1:12" ht="21" x14ac:dyDescent="0.25">
      <c r="A7" s="25" t="s">
        <v>4</v>
      </c>
      <c r="B7" s="26" t="s">
        <v>5</v>
      </c>
      <c r="C7" s="90" t="s">
        <v>6</v>
      </c>
      <c r="D7" s="91"/>
      <c r="E7" s="90" t="s">
        <v>7</v>
      </c>
      <c r="F7" s="91"/>
      <c r="G7" s="90" t="s">
        <v>8</v>
      </c>
      <c r="H7" s="91"/>
      <c r="I7" s="26" t="s">
        <v>9</v>
      </c>
      <c r="J7" s="90" t="s">
        <v>10</v>
      </c>
      <c r="K7" s="91"/>
      <c r="L7" s="27" t="s">
        <v>11</v>
      </c>
    </row>
    <row r="8" spans="1:12" ht="21" x14ac:dyDescent="0.25">
      <c r="A8" s="25"/>
      <c r="B8" s="26"/>
      <c r="C8" s="92">
        <v>45997</v>
      </c>
      <c r="D8" s="91"/>
      <c r="E8" s="92">
        <v>45990</v>
      </c>
      <c r="F8" s="91"/>
      <c r="G8" s="92">
        <v>45967</v>
      </c>
      <c r="H8" s="91"/>
      <c r="I8" s="26" t="s">
        <v>12</v>
      </c>
      <c r="J8" s="92">
        <v>45632</v>
      </c>
      <c r="K8" s="91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68</v>
      </c>
      <c r="E11" s="29">
        <v>58</v>
      </c>
      <c r="F11" s="29">
        <v>70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900</v>
      </c>
      <c r="F20" s="29">
        <v>925</v>
      </c>
      <c r="G20" s="29">
        <v>910</v>
      </c>
      <c r="H20" s="29">
        <v>925</v>
      </c>
      <c r="I20" s="30">
        <f t="shared" si="0"/>
        <v>2.7247956403269753</v>
      </c>
      <c r="J20" s="29">
        <v>815</v>
      </c>
      <c r="K20" s="29">
        <v>818</v>
      </c>
      <c r="L20" s="31">
        <f t="shared" si="1"/>
        <v>15.43172075933864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396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1.4473684210526316</v>
      </c>
      <c r="J21" s="29">
        <v>330</v>
      </c>
      <c r="K21" s="29">
        <v>340</v>
      </c>
      <c r="L21" s="31">
        <f t="shared" si="1"/>
        <v>15.074626865671641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0.78125</v>
      </c>
      <c r="J22" s="29">
        <v>167</v>
      </c>
      <c r="K22" s="29">
        <v>170</v>
      </c>
      <c r="L22" s="31">
        <f t="shared" si="1"/>
        <v>14.836795252225517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157</v>
      </c>
      <c r="K23" s="29">
        <v>159</v>
      </c>
      <c r="L23" s="31">
        <f t="shared" si="1"/>
        <v>-0.63291139240506333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162</v>
      </c>
      <c r="K24" s="29">
        <v>163</v>
      </c>
      <c r="L24" s="31">
        <f t="shared" si="1"/>
        <v>-1.5384615384615385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85</v>
      </c>
      <c r="D27" s="29">
        <v>110</v>
      </c>
      <c r="E27" s="29">
        <v>90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-2.5</v>
      </c>
      <c r="J27" s="29">
        <v>105</v>
      </c>
      <c r="K27" s="29">
        <v>110</v>
      </c>
      <c r="L27" s="31">
        <f t="shared" ref="L27:L33" si="3">((C27+D27)/2-(J27+K27)/2)/((J27+K27)/2)*100</f>
        <v>-9.3023255813953494</v>
      </c>
    </row>
    <row r="28" spans="1:12" ht="21" x14ac:dyDescent="0.3">
      <c r="A28" s="69" t="s">
        <v>110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" x14ac:dyDescent="0.3">
      <c r="A32" s="69" t="s">
        <v>41</v>
      </c>
      <c r="B32" s="6" t="s">
        <v>18</v>
      </c>
      <c r="C32" s="29">
        <v>95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140</v>
      </c>
      <c r="L32" s="31">
        <f t="shared" si="3"/>
        <v>-22.641509433962266</v>
      </c>
    </row>
    <row r="33" spans="1:12" ht="21" x14ac:dyDescent="0.3">
      <c r="A33" s="69" t="s">
        <v>42</v>
      </c>
      <c r="B33" s="6" t="s">
        <v>18</v>
      </c>
      <c r="C33" s="29">
        <v>25</v>
      </c>
      <c r="D33" s="29">
        <v>30</v>
      </c>
      <c r="E33" s="29">
        <v>25</v>
      </c>
      <c r="F33" s="29">
        <v>30</v>
      </c>
      <c r="G33" s="29">
        <v>18</v>
      </c>
      <c r="H33" s="29">
        <v>25</v>
      </c>
      <c r="I33" s="30">
        <f t="shared" si="2"/>
        <v>27.906976744186046</v>
      </c>
      <c r="J33" s="29">
        <v>75</v>
      </c>
      <c r="K33" s="29">
        <v>80</v>
      </c>
      <c r="L33" s="31">
        <f t="shared" si="3"/>
        <v>-64.516129032258064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130</v>
      </c>
      <c r="D35" s="29">
        <v>150</v>
      </c>
      <c r="E35" s="29">
        <v>100</v>
      </c>
      <c r="F35" s="29">
        <v>120</v>
      </c>
      <c r="G35" s="29">
        <v>110</v>
      </c>
      <c r="H35" s="29">
        <v>120</v>
      </c>
      <c r="I35" s="30">
        <f t="shared" ref="I35:I50" si="4">((C35+D35)/2-(G35+H35)/2)/((G35+H35)/2)*100</f>
        <v>21.739130434782609</v>
      </c>
      <c r="J35" s="29">
        <v>115</v>
      </c>
      <c r="K35" s="29">
        <v>130</v>
      </c>
      <c r="L35" s="31">
        <f t="shared" ref="L35:L50" si="5">((C35+D35)/2-(J35+K35)/2)/((J35+K35)/2)*100</f>
        <v>14.285714285714285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60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240</v>
      </c>
      <c r="K37" s="29">
        <v>280</v>
      </c>
      <c r="L37" s="31">
        <f t="shared" si="5"/>
        <v>-61.53846153846154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150</v>
      </c>
      <c r="H38" s="29">
        <v>200</v>
      </c>
      <c r="I38" s="30">
        <f t="shared" si="4"/>
        <v>2.8571428571428572</v>
      </c>
      <c r="J38" s="29">
        <v>230</v>
      </c>
      <c r="K38" s="29">
        <v>250</v>
      </c>
      <c r="L38" s="31">
        <f t="shared" si="5"/>
        <v>-25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140</v>
      </c>
      <c r="D43" s="29">
        <v>170</v>
      </c>
      <c r="E43" s="29">
        <v>140</v>
      </c>
      <c r="F43" s="29">
        <v>170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120</v>
      </c>
      <c r="K44" s="29">
        <v>280</v>
      </c>
      <c r="L44" s="31">
        <f t="shared" si="5"/>
        <v>-7.5</v>
      </c>
    </row>
    <row r="45" spans="1:12" ht="21" x14ac:dyDescent="0.3">
      <c r="A45" s="69" t="s">
        <v>53</v>
      </c>
      <c r="B45" s="6" t="s">
        <v>18</v>
      </c>
      <c r="C45" s="29">
        <v>580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56</v>
      </c>
      <c r="B48" s="6" t="s">
        <v>18</v>
      </c>
      <c r="C48" s="29">
        <v>4500</v>
      </c>
      <c r="D48" s="29">
        <v>5500</v>
      </c>
      <c r="E48" s="29">
        <v>4600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" x14ac:dyDescent="0.3">
      <c r="A49" s="69" t="s">
        <v>57</v>
      </c>
      <c r="B49" s="6" t="s">
        <v>18</v>
      </c>
      <c r="C49" s="29">
        <v>180</v>
      </c>
      <c r="D49" s="29">
        <v>280</v>
      </c>
      <c r="E49" s="29">
        <v>190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150</v>
      </c>
      <c r="D56" s="29">
        <v>180</v>
      </c>
      <c r="E56" s="29">
        <v>160</v>
      </c>
      <c r="F56" s="29">
        <v>180</v>
      </c>
      <c r="G56" s="29">
        <v>165</v>
      </c>
      <c r="H56" s="29">
        <v>190</v>
      </c>
      <c r="I56" s="30">
        <f t="shared" si="6"/>
        <v>-7.042253521126761</v>
      </c>
      <c r="J56" s="29">
        <v>175</v>
      </c>
      <c r="K56" s="29">
        <v>200</v>
      </c>
      <c r="L56" s="31">
        <f t="shared" si="7"/>
        <v>-12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90" t="s">
        <v>6</v>
      </c>
      <c r="D66" s="91"/>
      <c r="E66" s="90" t="s">
        <v>7</v>
      </c>
      <c r="F66" s="91"/>
      <c r="G66" s="90" t="s">
        <v>8</v>
      </c>
      <c r="H66" s="91"/>
      <c r="I66" s="26" t="s">
        <v>9</v>
      </c>
      <c r="J66" s="90" t="s">
        <v>10</v>
      </c>
      <c r="K66" s="91"/>
      <c r="L66" s="26" t="s">
        <v>11</v>
      </c>
    </row>
    <row r="67" spans="1:12" ht="18" customHeight="1" x14ac:dyDescent="0.25">
      <c r="A67" s="73"/>
      <c r="B67" s="64"/>
      <c r="C67" s="92">
        <v>45997</v>
      </c>
      <c r="D67" s="91"/>
      <c r="E67" s="92">
        <v>45990</v>
      </c>
      <c r="F67" s="91"/>
      <c r="G67" s="92">
        <v>45967</v>
      </c>
      <c r="H67" s="91"/>
      <c r="I67" s="26" t="s">
        <v>12</v>
      </c>
      <c r="J67" s="92">
        <v>45632</v>
      </c>
      <c r="K67" s="91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90</v>
      </c>
      <c r="D69" s="29">
        <v>110</v>
      </c>
      <c r="E69" s="29">
        <v>90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" x14ac:dyDescent="0.3">
      <c r="A70" s="69" t="s">
        <v>72</v>
      </c>
      <c r="B70" s="66" t="s">
        <v>18</v>
      </c>
      <c r="C70" s="29">
        <v>180</v>
      </c>
      <c r="D70" s="29">
        <v>550</v>
      </c>
      <c r="E70" s="29">
        <v>200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36</v>
      </c>
      <c r="D72" s="37">
        <v>45</v>
      </c>
      <c r="E72" s="37">
        <v>40</v>
      </c>
      <c r="F72" s="37">
        <v>50</v>
      </c>
      <c r="G72" s="37">
        <v>43</v>
      </c>
      <c r="H72" s="37">
        <v>50</v>
      </c>
      <c r="I72" s="30">
        <f t="shared" si="9"/>
        <v>-12.903225806451612</v>
      </c>
      <c r="J72" s="37">
        <v>48</v>
      </c>
      <c r="K72" s="37">
        <v>50</v>
      </c>
      <c r="L72" s="31">
        <f t="shared" si="8"/>
        <v>-17.346938775510203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101" t="s">
        <v>114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137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136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119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" x14ac:dyDescent="0.25">
      <c r="A82" s="5" t="s">
        <v>81</v>
      </c>
      <c r="B82" s="6" t="s">
        <v>82</v>
      </c>
      <c r="C82" s="103" t="s">
        <v>6</v>
      </c>
      <c r="D82" s="104"/>
      <c r="E82" s="105" t="s">
        <v>83</v>
      </c>
      <c r="F82" s="106"/>
      <c r="G82" s="77" t="s">
        <v>12</v>
      </c>
      <c r="H82" s="103" t="s">
        <v>84</v>
      </c>
      <c r="I82" s="107"/>
      <c r="J82" s="104"/>
      <c r="K82" s="50"/>
      <c r="L82" s="17"/>
    </row>
    <row r="83" spans="1:17" ht="21" x14ac:dyDescent="0.3">
      <c r="A83" s="69" t="s">
        <v>105</v>
      </c>
      <c r="B83" s="6" t="s">
        <v>18</v>
      </c>
      <c r="C83" s="29">
        <v>58</v>
      </c>
      <c r="D83" s="29">
        <v>68</v>
      </c>
      <c r="E83" s="29">
        <v>58</v>
      </c>
      <c r="F83" s="29">
        <v>70</v>
      </c>
      <c r="G83" s="7">
        <f t="shared" ref="G83:G91" si="10">((C83+D83)/2-(E83+F83)/2)/((E83+F83)/2)*100</f>
        <v>-1.5625</v>
      </c>
      <c r="H83" s="5" t="s">
        <v>125</v>
      </c>
      <c r="I83" s="6"/>
      <c r="J83" s="6"/>
      <c r="K83" s="50"/>
      <c r="L83" s="17"/>
    </row>
    <row r="84" spans="1:17" ht="24.75" customHeight="1" x14ac:dyDescent="0.3">
      <c r="A84" s="86" t="s">
        <v>29</v>
      </c>
      <c r="B84" s="87" t="s">
        <v>30</v>
      </c>
      <c r="C84" s="29">
        <v>920</v>
      </c>
      <c r="D84" s="29">
        <v>965</v>
      </c>
      <c r="E84" s="29">
        <v>900</v>
      </c>
      <c r="F84" s="29">
        <v>925</v>
      </c>
      <c r="G84" s="88">
        <f t="shared" si="10"/>
        <v>3.2876712328767121</v>
      </c>
      <c r="H84" s="95" t="s">
        <v>128</v>
      </c>
      <c r="I84" s="96"/>
      <c r="J84" s="97"/>
      <c r="K84" s="83"/>
      <c r="L84" s="83"/>
      <c r="M84" s="83"/>
      <c r="N84" s="83"/>
      <c r="O84" s="83"/>
      <c r="P84" s="83"/>
      <c r="Q84" s="83"/>
    </row>
    <row r="85" spans="1:17" ht="21" x14ac:dyDescent="0.3">
      <c r="A85" s="86" t="s">
        <v>29</v>
      </c>
      <c r="B85" s="87" t="s">
        <v>31</v>
      </c>
      <c r="C85" s="29">
        <v>375</v>
      </c>
      <c r="D85" s="29">
        <v>396</v>
      </c>
      <c r="E85" s="29">
        <v>375</v>
      </c>
      <c r="F85" s="29">
        <v>385</v>
      </c>
      <c r="G85" s="89">
        <f t="shared" si="10"/>
        <v>1.4473684210526316</v>
      </c>
      <c r="H85" s="93" t="s">
        <v>130</v>
      </c>
      <c r="I85" s="94"/>
      <c r="J85" s="94"/>
      <c r="K85" s="85"/>
      <c r="L85" s="17"/>
    </row>
    <row r="86" spans="1:17" ht="26.25" customHeight="1" x14ac:dyDescent="0.3">
      <c r="A86" s="86" t="s">
        <v>29</v>
      </c>
      <c r="B86" s="87" t="s">
        <v>32</v>
      </c>
      <c r="C86" s="29">
        <v>189</v>
      </c>
      <c r="D86" s="29">
        <v>198</v>
      </c>
      <c r="E86" s="29">
        <v>189</v>
      </c>
      <c r="F86" s="29">
        <v>192</v>
      </c>
      <c r="G86" s="88">
        <f t="shared" si="10"/>
        <v>1.5748031496062991</v>
      </c>
      <c r="H86" s="98" t="s">
        <v>129</v>
      </c>
      <c r="I86" s="99"/>
      <c r="J86" s="100"/>
      <c r="K86" s="84"/>
      <c r="L86" s="84"/>
      <c r="M86" s="84"/>
    </row>
    <row r="87" spans="1:17" ht="21" x14ac:dyDescent="0.3">
      <c r="A87" s="69" t="s">
        <v>37</v>
      </c>
      <c r="B87" s="6" t="s">
        <v>18</v>
      </c>
      <c r="C87" s="29">
        <v>85</v>
      </c>
      <c r="D87" s="29">
        <v>110</v>
      </c>
      <c r="E87" s="29">
        <v>90</v>
      </c>
      <c r="F87" s="29">
        <v>110</v>
      </c>
      <c r="G87" s="7">
        <f t="shared" si="10"/>
        <v>-2.5</v>
      </c>
      <c r="H87" s="5" t="s">
        <v>126</v>
      </c>
      <c r="I87" s="6"/>
      <c r="J87" s="6"/>
      <c r="K87" s="50"/>
      <c r="L87" s="17"/>
    </row>
    <row r="88" spans="1:17" ht="21" x14ac:dyDescent="0.3">
      <c r="A88" s="69" t="s">
        <v>41</v>
      </c>
      <c r="B88" s="6" t="s">
        <v>18</v>
      </c>
      <c r="C88" s="29">
        <v>95</v>
      </c>
      <c r="D88" s="29">
        <v>110</v>
      </c>
      <c r="E88" s="29">
        <v>100</v>
      </c>
      <c r="F88" s="29">
        <v>110</v>
      </c>
      <c r="G88" s="7">
        <f t="shared" si="10"/>
        <v>-2.3809523809523809</v>
      </c>
      <c r="H88" s="5" t="s">
        <v>118</v>
      </c>
      <c r="I88" s="6"/>
      <c r="J88" s="6"/>
      <c r="K88" s="50"/>
      <c r="L88" s="17"/>
    </row>
    <row r="89" spans="1:17" ht="21" x14ac:dyDescent="0.3">
      <c r="A89" s="69" t="s">
        <v>90</v>
      </c>
      <c r="B89" s="6" t="s">
        <v>18</v>
      </c>
      <c r="C89" s="29">
        <v>130</v>
      </c>
      <c r="D89" s="29">
        <v>150</v>
      </c>
      <c r="E89" s="29">
        <v>100</v>
      </c>
      <c r="F89" s="29">
        <v>120</v>
      </c>
      <c r="G89" s="7">
        <f t="shared" si="10"/>
        <v>27.27272727272727</v>
      </c>
      <c r="H89" s="5" t="s">
        <v>134</v>
      </c>
      <c r="I89" s="6"/>
      <c r="J89" s="6"/>
      <c r="K89" s="50"/>
      <c r="L89" s="17"/>
    </row>
    <row r="90" spans="1:17" ht="21" x14ac:dyDescent="0.3">
      <c r="A90" s="69" t="s">
        <v>45</v>
      </c>
      <c r="B90" s="6" t="s">
        <v>18</v>
      </c>
      <c r="C90" s="29">
        <v>60</v>
      </c>
      <c r="D90" s="29">
        <v>140</v>
      </c>
      <c r="E90" s="29">
        <v>80</v>
      </c>
      <c r="F90" s="29">
        <v>140</v>
      </c>
      <c r="G90" s="7">
        <f t="shared" si="10"/>
        <v>-9.0909090909090917</v>
      </c>
      <c r="H90" s="5" t="s">
        <v>125</v>
      </c>
      <c r="I90" s="6"/>
      <c r="J90" s="6"/>
      <c r="K90" s="50"/>
      <c r="L90" s="17"/>
    </row>
    <row r="91" spans="1:17" ht="21" x14ac:dyDescent="0.3">
      <c r="A91" s="69" t="s">
        <v>53</v>
      </c>
      <c r="B91" s="6" t="s">
        <v>18</v>
      </c>
      <c r="C91" s="29">
        <v>580</v>
      </c>
      <c r="D91" s="29">
        <v>750</v>
      </c>
      <c r="E91" s="29">
        <v>600</v>
      </c>
      <c r="F91" s="29">
        <v>750</v>
      </c>
      <c r="G91" s="7">
        <f t="shared" si="10"/>
        <v>-1.4814814814814816</v>
      </c>
      <c r="H91" s="5" t="s">
        <v>127</v>
      </c>
      <c r="I91" s="6"/>
      <c r="J91" s="6"/>
      <c r="K91" s="50"/>
      <c r="L91" s="17"/>
    </row>
    <row r="92" spans="1:17" ht="21" x14ac:dyDescent="0.3">
      <c r="A92" s="69" t="s">
        <v>56</v>
      </c>
      <c r="B92" s="6" t="s">
        <v>18</v>
      </c>
      <c r="C92" s="29">
        <v>4500</v>
      </c>
      <c r="D92" s="29">
        <v>5500</v>
      </c>
      <c r="E92" s="29">
        <v>4600</v>
      </c>
      <c r="F92" s="29">
        <v>5500</v>
      </c>
      <c r="G92" s="7">
        <f t="shared" ref="G92:G94" si="11">((C92+D92)/2-(E92+F92)/2)/((E92+F92)/2)*100</f>
        <v>-0.99009900990099009</v>
      </c>
      <c r="H92" s="5" t="s">
        <v>120</v>
      </c>
      <c r="I92" s="6"/>
      <c r="J92" s="6"/>
      <c r="K92" s="50"/>
      <c r="L92" s="17"/>
    </row>
    <row r="93" spans="1:17" ht="21" x14ac:dyDescent="0.3">
      <c r="A93" s="69" t="s">
        <v>57</v>
      </c>
      <c r="B93" s="6" t="s">
        <v>18</v>
      </c>
      <c r="C93" s="29">
        <v>180</v>
      </c>
      <c r="D93" s="29">
        <v>280</v>
      </c>
      <c r="E93" s="29">
        <v>190</v>
      </c>
      <c r="F93" s="29">
        <v>280</v>
      </c>
      <c r="G93" s="7">
        <f t="shared" si="11"/>
        <v>-2.1276595744680851</v>
      </c>
      <c r="H93" s="5" t="s">
        <v>117</v>
      </c>
      <c r="I93" s="6"/>
      <c r="J93" s="6"/>
      <c r="K93" s="11"/>
      <c r="L93" s="11"/>
    </row>
    <row r="94" spans="1:17" ht="23.25" x14ac:dyDescent="0.3">
      <c r="A94" s="69" t="s">
        <v>62</v>
      </c>
      <c r="B94" s="6" t="s">
        <v>18</v>
      </c>
      <c r="C94" s="29">
        <v>150</v>
      </c>
      <c r="D94" s="29">
        <v>180</v>
      </c>
      <c r="E94" s="29">
        <v>160</v>
      </c>
      <c r="F94" s="29">
        <v>180</v>
      </c>
      <c r="G94" s="7">
        <f t="shared" si="11"/>
        <v>-2.9411764705882351</v>
      </c>
      <c r="H94" s="5" t="s">
        <v>135</v>
      </c>
      <c r="I94" s="6"/>
      <c r="J94" s="6"/>
      <c r="K94" s="40"/>
      <c r="L94" s="11"/>
    </row>
    <row r="95" spans="1:17" ht="23.25" x14ac:dyDescent="0.3">
      <c r="A95" s="69" t="s">
        <v>73</v>
      </c>
      <c r="B95" s="6" t="s">
        <v>74</v>
      </c>
      <c r="C95" s="37">
        <v>36</v>
      </c>
      <c r="D95" s="37">
        <v>45</v>
      </c>
      <c r="E95" s="37">
        <v>40</v>
      </c>
      <c r="F95" s="37">
        <v>50</v>
      </c>
      <c r="G95" s="7">
        <f>((C95+D95)/2-(E95+F95)/2)/((E95+F95)/2)*100</f>
        <v>-10</v>
      </c>
      <c r="H95" s="5" t="s">
        <v>125</v>
      </c>
      <c r="I95" s="6"/>
      <c r="J95" s="6"/>
      <c r="K95" s="40"/>
      <c r="L95" s="11"/>
    </row>
    <row r="96" spans="1:17" ht="23.25" x14ac:dyDescent="0.3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2" ht="23.25" x14ac:dyDescent="0.3">
      <c r="A97" s="1"/>
      <c r="B97" s="3"/>
      <c r="C97" s="82"/>
      <c r="D97" s="82"/>
      <c r="E97" s="8"/>
      <c r="F97" s="82"/>
      <c r="G97" s="38"/>
      <c r="H97" s="39"/>
      <c r="I97" s="40"/>
      <c r="J97" s="40"/>
      <c r="K97" s="40"/>
      <c r="L97" s="11"/>
    </row>
    <row r="98" spans="1:12" ht="23.25" x14ac:dyDescent="0.3">
      <c r="A98" s="1"/>
      <c r="B98" s="13"/>
      <c r="C98" s="14"/>
      <c r="D98" s="14"/>
      <c r="E98" s="13"/>
      <c r="F98" s="14"/>
      <c r="G98" s="38"/>
      <c r="H98" s="39"/>
      <c r="I98" s="40"/>
      <c r="J98" s="40"/>
      <c r="K98" s="40"/>
      <c r="L98" s="11"/>
    </row>
    <row r="99" spans="1:12" ht="23.25" x14ac:dyDescent="0.3">
      <c r="A99" s="41"/>
      <c r="B99" s="42" t="s">
        <v>115</v>
      </c>
      <c r="C99" s="10"/>
      <c r="E99" s="41"/>
      <c r="F99" s="42" t="s">
        <v>121</v>
      </c>
      <c r="G99" s="10"/>
      <c r="I99" s="12"/>
      <c r="J99" s="13" t="s">
        <v>123</v>
      </c>
      <c r="K99" s="10"/>
    </row>
    <row r="100" spans="1:12" ht="23.25" x14ac:dyDescent="0.3">
      <c r="A100" s="43"/>
      <c r="B100" s="42" t="s">
        <v>116</v>
      </c>
      <c r="C100" s="13"/>
      <c r="E100" s="43"/>
      <c r="F100" s="42" t="s">
        <v>122</v>
      </c>
      <c r="G100" s="13"/>
      <c r="I100" s="76"/>
      <c r="J100" s="13" t="s">
        <v>124</v>
      </c>
    </row>
    <row r="101" spans="1:12" ht="23.25" x14ac:dyDescent="0.3">
      <c r="A101" s="1"/>
      <c r="B101" s="13"/>
      <c r="C101" s="14"/>
      <c r="D101" s="13"/>
      <c r="E101" s="14"/>
      <c r="F101" s="44"/>
      <c r="G101" s="46"/>
      <c r="H101" s="46"/>
      <c r="I101" s="45"/>
      <c r="J101" s="10"/>
      <c r="K101" s="10"/>
      <c r="L101" s="2"/>
    </row>
    <row r="102" spans="1:12" ht="18.75" x14ac:dyDescent="0.25">
      <c r="A102" s="55" t="s">
        <v>93</v>
      </c>
      <c r="B102" s="53"/>
      <c r="C102" s="51"/>
      <c r="D102" s="53"/>
      <c r="E102" s="51"/>
      <c r="F102" s="51"/>
      <c r="G102" s="51"/>
      <c r="H102" s="52"/>
      <c r="I102" s="57"/>
      <c r="J102" s="2"/>
      <c r="K102" s="2"/>
      <c r="L102" s="2"/>
    </row>
    <row r="103" spans="1:12" ht="18.75" x14ac:dyDescent="0.25">
      <c r="A103" s="54" t="s">
        <v>99</v>
      </c>
      <c r="B103" s="53"/>
      <c r="C103" s="51"/>
      <c r="D103" s="53"/>
      <c r="E103" s="51"/>
      <c r="F103" s="51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98</v>
      </c>
      <c r="B104" s="53"/>
      <c r="C104" s="53"/>
      <c r="D104" s="53"/>
      <c r="E104" s="53"/>
      <c r="F104" s="51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85</v>
      </c>
      <c r="B105" s="53"/>
      <c r="C105" s="53"/>
      <c r="D105" s="53"/>
      <c r="E105" s="53"/>
      <c r="F105" s="52"/>
      <c r="G105" s="52"/>
      <c r="H105" s="52"/>
      <c r="I105" s="57"/>
      <c r="J105" s="2"/>
      <c r="K105" s="2"/>
      <c r="L105" s="2"/>
    </row>
    <row r="106" spans="1:12" ht="18.75" x14ac:dyDescent="0.25">
      <c r="A106" s="54" t="s">
        <v>97</v>
      </c>
      <c r="B106" s="53"/>
      <c r="C106" s="53"/>
      <c r="D106" s="53"/>
      <c r="E106" s="53"/>
      <c r="F106" s="53"/>
      <c r="G106" s="52"/>
      <c r="H106" s="52"/>
      <c r="I106" s="57"/>
      <c r="J106" s="2"/>
      <c r="K106" s="2"/>
      <c r="L106" s="2"/>
    </row>
    <row r="107" spans="1:12" ht="18.75" x14ac:dyDescent="0.25">
      <c r="A107" s="54" t="s">
        <v>96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107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95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94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86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8.75" x14ac:dyDescent="0.25">
      <c r="A114" s="54" t="s">
        <v>102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8.75" x14ac:dyDescent="0.25">
      <c r="A115" s="54" t="s">
        <v>103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8.75" x14ac:dyDescent="0.25">
      <c r="A116" s="54" t="s">
        <v>87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/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5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8.75" x14ac:dyDescent="0.25">
      <c r="A119" s="54" t="s">
        <v>89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8.75" x14ac:dyDescent="0.25">
      <c r="A120" s="54" t="s">
        <v>113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8.75" x14ac:dyDescent="0.25">
      <c r="A121" s="54" t="s">
        <v>112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8.75" x14ac:dyDescent="0.25">
      <c r="A122" s="54" t="s">
        <v>111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</sheetData>
  <mergeCells count="24">
    <mergeCell ref="H85:J85"/>
    <mergeCell ref="H84:J84"/>
    <mergeCell ref="H86:J86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2025-12-04T10:51:40Z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