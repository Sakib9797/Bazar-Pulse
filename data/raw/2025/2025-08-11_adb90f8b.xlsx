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C523A590-47DA-4D8B-9126-C85D0FF5D6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92" i="4"/>
  <c r="G87" i="4"/>
  <c r="G89" i="4"/>
  <c r="G84" i="4"/>
  <c r="G88" i="4"/>
  <c r="G90" i="4"/>
  <c r="G93" i="4"/>
  <c r="G94" i="4"/>
  <c r="G95" i="4"/>
  <c r="G97" i="4"/>
  <c r="G91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<sst xmlns="http://schemas.openxmlformats.org/spreadsheetml/2006/main" count="253" uniqueCount="131">
  <si>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</si>
  <si>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</si>
  <si>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</si>
  <si>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</si>
  <si>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</si>
  <si>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</si>
  <si>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</si>
  <si>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</si>
  <si>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</si>
  <si>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</si>
  <si>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</si>
  <si>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</si>
  <si>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</si>
  <si>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</si>
  <si>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</si>
  <si>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</si>
  <si>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</si>
  <si>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</si>
  <si>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</si>
  <si>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</si>
  <si>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</si>
  <si>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</si>
  <si>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</si>
  <si>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</si>
  <si>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</si>
  <si>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</si>
  <si>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</si>
  <si>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</si>
  <si>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</si>
  <si>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</si>
  <si>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</si>
  <si>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</si>
  <si>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</si>
  <si>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</si>
  <si>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</si>
  <si>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</si>
  <si>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</si>
  <si>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</si>
  <si>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</si>
  <si>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</si>
  <si>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</si>
  <si>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</si>
  <si>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</si>
  <si>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</si>
  <si>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</si>
  <si>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</si>
  <si>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</si>
  <si>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</si>
  <si>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</si>
  <si>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</si>
  <si>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</si>
  <si>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</si>
  <si>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</si>
  <si>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</si>
  <si>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</si>
  <si>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</si>
  <si>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</si>
  <si>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</si>
  <si>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</si>
  <si>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</si>
  <si>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</si>
  <si>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</si>
  <si>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</si>
  <si>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</si>
  <si>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</si>
  <si>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</si>
  <si>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</si>
  <si>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</si>
  <si>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</si>
  <si>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</si>
  <si>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</si>
  <si>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</si>
  <si>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</si>
  <si>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</si>
  <si>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</si>
  <si>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</si>
  <si>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</si>
  <si>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</si>
  <si>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</si>
  <si>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</si>
  <si>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</si>
  <si>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</si>
  <si>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</si>
  <si>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</si>
  <si>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</si>
  <si>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</si>
  <si>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</si>
  <si>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</si>
  <si>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</si>
  <si>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</si>
  <si>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</si>
  <si>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</si>
  <si>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</si>
  <si>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</si>
  <si>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</si>
  <si>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</si>
  <si>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</si>
  <si>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</si>
  <si>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</si>
  <si>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</si>
  <si>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</si>
  <si>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</si>
  <si>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</si>
  <si>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</si>
  <si>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</si>
  <si>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</si>
  <si>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</si>
  <si>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</si>
  <si>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</si>
  <si>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</si>
  <si>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</si>
  <si>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</si>
  <si>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</si>
  <si>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</si>
  <si>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</si>
  <si>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</si>
  <si>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</si>
  <si>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</si>
  <si>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</si>
  <si>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</si>
  <si>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</si>
  <si>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০৯-০৮-২০২৫ তারিখে মূল্য বৃদ্ধি পেয়েছে।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</si>
  <si>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</si>
  <si>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</si>
  <si>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স্মারক নং-২৬.০৫.০০০০.০১৭.৩১.০১.২৫-৫৬২</t>
  </si>
  <si>
    <t xml:space="preserve">সোমবার ১১ আগষ্ট ২০২৫ খ্রিঃ, ২৭ শ্রাবণ ১৪৩২ বাংলা, ১৮ সফর ১৪৪৭ হিজরি </t>
  </si>
  <si>
    <t xml:space="preserve">   সিরিয়াল নংঃ     ১৯৮</t>
  </si>
  <si>
    <t>১১-০৮-২০২৫ তারিখে মূল্য বৃদ্ধি পেয়েছে।</t>
  </si>
  <si>
    <t>(১)   ময়দা (খোলা, প্যা:), আটা (খোলা, প্যা:), সয়াবিন তেল (লুজ), মসুর ডাল (ছোট), ছোলা, মুরগী ব্রয়লার,</t>
  </si>
  <si>
    <t xml:space="preserve">       পেঁয়াজ (দেশী), আলু, ডিম  এর মূল্য বৃদ্ধি পেয়েছে।</t>
  </si>
  <si>
    <t>(২ )   চাল (মাঝারী), সয়াবিন তেল (২লি: বোতল), রশুন (আম)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</si>
</sst>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abSelected="1" topLeftCell="A77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126</v>
      </c>
      <c r="L4" s="92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45880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45880</v>
      </c>
      <c r="D8" s="92"/>
      <c r="E8" s="93">
        <v>45873</v>
      </c>
      <c r="F8" s="92"/>
      <c r="G8" s="93">
        <v>45849</v>
      </c>
      <c r="H8" s="92"/>
      <c r="I8" s="27" t="s">
        <v>12</v>
      </c>
      <c r="J8" s="101">
        <v>45515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0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2.3529411764705883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3.4482758620689653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60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162</v>
      </c>
      <c r="H19" s="30">
        <v>170</v>
      </c>
      <c r="I19" s="31">
        <f t="shared" ref="I19:I25" si="0">((C19+D19)/2-(G19+H19)/2)/((G19+H19)/2)*100</f>
        <v>0.60240963855421692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910</v>
      </c>
      <c r="H20" s="30">
        <v>920</v>
      </c>
      <c r="I20" s="31">
        <f t="shared" si="0"/>
        <v>-1.0928961748633881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160</v>
      </c>
      <c r="G23" s="30">
        <v>148</v>
      </c>
      <c r="H23" s="30">
        <v>155</v>
      </c>
      <c r="I23" s="31">
        <f t="shared" si="0"/>
        <v>2.3102310231023102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110</v>
      </c>
      <c r="H28" s="30">
        <v>120</v>
      </c>
      <c r="I28" s="31">
        <f t="shared" si="2"/>
        <v>6.5217391304347823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145</v>
      </c>
      <c r="F29" s="30">
        <v>155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110</v>
      </c>
      <c r="K32" s="62">
        <v>120</v>
      </c>
      <c r="L32" s="32">
        <f t="shared" si="3"/>
        <v>-10.869565217391305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70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125</v>
      </c>
      <c r="L35" s="32">
        <f t="shared" ref="L35:L50" si="5">((C35+D35)/2-(J35+K35)/2)/((J35+K35)/2)*100</f>
        <v>-31.914893617021278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110</v>
      </c>
      <c r="H37" s="30">
        <v>150</v>
      </c>
      <c r="I37" s="31">
        <f t="shared" si="4"/>
        <v>-7.6923076923076925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210</v>
      </c>
      <c r="G38" s="30">
        <v>160</v>
      </c>
      <c r="H38" s="30">
        <v>200</v>
      </c>
      <c r="I38" s="31">
        <f t="shared" si="4"/>
        <v>0</v>
      </c>
      <c r="J38" s="62">
        <v>190</v>
      </c>
      <c r="K38" s="62">
        <v>230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400</v>
      </c>
      <c r="H40" s="30">
        <v>450</v>
      </c>
      <c r="I40" s="31">
        <f t="shared" si="4"/>
        <v>-11.76470588235294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180</v>
      </c>
      <c r="F44" s="30">
        <v>280</v>
      </c>
      <c r="G44" s="30">
        <v>150</v>
      </c>
      <c r="H44" s="30">
        <v>200</v>
      </c>
      <c r="I44" s="31">
        <f t="shared" si="4"/>
        <v>31.428571428571427</v>
      </c>
      <c r="J44" s="62">
        <v>200</v>
      </c>
      <c r="K44" s="62">
        <v>280</v>
      </c>
      <c r="L44" s="32">
        <f t="shared" si="5"/>
        <v>-4.1666666666666661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650</v>
      </c>
      <c r="H45" s="30">
        <v>750</v>
      </c>
      <c r="I45" s="31">
        <f t="shared" si="4"/>
        <v>-3.5714285714285712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170</v>
      </c>
      <c r="E56" s="30">
        <v>145</v>
      </c>
      <c r="F56" s="30">
        <v>170</v>
      </c>
      <c r="G56" s="30">
        <v>160</v>
      </c>
      <c r="H56" s="30">
        <v>170</v>
      </c>
      <c r="I56" s="31">
        <f t="shared" si="6"/>
        <v>0</v>
      </c>
      <c r="J56" s="62">
        <v>160</v>
      </c>
      <c r="K56" s="62">
        <v>170</v>
      </c>
      <c r="L56" s="32">
        <f t="shared" si="7"/>
        <v>0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45880</v>
      </c>
      <c r="D67" s="92"/>
      <c r="E67" s="93">
        <v>45873</v>
      </c>
      <c r="F67" s="92"/>
      <c r="G67" s="93">
        <v>45849</v>
      </c>
      <c r="H67" s="92"/>
      <c r="I67" s="27" t="s">
        <v>12</v>
      </c>
      <c r="J67" s="101">
        <v>45515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350</v>
      </c>
      <c r="L70" s="32">
        <f t="shared" si="8"/>
        <v>28.333333333333332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48</v>
      </c>
      <c r="E72" s="38">
        <v>40</v>
      </c>
      <c r="F72" s="38">
        <v>46</v>
      </c>
      <c r="G72" s="38">
        <v>40</v>
      </c>
      <c r="H72" s="38">
        <v>46</v>
      </c>
      <c r="I72" s="31">
        <f t="shared" si="9"/>
        <v>2.3255813953488373</v>
      </c>
      <c r="J72" s="63">
        <v>48</v>
      </c>
      <c r="K72" s="63">
        <v>52</v>
      </c>
      <c r="L72" s="32">
        <f t="shared" si="8"/>
        <v>-12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130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.75">
      <c r="A84" s="5" t="s">
        <v>107</v>
      </c>
      <c r="B84" s="6" t="s">
        <v>18</v>
      </c>
      <c r="C84" s="30">
        <v>60</v>
      </c>
      <c r="D84" s="30">
        <v>70</v>
      </c>
      <c r="E84" s="30">
        <v>60</v>
      </c>
      <c r="F84" s="30">
        <v>75</v>
      </c>
      <c r="G84" s="7">
        <f t="shared" ref="G84:G97" si="10">((C84+D84)/2-(E84+F84)/2)/((E84+F84)/2)*100</f>
        <v>-3.7037037037037033</v>
      </c>
      <c r="H84" s="5" t="s">
        <v>123</v>
      </c>
      <c r="I84" s="6"/>
      <c r="J84" s="6"/>
      <c r="K84" s="51"/>
      <c r="L84" s="18"/>
    </row>
    <row r="85" spans="1:12" ht="21.75">
      <c r="A85" s="5" t="s">
        <v>21</v>
      </c>
      <c r="B85" s="6" t="s">
        <v>18</v>
      </c>
      <c r="C85" s="30">
        <v>42</v>
      </c>
      <c r="D85" s="30">
        <v>45</v>
      </c>
      <c r="E85" s="30">
        <v>40</v>
      </c>
      <c r="F85" s="30">
        <v>45</v>
      </c>
      <c r="G85" s="7">
        <f t="shared" si="10"/>
        <v>2.3529411764705883</v>
      </c>
      <c r="H85" s="5" t="s">
        <v>127</v>
      </c>
      <c r="I85" s="6"/>
      <c r="J85" s="6"/>
      <c r="K85" s="51"/>
      <c r="L85" s="18"/>
    </row>
    <row r="86" spans="1:12" ht="21.75">
      <c r="A86" s="5" t="s">
        <v>22</v>
      </c>
      <c r="B86" s="6" t="s">
        <v>23</v>
      </c>
      <c r="C86" s="30">
        <v>52</v>
      </c>
      <c r="D86" s="30">
        <v>60</v>
      </c>
      <c r="E86" s="30">
        <v>50</v>
      </c>
      <c r="F86" s="30">
        <v>55</v>
      </c>
      <c r="G86" s="7">
        <f t="shared" si="10"/>
        <v>6.666666666666667</v>
      </c>
      <c r="H86" s="5" t="s">
        <v>127</v>
      </c>
      <c r="I86" s="6"/>
      <c r="J86" s="6"/>
      <c r="K86" s="51"/>
      <c r="L86" s="18"/>
    </row>
    <row r="87" spans="1:12" ht="21.75">
      <c r="A87" s="5" t="s">
        <v>24</v>
      </c>
      <c r="B87" s="6" t="s">
        <v>18</v>
      </c>
      <c r="C87" s="30">
        <v>55</v>
      </c>
      <c r="D87" s="30">
        <v>65</v>
      </c>
      <c r="E87" s="30">
        <v>50</v>
      </c>
      <c r="F87" s="30">
        <v>60</v>
      </c>
      <c r="G87" s="7">
        <f t="shared" si="10"/>
        <v>9.0909090909090917</v>
      </c>
      <c r="H87" s="5" t="s">
        <v>119</v>
      </c>
      <c r="I87" s="6"/>
      <c r="J87" s="6"/>
      <c r="K87" s="51"/>
      <c r="L87" s="18"/>
    </row>
    <row r="88" spans="1:12" ht="21.75">
      <c r="A88" s="76" t="s">
        <v>25</v>
      </c>
      <c r="B88" s="6" t="s">
        <v>23</v>
      </c>
      <c r="C88" s="30">
        <v>65</v>
      </c>
      <c r="D88" s="30">
        <v>70</v>
      </c>
      <c r="E88" s="30">
        <v>60</v>
      </c>
      <c r="F88" s="30">
        <v>70</v>
      </c>
      <c r="G88" s="7">
        <f t="shared" si="10"/>
        <v>3.8461538461538463</v>
      </c>
      <c r="H88" s="5" t="s">
        <v>122</v>
      </c>
      <c r="I88" s="6"/>
      <c r="J88" s="6"/>
      <c r="K88" s="51"/>
      <c r="L88" s="18"/>
    </row>
    <row r="89" spans="1:12" ht="21.75">
      <c r="A89" s="76" t="s">
        <v>27</v>
      </c>
      <c r="B89" s="6" t="s">
        <v>28</v>
      </c>
      <c r="C89" s="30">
        <v>162</v>
      </c>
      <c r="D89" s="30">
        <v>172</v>
      </c>
      <c r="E89" s="30">
        <v>162</v>
      </c>
      <c r="F89" s="30">
        <v>170</v>
      </c>
      <c r="G89" s="7">
        <f t="shared" si="10"/>
        <v>0.60240963855421692</v>
      </c>
      <c r="H89" s="5" t="s">
        <v>119</v>
      </c>
      <c r="I89" s="6"/>
      <c r="J89" s="6"/>
      <c r="K89" s="51"/>
      <c r="L89" s="18"/>
    </row>
    <row r="90" spans="1:12" ht="21.75">
      <c r="A90" s="76" t="s">
        <v>29</v>
      </c>
      <c r="B90" s="6" t="s">
        <v>31</v>
      </c>
      <c r="C90" s="30">
        <v>370</v>
      </c>
      <c r="D90" s="30">
        <v>378</v>
      </c>
      <c r="E90" s="30">
        <v>375</v>
      </c>
      <c r="F90" s="30">
        <v>378</v>
      </c>
      <c r="G90" s="7">
        <f t="shared" si="10"/>
        <v>-0.66401062416998669</v>
      </c>
      <c r="H90" s="5" t="s">
        <v>123</v>
      </c>
      <c r="I90" s="6"/>
      <c r="J90" s="6"/>
      <c r="K90" s="51"/>
      <c r="L90" s="18"/>
    </row>
    <row r="91" spans="1:12" ht="21.75">
      <c r="A91" s="76" t="s">
        <v>38</v>
      </c>
      <c r="B91" s="6" t="s">
        <v>18</v>
      </c>
      <c r="C91" s="30">
        <v>150</v>
      </c>
      <c r="D91" s="30">
        <v>155</v>
      </c>
      <c r="E91" s="30">
        <v>145</v>
      </c>
      <c r="F91" s="30">
        <v>155</v>
      </c>
      <c r="G91" s="7">
        <f t="shared" si="10"/>
        <v>1.6666666666666667</v>
      </c>
      <c r="H91" s="5" t="s">
        <v>121</v>
      </c>
      <c r="I91" s="6"/>
      <c r="J91" s="6"/>
      <c r="K91" s="51"/>
      <c r="L91" s="18"/>
    </row>
    <row r="92" spans="1:12" ht="21.75">
      <c r="A92" s="76" t="s">
        <v>41</v>
      </c>
      <c r="B92" s="6" t="s">
        <v>18</v>
      </c>
      <c r="C92" s="30">
        <v>95</v>
      </c>
      <c r="D92" s="30">
        <v>110</v>
      </c>
      <c r="E92" s="30">
        <v>90</v>
      </c>
      <c r="F92" s="30">
        <v>110</v>
      </c>
      <c r="G92" s="7">
        <f t="shared" si="10"/>
        <v>2.5</v>
      </c>
      <c r="H92" s="5" t="s">
        <v>127</v>
      </c>
      <c r="I92" s="6"/>
      <c r="J92" s="6"/>
      <c r="K92" s="51"/>
      <c r="L92" s="18"/>
    </row>
    <row r="93" spans="1:12" ht="21.75">
      <c r="A93" s="76" t="s">
        <v>42</v>
      </c>
      <c r="B93" s="6" t="s">
        <v>18</v>
      </c>
      <c r="C93" s="30">
        <v>25</v>
      </c>
      <c r="D93" s="30">
        <v>30</v>
      </c>
      <c r="E93" s="30">
        <v>20</v>
      </c>
      <c r="F93" s="30">
        <v>30</v>
      </c>
      <c r="G93" s="7">
        <f t="shared" si="10"/>
        <v>10</v>
      </c>
      <c r="H93" s="5" t="s">
        <v>122</v>
      </c>
      <c r="I93" s="6"/>
      <c r="J93" s="6"/>
      <c r="K93" s="51"/>
      <c r="L93" s="18"/>
    </row>
    <row r="94" spans="1:12" ht="21.75">
      <c r="A94" s="76" t="s">
        <v>92</v>
      </c>
      <c r="B94" s="6" t="s">
        <v>18</v>
      </c>
      <c r="C94" s="30">
        <v>75</v>
      </c>
      <c r="D94" s="30">
        <v>85</v>
      </c>
      <c r="E94" s="30">
        <v>70</v>
      </c>
      <c r="F94" s="30">
        <v>85</v>
      </c>
      <c r="G94" s="7">
        <f t="shared" si="10"/>
        <v>3.225806451612903</v>
      </c>
      <c r="H94" s="5" t="s">
        <v>120</v>
      </c>
      <c r="I94" s="6"/>
      <c r="J94" s="6"/>
      <c r="K94" s="51"/>
      <c r="L94" s="18"/>
    </row>
    <row r="95" spans="1:12" ht="21.75">
      <c r="A95" s="76" t="s">
        <v>46</v>
      </c>
      <c r="B95" s="6" t="s">
        <v>18</v>
      </c>
      <c r="C95" s="30">
        <v>160</v>
      </c>
      <c r="D95" s="30">
        <v>200</v>
      </c>
      <c r="E95" s="30">
        <v>160</v>
      </c>
      <c r="F95" s="30">
        <v>210</v>
      </c>
      <c r="G95" s="7">
        <f t="shared" si="10"/>
        <v>-2.7027027027027026</v>
      </c>
      <c r="H95" s="5" t="s">
        <v>123</v>
      </c>
      <c r="I95" s="6"/>
      <c r="J95" s="6"/>
      <c r="K95" s="51"/>
      <c r="L95" s="18"/>
    </row>
    <row r="96" spans="1:12" ht="21.75">
      <c r="A96" s="76" t="s">
        <v>62</v>
      </c>
      <c r="B96" s="6" t="s">
        <v>18</v>
      </c>
      <c r="C96" s="30">
        <v>160</v>
      </c>
      <c r="D96" s="30">
        <v>170</v>
      </c>
      <c r="E96" s="30">
        <v>145</v>
      </c>
      <c r="F96" s="30">
        <v>170</v>
      </c>
      <c r="G96" s="7">
        <f t="shared" si="10"/>
        <v>4.7619047619047619</v>
      </c>
      <c r="H96" s="5" t="s">
        <v>120</v>
      </c>
      <c r="I96" s="6"/>
      <c r="J96" s="6"/>
      <c r="K96" s="51"/>
      <c r="L96" s="18"/>
    </row>
    <row r="97" spans="1:12" ht="21.75">
      <c r="A97" s="76" t="s">
        <v>73</v>
      </c>
      <c r="B97" s="6" t="s">
        <v>74</v>
      </c>
      <c r="C97" s="38">
        <v>40</v>
      </c>
      <c r="D97" s="38">
        <v>48</v>
      </c>
      <c r="E97" s="38">
        <v>40</v>
      </c>
      <c r="F97" s="38">
        <v>46</v>
      </c>
      <c r="G97" s="7">
        <f t="shared" si="10"/>
        <v>2.3255813953488373</v>
      </c>
      <c r="H97" s="5" t="s">
        <v>120</v>
      </c>
      <c r="I97" s="6"/>
      <c r="J97" s="6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1.75">
      <c r="A99" s="79"/>
      <c r="B99" s="3"/>
      <c r="C99" s="90"/>
      <c r="D99" s="90"/>
      <c r="E99" s="90"/>
      <c r="F99" s="90"/>
      <c r="G99" s="10"/>
      <c r="H99" s="1"/>
      <c r="I99" s="3"/>
      <c r="J99" s="3"/>
      <c r="K99" s="51"/>
      <c r="L99" s="18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4.75">
      <c r="A102" s="1"/>
      <c r="B102" s="14"/>
      <c r="C102" s="15"/>
      <c r="D102" s="15"/>
      <c r="E102" s="14"/>
      <c r="F102" s="15"/>
      <c r="G102" s="39"/>
      <c r="H102" s="40"/>
      <c r="I102" s="41"/>
      <c r="J102" s="41"/>
      <c r="K102" s="41"/>
      <c r="L102" s="12"/>
    </row>
    <row r="103" spans="1:12" ht="24.75">
      <c r="A103" s="1"/>
      <c r="B103" s="42"/>
      <c r="C103" s="43" t="s">
        <v>113</v>
      </c>
      <c r="D103" s="11"/>
      <c r="E103" s="42"/>
      <c r="F103" s="14"/>
      <c r="G103" s="11"/>
      <c r="H103" s="40"/>
      <c r="I103" s="13"/>
      <c r="J103" s="14" t="s">
        <v>117</v>
      </c>
      <c r="K103" s="11"/>
      <c r="L103" s="11"/>
    </row>
    <row r="104" spans="1:12" ht="24.75">
      <c r="A104" s="1"/>
      <c r="B104" s="44"/>
      <c r="C104" s="43" t="s">
        <v>114</v>
      </c>
      <c r="D104" s="14"/>
      <c r="E104" s="42"/>
      <c r="F104" s="45"/>
      <c r="G104" s="47"/>
      <c r="H104" s="47"/>
      <c r="I104" s="86"/>
      <c r="J104" s="14" t="s">
        <v>118</v>
      </c>
      <c r="K104" s="14"/>
      <c r="L104" s="14"/>
    </row>
    <row r="105" spans="1:12" ht="24.75">
      <c r="A105" s="1"/>
      <c r="B105" s="14"/>
      <c r="C105" s="15"/>
      <c r="D105" s="14"/>
      <c r="E105" s="15"/>
      <c r="F105" s="45"/>
      <c r="G105" s="47"/>
      <c r="H105" s="47"/>
      <c r="I105" s="46"/>
      <c r="J105" s="11"/>
      <c r="K105" s="11"/>
      <c r="L105" s="2"/>
    </row>
    <row r="106" spans="1:12" ht="19.5">
      <c r="A106" s="56" t="s">
        <v>95</v>
      </c>
      <c r="B106" s="54"/>
      <c r="C106" s="52"/>
      <c r="D106" s="54"/>
      <c r="E106" s="52"/>
      <c r="F106" s="52"/>
      <c r="G106" s="52"/>
      <c r="H106" s="53"/>
      <c r="I106" s="58"/>
      <c r="J106" s="2"/>
      <c r="K106" s="2"/>
      <c r="L106" s="2"/>
    </row>
    <row r="107" spans="1:12" ht="19.5">
      <c r="A107" s="55" t="s">
        <v>101</v>
      </c>
      <c r="B107" s="54"/>
      <c r="C107" s="52"/>
      <c r="D107" s="54"/>
      <c r="E107" s="52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100</v>
      </c>
      <c r="B108" s="54"/>
      <c r="C108" s="54"/>
      <c r="D108" s="54"/>
      <c r="E108" s="54"/>
      <c r="F108" s="52"/>
      <c r="G108" s="54"/>
      <c r="H108" s="53"/>
      <c r="I108" s="58"/>
      <c r="J108" s="2"/>
      <c r="K108" s="2"/>
      <c r="L108" s="2"/>
    </row>
    <row r="109" spans="1:12" ht="19.5">
      <c r="A109" s="55" t="s">
        <v>85</v>
      </c>
      <c r="B109" s="54"/>
      <c r="C109" s="54"/>
      <c r="D109" s="54"/>
      <c r="E109" s="54"/>
      <c r="F109" s="53"/>
      <c r="G109" s="53"/>
      <c r="H109" s="53"/>
      <c r="I109" s="58"/>
      <c r="J109" s="2"/>
      <c r="K109" s="2"/>
      <c r="L109" s="2"/>
    </row>
    <row r="110" spans="1:12" ht="19.5">
      <c r="A110" s="55" t="s">
        <v>99</v>
      </c>
      <c r="B110" s="54"/>
      <c r="C110" s="54"/>
      <c r="D110" s="54"/>
      <c r="E110" s="54"/>
      <c r="F110" s="54"/>
      <c r="G110" s="53"/>
      <c r="H110" s="53"/>
      <c r="I110" s="58"/>
      <c r="J110" s="2"/>
      <c r="K110" s="2"/>
      <c r="L110" s="2"/>
    </row>
    <row r="111" spans="1:12" ht="19.5">
      <c r="A111" s="55" t="s">
        <v>98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109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97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96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103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102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104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105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87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/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6" t="s">
        <v>88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89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90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91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">
      <c r="A126" s="60"/>
      <c r="B126" s="58"/>
      <c r="C126" s="58"/>
      <c r="D126" s="58"/>
      <c r="E126" s="58"/>
      <c r="F126" s="58"/>
      <c r="G126" s="58"/>
      <c r="H126" s="61"/>
      <c r="I126" s="59"/>
      <c r="J126" s="12"/>
      <c r="K126" s="12"/>
      <c r="L126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2025-08-11T08:52:26Z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