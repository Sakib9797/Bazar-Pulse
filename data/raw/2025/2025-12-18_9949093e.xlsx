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B318531C-0CEB-4C67-B74D-9A2F9D316E0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7" i="4"/>
  <c r="G83" i="4"/>
  <c r="G86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<sst xmlns="http://schemas.openxmlformats.org/spreadsheetml/2006/main" count="228" uniqueCount="131">
  <si>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</si>
  <si>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</si>
  <si>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</si>
  <si>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</si>
  <si>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</si>
  <si>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</si>
  <si>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</si>
  <si>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</si>
  <si>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</si>
  <si>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</si>
  <si>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</si>
  <si>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</si>
  <si>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</si>
  <si>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</si>
  <si>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</si>
  <si>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</si>
  <si>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</si>
  <si>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</si>
  <si>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</si>
  <si>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</si>
  <si>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</si>
  <si>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</si>
  <si>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</si>
  <si>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</si>
  <si>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</si>
  <si>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</si>
  <si>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</si>
  <si>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</si>
  <si>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</si>
  <si>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</si>
  <si>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</si>
  <si>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</si>
  <si>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</si>
  <si>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</si>
  <si>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</si>
  <si>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</si>
  <si>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</si>
  <si>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</si>
  <si>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</si>
  <si>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</si>
  <si>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</si>
  <si>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</si>
  <si>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</si>
  <si>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</si>
  <si>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</si>
  <si>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</si>
  <si>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</si>
  <si>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</si>
  <si>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</si>
  <si>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</si>
  <si>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</si>
  <si>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</si>
  <si>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</si>
  <si>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</si>
  <si>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</si>
  <si>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</si>
  <si>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</si>
  <si>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</si>
  <si>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</si>
  <si>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</si>
  <si>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</si>
  <si>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</si>
  <si>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</si>
  <si>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</si>
  <si>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</si>
  <si>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</si>
  <si>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</si>
  <si>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</si>
  <si>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</si>
  <si>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</si>
  <si>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</si>
  <si>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</si>
  <si>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</si>
  <si>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</si>
  <si>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</si>
  <si>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</si>
  <si>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</si>
  <si>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</si>
  <si>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</si>
  <si>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</si>
  <si>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</si>
  <si>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</si>
  <si>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</si>
  <si>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</si>
  <si>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</si>
  <si>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</si>
  <si>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</si>
  <si>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</si>
  <si>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</si>
  <si>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</si>
  <si>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</si>
  <si>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</si>
  <si>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</si>
  <si>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</si>
  <si>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</si>
  <si>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</si>
  <si>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</si>
  <si>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</si>
  <si>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</si>
  <si>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</si>
  <si>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</si>
  <si>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</si>
  <si>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</si>
  <si>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</si>
  <si>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</si>
  <si>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</si>
  <si>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</si>
  <si>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</si>
  <si>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</si>
  <si>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</si>
  <si>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</si>
  <si>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</si>
  <si>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</si>
  <si>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</si>
  <si>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</si>
  <si>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</si>
  <si>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</si>
  <si>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</si>
  <si>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</si>
  <si>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</si>
  <si>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>১৪-১২-২০২৫ তারিখে মূল্য হ্রাস পেয়েছে।</t>
  </si>
  <si>
    <t>১৫-১২-২০২৫ তারিখে মূল্য বৃদ্ধি পেয়েছে।</t>
  </si>
  <si>
    <t>১৫-১২-২০২৫ তারিখে মূল্য হ্রাস পেয়েছে।</t>
  </si>
  <si>
    <t>১৭-১২-২০২৫ তারিখে মূল্য হ্রাস পেয়েছে।</t>
  </si>
  <si>
    <t>স্মারক নং-২৬.০৫.০০০০.০১৭.৩১.০১.২৫-৯৩১</t>
  </si>
  <si>
    <t xml:space="preserve">বৃহস্পতিবার ১৭ ডিসেম্বর ২০২৫ খ্রিঃ, ০৩ পৌষ ১৪৩২ বাংলা, ২৬ জমা-সানি ১৪৪৭ হিজরি </t>
  </si>
  <si>
    <t xml:space="preserve">   সিরিয়াল নংঃ     ৩১৪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</si>
  <si>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</si>
  <si>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</si>
  <si>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(২      মুরগী ব্রয়লার   এর মূল্য বৃদ্ধি পেয়েছে।</t>
  </si>
  <si>
    <t>(১ )    পাম অয়েল লুজ, ছোলা, পেঁয়াজ (দেশী), এম এস রড (৬০ গ্রেড)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</si>
</sst>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4"/>
  <sheetViews>
    <sheetView tabSelected="1" topLeftCell="A77" zoomScale="96" zoomScaleNormal="9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126</v>
      </c>
      <c r="L4" s="88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46009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46009</v>
      </c>
      <c r="D8" s="88"/>
      <c r="E8" s="89">
        <v>46002</v>
      </c>
      <c r="F8" s="88"/>
      <c r="G8" s="89">
        <v>45979</v>
      </c>
      <c r="H8" s="88"/>
      <c r="I8" s="26" t="s">
        <v>12</v>
      </c>
      <c r="J8" s="89">
        <v>45644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56</v>
      </c>
      <c r="K11" s="29">
        <v>63</v>
      </c>
      <c r="L11" s="31">
        <f>((C11+D11)/2-(J11+K11)/2)/((J11+K11)/2)*100</f>
        <v>5.8823529411764701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163</v>
      </c>
      <c r="K19" s="29">
        <v>165</v>
      </c>
      <c r="L19" s="31">
        <f t="shared" ref="L19:L25" si="1">((C19+D19)/2-(J19+K19)/2)/((J19+K19)/2)*100</f>
        <v>6.7073170731707323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815</v>
      </c>
      <c r="K20" s="29">
        <v>850</v>
      </c>
      <c r="L20" s="31">
        <f t="shared" si="1"/>
        <v>13.213213213213212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350</v>
      </c>
      <c r="L21" s="31">
        <f t="shared" si="1"/>
        <v>12.846715328467154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167</v>
      </c>
      <c r="K22" s="29">
        <v>175</v>
      </c>
      <c r="L22" s="31">
        <f t="shared" si="1"/>
        <v>13.157894736842104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</v>
      </c>
      <c r="J23" s="29">
        <v>156</v>
      </c>
      <c r="K23" s="29">
        <v>157</v>
      </c>
      <c r="L23" s="31">
        <f t="shared" si="1"/>
        <v>-0.31948881789137379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90</v>
      </c>
      <c r="D32" s="29">
        <v>110</v>
      </c>
      <c r="E32" s="29">
        <v>95</v>
      </c>
      <c r="F32" s="29">
        <v>110</v>
      </c>
      <c r="G32" s="29">
        <v>100</v>
      </c>
      <c r="H32" s="29">
        <v>110</v>
      </c>
      <c r="I32" s="30">
        <f t="shared" si="2"/>
        <v>-4.7619047619047619</v>
      </c>
      <c r="J32" s="29">
        <v>125</v>
      </c>
      <c r="K32" s="29">
        <v>135</v>
      </c>
      <c r="L32" s="31">
        <f t="shared" si="3"/>
        <v>-23.076923076923077</v>
      </c>
    </row>
    <row r="33" spans="1:12" ht="21.75">
      <c r="A33" s="69" t="s">
        <v>117</v>
      </c>
      <c r="B33" s="6" t="s">
        <v>18</v>
      </c>
      <c r="C33" s="29">
        <v>20</v>
      </c>
      <c r="D33" s="29">
        <v>40</v>
      </c>
      <c r="E33" s="29">
        <v>20</v>
      </c>
      <c r="F33" s="29">
        <v>30</v>
      </c>
      <c r="G33" s="29">
        <v>20</v>
      </c>
      <c r="H33" s="29">
        <v>25</v>
      </c>
      <c r="I33" s="30">
        <f t="shared" si="2"/>
        <v>33.333333333333329</v>
      </c>
      <c r="J33" s="29">
        <v>65</v>
      </c>
      <c r="K33" s="29">
        <v>80</v>
      </c>
      <c r="L33" s="31">
        <f t="shared" si="3"/>
        <v>-58.620689655172406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118</v>
      </c>
      <c r="B35" s="6" t="s">
        <v>18</v>
      </c>
      <c r="C35" s="29">
        <v>80</v>
      </c>
      <c r="D35" s="29">
        <v>120</v>
      </c>
      <c r="E35" s="29">
        <v>100</v>
      </c>
      <c r="F35" s="29">
        <v>140</v>
      </c>
      <c r="G35" s="29">
        <v>100</v>
      </c>
      <c r="H35" s="29">
        <v>120</v>
      </c>
      <c r="I35" s="30">
        <f t="shared" ref="I35:I50" si="4">((C35+D35)/2-(G35+H35)/2)/((G35+H35)/2)*100</f>
        <v>-9.0909090909090917</v>
      </c>
      <c r="J35" s="29">
        <v>80</v>
      </c>
      <c r="K35" s="29">
        <v>125</v>
      </c>
      <c r="L35" s="31">
        <f t="shared" ref="L35:L50" si="5">((C35+D35)/2-(J35+K35)/2)/((J35+K35)/2)*100</f>
        <v>-2.4390243902439024</v>
      </c>
    </row>
    <row r="36" spans="1:12" ht="21.75">
      <c r="A36" s="69" t="s">
        <v>43</v>
      </c>
      <c r="B36" s="6" t="s">
        <v>18</v>
      </c>
      <c r="C36" s="29">
        <v>100</v>
      </c>
      <c r="D36" s="29">
        <v>110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70</v>
      </c>
      <c r="K36" s="29">
        <v>90</v>
      </c>
      <c r="L36" s="31">
        <f t="shared" si="5"/>
        <v>31.25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60</v>
      </c>
      <c r="F37" s="29">
        <v>140</v>
      </c>
      <c r="G37" s="29">
        <v>90</v>
      </c>
      <c r="H37" s="29">
        <v>150</v>
      </c>
      <c r="I37" s="30">
        <f t="shared" si="4"/>
        <v>-8.3333333333333321</v>
      </c>
      <c r="J37" s="29">
        <v>230</v>
      </c>
      <c r="K37" s="29">
        <v>280</v>
      </c>
      <c r="L37" s="31">
        <f t="shared" si="5"/>
        <v>-56.862745098039213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220</v>
      </c>
      <c r="G38" s="29">
        <v>160</v>
      </c>
      <c r="H38" s="29">
        <v>220</v>
      </c>
      <c r="I38" s="30">
        <f t="shared" si="4"/>
        <v>-5.2631578947368416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150</v>
      </c>
      <c r="D43" s="29">
        <v>200</v>
      </c>
      <c r="E43" s="29">
        <v>0</v>
      </c>
      <c r="F43" s="29">
        <v>0</v>
      </c>
      <c r="G43" s="29">
        <v>140</v>
      </c>
      <c r="H43" s="29">
        <v>180</v>
      </c>
      <c r="I43" s="30">
        <f t="shared" si="4"/>
        <v>9.375</v>
      </c>
      <c r="J43" s="29">
        <v>450</v>
      </c>
      <c r="K43" s="29">
        <v>500</v>
      </c>
      <c r="L43" s="31">
        <f t="shared" si="5"/>
        <v>-63.157894736842103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270</v>
      </c>
      <c r="L44" s="31">
        <f t="shared" si="5"/>
        <v>-2.6315789473684208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750</v>
      </c>
      <c r="L45" s="31">
        <f t="shared" si="5"/>
        <v>-5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1300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145</v>
      </c>
      <c r="F56" s="29">
        <v>170</v>
      </c>
      <c r="G56" s="29">
        <v>160</v>
      </c>
      <c r="H56" s="29">
        <v>190</v>
      </c>
      <c r="I56" s="30">
        <f t="shared" si="6"/>
        <v>-8.5714285714285712</v>
      </c>
      <c r="J56" s="29">
        <v>170</v>
      </c>
      <c r="K56" s="29">
        <v>200</v>
      </c>
      <c r="L56" s="31">
        <f t="shared" si="7"/>
        <v>-13.513513513513514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46009</v>
      </c>
      <c r="D67" s="88"/>
      <c r="E67" s="89">
        <v>46002</v>
      </c>
      <c r="F67" s="88"/>
      <c r="G67" s="89">
        <v>45979</v>
      </c>
      <c r="H67" s="88"/>
      <c r="I67" s="26" t="s">
        <v>12</v>
      </c>
      <c r="J67" s="89">
        <v>45644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95</v>
      </c>
      <c r="H69" s="29">
        <v>110</v>
      </c>
      <c r="I69" s="30">
        <f>((C69+D69)/2-(G69+H69)/2)/((G69+H69)/2)*100</f>
        <v>0</v>
      </c>
      <c r="J69" s="29">
        <v>125</v>
      </c>
      <c r="K69" s="29">
        <v>127</v>
      </c>
      <c r="L69" s="31">
        <f t="shared" ref="L69:L75" si="8">((C69+D69)/2-(J69+K69)/2)/((J69+K69)/2)*100</f>
        <v>-18.650793650793652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40</v>
      </c>
      <c r="H72" s="37">
        <v>50</v>
      </c>
      <c r="I72" s="30">
        <f t="shared" si="9"/>
        <v>-10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80000</v>
      </c>
      <c r="D74" s="29">
        <v>85000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0" t="s">
        <v>119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33</v>
      </c>
      <c r="B83" s="6" t="s">
        <v>28</v>
      </c>
      <c r="C83" s="29">
        <v>150</v>
      </c>
      <c r="D83" s="29">
        <v>162</v>
      </c>
      <c r="E83" s="29">
        <v>152</v>
      </c>
      <c r="F83" s="29">
        <v>162</v>
      </c>
      <c r="G83" s="7">
        <f t="shared" ref="G83" si="10">((C83+D83)/2-(E83+F83)/2)/((E83+F83)/2)*100</f>
        <v>-0.63694267515923575</v>
      </c>
      <c r="H83" s="5" t="s">
        <v>120</v>
      </c>
      <c r="I83" s="6"/>
      <c r="J83" s="6"/>
      <c r="K83" s="50"/>
      <c r="L83" s="17"/>
    </row>
    <row r="84" spans="1:12" ht="21.75">
      <c r="A84" s="69" t="s">
        <v>41</v>
      </c>
      <c r="B84" s="6" t="s">
        <v>18</v>
      </c>
      <c r="C84" s="29">
        <v>90</v>
      </c>
      <c r="D84" s="29">
        <v>110</v>
      </c>
      <c r="E84" s="29">
        <v>95</v>
      </c>
      <c r="F84" s="29">
        <v>110</v>
      </c>
      <c r="G84" s="7">
        <f t="shared" ref="G84:G87" si="11">((C84+D84)/2-(E84+F84)/2)/((E84+F84)/2)*100</f>
        <v>-2.4390243902439024</v>
      </c>
      <c r="H84" s="5" t="s">
        <v>120</v>
      </c>
      <c r="I84" s="6"/>
      <c r="J84" s="6"/>
      <c r="K84" s="50"/>
      <c r="L84" s="17"/>
    </row>
    <row r="85" spans="1:12" ht="21.75">
      <c r="A85" s="83" t="s">
        <v>118</v>
      </c>
      <c r="B85" s="6" t="s">
        <v>18</v>
      </c>
      <c r="C85" s="29">
        <v>80</v>
      </c>
      <c r="D85" s="29">
        <v>120</v>
      </c>
      <c r="E85" s="29">
        <v>100</v>
      </c>
      <c r="F85" s="29">
        <v>140</v>
      </c>
      <c r="G85" s="7">
        <f t="shared" si="11"/>
        <v>-16.666666666666664</v>
      </c>
      <c r="H85" s="5" t="s">
        <v>122</v>
      </c>
      <c r="I85" s="6"/>
      <c r="J85" s="6"/>
      <c r="K85" s="50"/>
      <c r="L85" s="17"/>
    </row>
    <row r="86" spans="1:12" ht="21.75">
      <c r="A86" s="69" t="s">
        <v>61</v>
      </c>
      <c r="B86" s="6" t="s">
        <v>18</v>
      </c>
      <c r="C86" s="29">
        <v>150</v>
      </c>
      <c r="D86" s="29">
        <v>170</v>
      </c>
      <c r="E86" s="29">
        <v>145</v>
      </c>
      <c r="F86" s="29">
        <v>170</v>
      </c>
      <c r="G86" s="7">
        <f t="shared" si="11"/>
        <v>1.5873015873015872</v>
      </c>
      <c r="H86" s="5" t="s">
        <v>121</v>
      </c>
      <c r="I86" s="6"/>
      <c r="J86" s="6"/>
      <c r="K86" s="50"/>
      <c r="L86" s="17"/>
    </row>
    <row r="87" spans="1:12" ht="24.75">
      <c r="A87" s="69" t="s">
        <v>76</v>
      </c>
      <c r="B87" s="6" t="s">
        <v>77</v>
      </c>
      <c r="C87" s="29">
        <v>80000</v>
      </c>
      <c r="D87" s="29">
        <v>85000</v>
      </c>
      <c r="E87" s="29">
        <v>81000</v>
      </c>
      <c r="F87" s="29">
        <v>86000</v>
      </c>
      <c r="G87" s="7">
        <f t="shared" si="11"/>
        <v>-1.1976047904191618</v>
      </c>
      <c r="H87" s="5" t="s">
        <v>123</v>
      </c>
      <c r="I87" s="6"/>
      <c r="J87" s="6"/>
      <c r="K87" s="40"/>
      <c r="L87" s="11"/>
    </row>
    <row r="88" spans="1:12" ht="24.75">
      <c r="A88" s="72"/>
      <c r="B88" s="3"/>
      <c r="C88" s="78"/>
      <c r="D88" s="78"/>
      <c r="E88" s="78"/>
      <c r="F88" s="78"/>
      <c r="G88" s="9"/>
      <c r="H88" s="39"/>
      <c r="I88" s="40"/>
      <c r="J88" s="40"/>
      <c r="K88" s="40"/>
      <c r="L88" s="11"/>
    </row>
    <row r="89" spans="1:12" ht="24.75">
      <c r="A89" s="1"/>
      <c r="B89" s="3"/>
      <c r="C89" s="82"/>
      <c r="D89" s="82"/>
      <c r="E89" s="8"/>
      <c r="F89" s="82"/>
      <c r="G89" s="38"/>
      <c r="H89" s="39"/>
      <c r="I89" s="40"/>
      <c r="J89" s="40"/>
      <c r="K89" s="40"/>
      <c r="L89" s="11"/>
    </row>
    <row r="90" spans="1:12" ht="24.75">
      <c r="A90" s="1"/>
      <c r="B90" s="13"/>
      <c r="C90" s="14"/>
      <c r="D90" s="14"/>
      <c r="E90" s="13"/>
      <c r="F90" s="14"/>
      <c r="G90" s="38"/>
      <c r="H90" s="39"/>
      <c r="I90" s="40"/>
      <c r="J90" s="40"/>
      <c r="K90" s="40"/>
      <c r="L90" s="11"/>
    </row>
    <row r="91" spans="1:12" ht="24.75">
      <c r="A91" s="41"/>
      <c r="B91" s="42" t="s">
        <v>112</v>
      </c>
      <c r="C91" s="10"/>
      <c r="E91" s="84"/>
      <c r="F91" s="85" t="s">
        <v>115</v>
      </c>
      <c r="G91" s="86"/>
      <c r="I91" s="12"/>
      <c r="J91" s="13" t="s">
        <v>127</v>
      </c>
      <c r="K91" s="10"/>
    </row>
    <row r="92" spans="1:12" ht="24.75">
      <c r="A92" s="43"/>
      <c r="B92" s="42" t="s">
        <v>113</v>
      </c>
      <c r="C92" s="13"/>
      <c r="E92" s="43"/>
      <c r="F92" s="85" t="s">
        <v>116</v>
      </c>
      <c r="G92" s="86"/>
      <c r="I92" s="76"/>
      <c r="J92" s="13" t="s">
        <v>128</v>
      </c>
    </row>
    <row r="93" spans="1:12" ht="24.75">
      <c r="A93" s="1"/>
      <c r="B93" s="13"/>
      <c r="C93" s="14"/>
      <c r="D93" s="13"/>
      <c r="E93" s="14"/>
      <c r="F93" s="44"/>
      <c r="G93" s="46"/>
      <c r="H93" s="46"/>
      <c r="I93" s="45"/>
      <c r="J93" s="10"/>
      <c r="K93" s="10"/>
      <c r="L93" s="2"/>
    </row>
    <row r="94" spans="1:12" ht="19.5">
      <c r="A94" s="55" t="s">
        <v>91</v>
      </c>
      <c r="B94" s="53"/>
      <c r="C94" s="51"/>
      <c r="D94" s="53"/>
      <c r="E94" s="51"/>
      <c r="F94" s="51"/>
      <c r="G94" s="51"/>
      <c r="H94" s="52"/>
      <c r="I94" s="57"/>
      <c r="J94" s="2"/>
      <c r="K94" s="2"/>
      <c r="L94" s="2"/>
    </row>
    <row r="95" spans="1:12" ht="19.5">
      <c r="A95" s="54" t="s">
        <v>97</v>
      </c>
      <c r="B95" s="53"/>
      <c r="C95" s="51"/>
      <c r="D95" s="53"/>
      <c r="E95" s="51"/>
      <c r="F95" s="51"/>
      <c r="G95" s="53"/>
      <c r="H95" s="52"/>
      <c r="I95" s="57"/>
      <c r="J95" s="2"/>
      <c r="K95" s="2"/>
      <c r="L95" s="2"/>
    </row>
    <row r="96" spans="1:12" ht="19.5">
      <c r="A96" s="54" t="s">
        <v>96</v>
      </c>
      <c r="B96" s="53"/>
      <c r="C96" s="53"/>
      <c r="D96" s="53"/>
      <c r="E96" s="53"/>
      <c r="F96" s="51"/>
      <c r="G96" s="53"/>
      <c r="H96" s="52"/>
      <c r="I96" s="57"/>
      <c r="J96" s="2"/>
      <c r="K96" s="2"/>
      <c r="L96" s="2"/>
    </row>
    <row r="97" spans="1:12" ht="19.5">
      <c r="A97" s="54" t="s">
        <v>84</v>
      </c>
      <c r="B97" s="53"/>
      <c r="C97" s="53"/>
      <c r="D97" s="53"/>
      <c r="E97" s="53"/>
      <c r="F97" s="52"/>
      <c r="G97" s="52"/>
      <c r="H97" s="52"/>
      <c r="I97" s="57"/>
      <c r="J97" s="2"/>
      <c r="K97" s="2"/>
      <c r="L97" s="2"/>
    </row>
    <row r="98" spans="1:12" ht="19.5">
      <c r="A98" s="54" t="s">
        <v>95</v>
      </c>
      <c r="B98" s="53"/>
      <c r="C98" s="53"/>
      <c r="D98" s="53"/>
      <c r="E98" s="53"/>
      <c r="F98" s="53"/>
      <c r="G98" s="52"/>
      <c r="H98" s="52"/>
      <c r="I98" s="57"/>
      <c r="J98" s="2"/>
      <c r="K98" s="2"/>
      <c r="L98" s="2"/>
    </row>
    <row r="99" spans="1:12" ht="19.5">
      <c r="A99" s="54" t="s">
        <v>94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105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93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92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85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99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98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100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86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4"/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5" t="s">
        <v>87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88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111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110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109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2025-12-18T08:27:59Z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