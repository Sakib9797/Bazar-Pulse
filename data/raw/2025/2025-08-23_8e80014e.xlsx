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12DD5985-4B52-BB45-8B33-686FF5A02F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0" i="4"/>
  <c r="G93" i="4"/>
  <c r="G94" i="4"/>
  <c r="G86" i="4"/>
  <c r="G89" i="4"/>
  <c r="G95" i="4"/>
  <c r="G91" i="4"/>
  <c r="G85" i="4"/>
  <c r="G88" i="4"/>
  <c r="G87" i="4"/>
  <c r="G97" i="4"/>
  <c r="G84" i="4"/>
  <c r="G83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<sst xmlns="http://schemas.openxmlformats.org/spreadsheetml/2006/main" count="255" uniqueCount="139">
  <si>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</si>
  <si>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</si>
  <si>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</si>
  <si>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</si>
  <si>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</si>
  <si>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</si>
  <si>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</si>
  <si>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</si>
  <si>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</si>
  <si>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</si>
  <si>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</si>
  <si>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</si>
  <si>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</si>
  <si>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</si>
  <si>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</si>
  <si>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</si>
  <si>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</si>
  <si>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</si>
  <si>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</si>
  <si>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</si>
  <si>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</si>
  <si>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</si>
  <si>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</si>
  <si>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</si>
  <si>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</si>
  <si>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</si>
  <si>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</si>
  <si>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</si>
  <si>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</si>
  <si>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</si>
  <si>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</si>
  <si>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</si>
  <si>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</si>
  <si>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</si>
  <si>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</si>
  <si>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</si>
  <si>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</si>
  <si>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</si>
  <si>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</si>
  <si>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</si>
  <si>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</si>
  <si>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</si>
  <si>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</si>
  <si>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</si>
  <si>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</si>
  <si>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</si>
  <si>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</si>
  <si>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</si>
  <si>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</si>
  <si>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</si>
  <si>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</si>
  <si>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</si>
  <si>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</si>
  <si>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</si>
  <si>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</si>
  <si>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</si>
  <si>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</si>
  <si>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</si>
  <si>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</si>
  <si>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</si>
  <si>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</si>
  <si>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</si>
  <si>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</si>
  <si>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</si>
  <si>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</si>
  <si>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</si>
  <si>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</si>
  <si>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</si>
  <si>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</si>
  <si>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</si>
  <si>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</si>
  <si>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</si>
  <si>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</si>
  <si>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</si>
  <si>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</si>
  <si>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</si>
  <si>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</si>
  <si>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</si>
  <si>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</si>
  <si>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</si>
  <si>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</si>
  <si>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</si>
  <si>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</si>
  <si>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</si>
  <si>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</si>
  <si>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</si>
  <si>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</si>
  <si>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</si>
  <si>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</si>
  <si>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</si>
  <si>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</si>
  <si>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</si>
  <si>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</si>
  <si>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</si>
  <si>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</si>
  <si>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</si>
  <si>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</si>
  <si>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</si>
  <si>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</si>
  <si>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</si>
  <si>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</si>
  <si>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</si>
  <si>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</si>
  <si>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</si>
  <si>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</si>
  <si>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</si>
  <si>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</si>
  <si>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</si>
  <si>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</si>
  <si>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</si>
  <si>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</si>
  <si>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</si>
  <si>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</si>
  <si>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</si>
  <si>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</si>
  <si>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</si>
  <si>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</si>
  <si>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</si>
  <si>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</si>
  <si>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</si>
  <si>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</si>
  <si>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১৯-০৮-২০২৫ তারিখে মূল্য বৃদ্ধি পেয়েছে।</t>
  </si>
  <si>
    <t>২০-০৮-২০২৫ তারিখে মূল্য হ্রাস পেয়েছে।</t>
  </si>
  <si>
    <t>২১-০৮-২০২৫ তারিখে মূল্য হ্রাস পেয়েছে।</t>
  </si>
  <si>
    <t>২১-০৮-২০২৫ তারিখে মূল্য বৃদ্ধি পেয়েছে।</t>
  </si>
  <si>
    <t xml:space="preserve"> (মোঃ আবুল হাসনাত চৌধুরী)   </t>
  </si>
  <si>
    <t xml:space="preserve"> অতিরিক্ত পরিচালক (বাণিজ্যিক)(প্রতিকল্প)</t>
  </si>
  <si>
    <t>স্মারক নং-২৬.০৫.০০০০.০১৭.৩১.০১.২৫-৫৯১</t>
  </si>
  <si>
    <t xml:space="preserve">   সিরিয়াল নংঃ     ২০৯</t>
  </si>
  <si>
    <t>২২-০৮-২০২৫ তারিখে মূল্য বৃদ্ধি পেয়েছে।</t>
  </si>
  <si>
    <t>২২-০৮-২০২৫ তারিখে মূল্য হ্রাস পেয়েছে।</t>
  </si>
  <si>
    <t>(২ )   পাম অয়েল লুজ, রশুন (দেশী,আম), আদা (আম), ডিম   এর মূল্য হ্রাস পেয়েছে।</t>
  </si>
  <si>
    <t>(১)    আটা (খোলা, প্যা:), সয়াবিন তেল (লুজ, ১লি:, ২লি: বোতল), লবঙ্গ, এলাচ, ধনে, তেজপাতা, মুরগী ব্রয়লার  এর মূল্য বৃদ্ধি পেয়েছে।</t>
  </si>
  <si>
    <t xml:space="preserve">শনিবার ২৩ আগষ্ট ২০২৫ খ্রিঃ, ০৮ ভাদ্র ১৪৩২ বাংলা, ২৮ সফর ১৪৪৭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</si>
</sst>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abSelected="1" topLeftCell="J1" zoomScale="98" zoomScaleNormal="98" workbookViewId="0">
      <selection activeCell="L6" sqref="L6"/>
    </sheetView>
  </sheetViews>
  <sheetFormatPr defaultRowHeight="16.5" x14ac:dyDescent="0.25"/>
  <cols>
    <col min="1" max="1" width="17.320312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128</v>
      </c>
      <c r="L4" s="86"/>
    </row>
    <row r="5" spans="1:12" ht="19.5" customHeight="1" x14ac:dyDescent="0.25">
      <c r="A5" s="18"/>
      <c r="B5" s="8"/>
      <c r="C5" s="8"/>
      <c r="D5" s="18"/>
      <c r="E5" s="8"/>
      <c r="F5" s="8" t="s">
        <v>133</v>
      </c>
      <c r="G5" s="8"/>
      <c r="H5" s="8"/>
      <c r="I5" s="8"/>
      <c r="J5" s="8"/>
      <c r="K5" s="8"/>
      <c r="L5" s="50"/>
    </row>
    <row r="6" spans="1:12" ht="21" x14ac:dyDescent="0.25">
      <c r="A6" s="21" t="s">
        <v>127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45892</v>
      </c>
    </row>
    <row r="7" spans="1:12" ht="21" x14ac:dyDescent="0.2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" x14ac:dyDescent="0.25">
      <c r="A8" s="26"/>
      <c r="B8" s="27"/>
      <c r="C8" s="85">
        <v>45892</v>
      </c>
      <c r="D8" s="86"/>
      <c r="E8" s="85">
        <v>45884</v>
      </c>
      <c r="F8" s="86"/>
      <c r="G8" s="85">
        <v>45861</v>
      </c>
      <c r="H8" s="86"/>
      <c r="I8" s="27" t="s">
        <v>12</v>
      </c>
      <c r="J8" s="85">
        <v>45527</v>
      </c>
      <c r="K8" s="86"/>
      <c r="L8" s="27" t="s">
        <v>12</v>
      </c>
    </row>
    <row r="9" spans="1:12" ht="21" x14ac:dyDescent="0.2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" x14ac:dyDescent="0.3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3" t="s">
        <v>21</v>
      </c>
      <c r="B14" s="6" t="s">
        <v>18</v>
      </c>
      <c r="C14" s="30">
        <v>45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" x14ac:dyDescent="0.3">
      <c r="A15" s="73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3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" x14ac:dyDescent="0.3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3" t="s">
        <v>29</v>
      </c>
      <c r="B21" s="6" t="s">
        <v>31</v>
      </c>
      <c r="C21" s="30">
        <v>372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0.26737967914438499</v>
      </c>
      <c r="J21" s="30">
        <v>325</v>
      </c>
      <c r="K21" s="30">
        <v>330</v>
      </c>
      <c r="L21" s="32">
        <f t="shared" si="1"/>
        <v>14.503816793893129</v>
      </c>
    </row>
    <row r="22" spans="1:12" ht="21" x14ac:dyDescent="0.3">
      <c r="A22" s="73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3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148</v>
      </c>
      <c r="H23" s="30">
        <v>155</v>
      </c>
      <c r="I23" s="31">
        <f t="shared" si="0"/>
        <v>1.6501650165016499</v>
      </c>
      <c r="J23" s="30">
        <v>125</v>
      </c>
      <c r="K23" s="30">
        <v>135</v>
      </c>
      <c r="L23" s="32">
        <f t="shared" si="1"/>
        <v>18.461538461538463</v>
      </c>
    </row>
    <row r="24" spans="1:12" ht="21" x14ac:dyDescent="0.3">
      <c r="A24" s="73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30">
        <v>135</v>
      </c>
      <c r="K24" s="30">
        <v>140</v>
      </c>
      <c r="L24" s="32">
        <f t="shared" si="1"/>
        <v>14.545454545454545</v>
      </c>
    </row>
    <row r="25" spans="1:12" ht="21" x14ac:dyDescent="0.3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" x14ac:dyDescent="0.3">
      <c r="A29" s="73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12.962962962962962</v>
      </c>
      <c r="J29" s="30">
        <v>130</v>
      </c>
      <c r="K29" s="30">
        <v>135</v>
      </c>
      <c r="L29" s="32">
        <f t="shared" si="3"/>
        <v>15.09433962264151</v>
      </c>
    </row>
    <row r="30" spans="1:12" ht="21" x14ac:dyDescent="0.3">
      <c r="A30" s="73" t="s">
        <v>39</v>
      </c>
      <c r="B30" s="6" t="s">
        <v>18</v>
      </c>
      <c r="C30" s="30">
        <v>150</v>
      </c>
      <c r="D30" s="30">
        <v>180</v>
      </c>
      <c r="E30" s="30">
        <v>160</v>
      </c>
      <c r="F30" s="30">
        <v>180</v>
      </c>
      <c r="G30" s="30">
        <v>110</v>
      </c>
      <c r="H30" s="30">
        <v>180</v>
      </c>
      <c r="I30" s="31">
        <f t="shared" si="2"/>
        <v>13.793103448275861</v>
      </c>
      <c r="J30" s="30">
        <v>160</v>
      </c>
      <c r="K30" s="30">
        <v>185</v>
      </c>
      <c r="L30" s="32">
        <f t="shared" si="3"/>
        <v>-4.3478260869565215</v>
      </c>
    </row>
    <row r="31" spans="1:12" ht="21" x14ac:dyDescent="0.3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" x14ac:dyDescent="0.3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50</v>
      </c>
      <c r="K33" s="30">
        <v>55</v>
      </c>
      <c r="L33" s="32">
        <f t="shared" si="3"/>
        <v>-47.619047619047613</v>
      </c>
    </row>
    <row r="34" spans="1:12" ht="21" x14ac:dyDescent="0.3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105</v>
      </c>
      <c r="K35" s="30">
        <v>115</v>
      </c>
      <c r="L35" s="32">
        <f t="shared" ref="L35:L50" si="5">((C35+D35)/2-(J35+K35)/2)/((J35+K35)/2)*100</f>
        <v>-27.27272727272727</v>
      </c>
    </row>
    <row r="36" spans="1:12" ht="21" x14ac:dyDescent="0.3">
      <c r="A36" s="73" t="s">
        <v>44</v>
      </c>
      <c r="B36" s="6" t="s">
        <v>18</v>
      </c>
      <c r="C36" s="30">
        <v>70</v>
      </c>
      <c r="D36" s="30">
        <v>80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80</v>
      </c>
      <c r="K36" s="30">
        <v>100</v>
      </c>
      <c r="L36" s="32">
        <f t="shared" si="5"/>
        <v>-16.666666666666664</v>
      </c>
    </row>
    <row r="37" spans="1:12" ht="21" x14ac:dyDescent="0.3">
      <c r="A37" s="73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30">
        <v>190</v>
      </c>
      <c r="K37" s="30">
        <v>220</v>
      </c>
      <c r="L37" s="32">
        <f t="shared" si="5"/>
        <v>-43.902439024390247</v>
      </c>
    </row>
    <row r="38" spans="1:12" ht="21" x14ac:dyDescent="0.3">
      <c r="A38" s="73" t="s">
        <v>46</v>
      </c>
      <c r="B38" s="6" t="s">
        <v>18</v>
      </c>
      <c r="C38" s="30">
        <v>140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180</v>
      </c>
      <c r="K38" s="30">
        <v>220</v>
      </c>
      <c r="L38" s="32">
        <f t="shared" si="5"/>
        <v>-15</v>
      </c>
    </row>
    <row r="39" spans="1:12" ht="21" x14ac:dyDescent="0.3">
      <c r="A39" s="73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320</v>
      </c>
      <c r="K39" s="30">
        <v>400</v>
      </c>
      <c r="L39" s="32">
        <f t="shared" si="5"/>
        <v>-16.666666666666664</v>
      </c>
    </row>
    <row r="40" spans="1:12" ht="21" x14ac:dyDescent="0.3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" x14ac:dyDescent="0.3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3" t="s">
        <v>52</v>
      </c>
      <c r="B44" s="6" t="s">
        <v>18</v>
      </c>
      <c r="C44" s="30">
        <v>150</v>
      </c>
      <c r="D44" s="30">
        <v>270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" x14ac:dyDescent="0.3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" x14ac:dyDescent="0.3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500</v>
      </c>
      <c r="K46" s="30">
        <v>600</v>
      </c>
      <c r="L46" s="32">
        <f t="shared" si="5"/>
        <v>0</v>
      </c>
    </row>
    <row r="47" spans="1:12" ht="21" x14ac:dyDescent="0.3">
      <c r="A47" s="73" t="s">
        <v>55</v>
      </c>
      <c r="B47" s="6" t="s">
        <v>18</v>
      </c>
      <c r="C47" s="30">
        <v>1400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3.3333333333333335</v>
      </c>
      <c r="J47" s="30">
        <v>1300</v>
      </c>
      <c r="K47" s="30">
        <v>1600</v>
      </c>
      <c r="L47" s="32">
        <f t="shared" si="5"/>
        <v>6.8965517241379306</v>
      </c>
    </row>
    <row r="48" spans="1:12" ht="21" x14ac:dyDescent="0.3">
      <c r="A48" s="73" t="s">
        <v>56</v>
      </c>
      <c r="B48" s="6" t="s">
        <v>18</v>
      </c>
      <c r="C48" s="30">
        <v>4600</v>
      </c>
      <c r="D48" s="30">
        <v>5500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" x14ac:dyDescent="0.3">
      <c r="A49" s="73" t="s">
        <v>57</v>
      </c>
      <c r="B49" s="6" t="s">
        <v>18</v>
      </c>
      <c r="C49" s="30">
        <v>200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" x14ac:dyDescent="0.3">
      <c r="A50" s="73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" x14ac:dyDescent="0.3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3" t="s">
        <v>61</v>
      </c>
      <c r="B53" s="6" t="s">
        <v>18</v>
      </c>
      <c r="C53" s="30">
        <v>900</v>
      </c>
      <c r="D53" s="30">
        <v>2200</v>
      </c>
      <c r="E53" s="30">
        <v>800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780</v>
      </c>
      <c r="L54" s="32">
        <f t="shared" si="7"/>
        <v>4.7297297297297298</v>
      </c>
    </row>
    <row r="55" spans="1:12" ht="21" x14ac:dyDescent="0.3">
      <c r="A55" s="73" t="s">
        <v>94</v>
      </c>
      <c r="B55" s="6" t="s">
        <v>18</v>
      </c>
      <c r="C55" s="30">
        <v>1000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3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175</v>
      </c>
      <c r="G56" s="30">
        <v>150</v>
      </c>
      <c r="H56" s="30">
        <v>170</v>
      </c>
      <c r="I56" s="31">
        <f t="shared" si="6"/>
        <v>10.9375</v>
      </c>
      <c r="J56" s="30">
        <v>160</v>
      </c>
      <c r="K56" s="30">
        <v>175</v>
      </c>
      <c r="L56" s="32">
        <f t="shared" si="7"/>
        <v>5.9701492537313428</v>
      </c>
    </row>
    <row r="57" spans="1:12" ht="21" x14ac:dyDescent="0.3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 x14ac:dyDescent="0.3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 x14ac:dyDescent="0.3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 x14ac:dyDescent="0.3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 x14ac:dyDescent="0.3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 x14ac:dyDescent="0.3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" x14ac:dyDescent="0.2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 x14ac:dyDescent="0.25">
      <c r="A67" s="77"/>
      <c r="B67" s="68"/>
      <c r="C67" s="85">
        <v>45892</v>
      </c>
      <c r="D67" s="86"/>
      <c r="E67" s="85">
        <v>45884</v>
      </c>
      <c r="F67" s="86"/>
      <c r="G67" s="85">
        <v>45861</v>
      </c>
      <c r="H67" s="86"/>
      <c r="I67" s="27" t="s">
        <v>12</v>
      </c>
      <c r="J67" s="85">
        <v>45527</v>
      </c>
      <c r="K67" s="86"/>
      <c r="L67" s="27" t="s">
        <v>12</v>
      </c>
    </row>
    <row r="68" spans="1:12" ht="21" x14ac:dyDescent="0.2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130</v>
      </c>
      <c r="K69" s="30">
        <v>135</v>
      </c>
      <c r="L69" s="32">
        <f t="shared" ref="L69:L75" si="8">((C69+D69)/2-(J69+K69)/2)/((J69+K69)/2)*100</f>
        <v>-18.867924528301888</v>
      </c>
    </row>
    <row r="70" spans="1:12" ht="21" x14ac:dyDescent="0.3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3" t="s">
        <v>73</v>
      </c>
      <c r="B72" s="6" t="s">
        <v>74</v>
      </c>
      <c r="C72" s="38">
        <v>45</v>
      </c>
      <c r="D72" s="38">
        <v>50</v>
      </c>
      <c r="E72" s="38">
        <v>48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52</v>
      </c>
      <c r="L72" s="32">
        <f t="shared" si="8"/>
        <v>-6.8627450980392162</v>
      </c>
    </row>
    <row r="73" spans="1:12" ht="21" x14ac:dyDescent="0.3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-2.0114942528735633</v>
      </c>
      <c r="J74" s="30">
        <v>97500</v>
      </c>
      <c r="K74" s="30">
        <v>99500</v>
      </c>
      <c r="L74" s="32">
        <f t="shared" si="8"/>
        <v>-13.451776649746192</v>
      </c>
    </row>
    <row r="75" spans="1:12" ht="21" x14ac:dyDescent="0.3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 x14ac:dyDescent="0.25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132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" x14ac:dyDescent="0.3">
      <c r="A83" s="5" t="s">
        <v>21</v>
      </c>
      <c r="B83" s="6" t="s">
        <v>18</v>
      </c>
      <c r="C83" s="30">
        <v>45</v>
      </c>
      <c r="D83" s="30">
        <v>50</v>
      </c>
      <c r="E83" s="30">
        <v>42</v>
      </c>
      <c r="F83" s="30">
        <v>45</v>
      </c>
      <c r="G83" s="7">
        <f t="shared" ref="G83:G97" si="10">((C83+D83)/2-(E83+F83)/2)/((E83+F83)/2)*100</f>
        <v>9.1954022988505741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22</v>
      </c>
      <c r="B84" s="6" t="s">
        <v>23</v>
      </c>
      <c r="C84" s="30">
        <v>55</v>
      </c>
      <c r="D84" s="30">
        <v>65</v>
      </c>
      <c r="E84" s="30">
        <v>52</v>
      </c>
      <c r="F84" s="30">
        <v>60</v>
      </c>
      <c r="G84" s="7">
        <f t="shared" si="10"/>
        <v>7.1428571428571423</v>
      </c>
      <c r="H84" s="5" t="s">
        <v>119</v>
      </c>
      <c r="I84" s="6"/>
      <c r="J84" s="6"/>
      <c r="K84" s="51"/>
      <c r="L84" s="18"/>
    </row>
    <row r="85" spans="1:12" ht="21" x14ac:dyDescent="0.3">
      <c r="A85" s="73" t="s">
        <v>27</v>
      </c>
      <c r="B85" s="6" t="s">
        <v>28</v>
      </c>
      <c r="C85" s="30">
        <v>165</v>
      </c>
      <c r="D85" s="30">
        <v>172</v>
      </c>
      <c r="E85" s="30">
        <v>162</v>
      </c>
      <c r="F85" s="30">
        <v>172</v>
      </c>
      <c r="G85" s="7">
        <f t="shared" si="10"/>
        <v>0.89820359281437123</v>
      </c>
      <c r="H85" s="5" t="s">
        <v>117</v>
      </c>
      <c r="I85" s="6"/>
      <c r="J85" s="6"/>
      <c r="K85" s="51"/>
      <c r="L85" s="18"/>
    </row>
    <row r="86" spans="1:12" ht="21" x14ac:dyDescent="0.3">
      <c r="A86" s="73" t="s">
        <v>29</v>
      </c>
      <c r="B86" s="6" t="s">
        <v>31</v>
      </c>
      <c r="C86" s="30">
        <v>372</v>
      </c>
      <c r="D86" s="30">
        <v>378</v>
      </c>
      <c r="E86" s="30">
        <v>370</v>
      </c>
      <c r="F86" s="30">
        <v>378</v>
      </c>
      <c r="G86" s="7">
        <f t="shared" si="10"/>
        <v>0.26737967914438499</v>
      </c>
      <c r="H86" s="5" t="s">
        <v>121</v>
      </c>
      <c r="I86" s="6"/>
      <c r="J86" s="6"/>
      <c r="K86" s="51"/>
      <c r="L86" s="18"/>
    </row>
    <row r="87" spans="1:12" ht="21" x14ac:dyDescent="0.3">
      <c r="A87" s="73" t="s">
        <v>29</v>
      </c>
      <c r="B87" s="6" t="s">
        <v>32</v>
      </c>
      <c r="C87" s="30">
        <v>188</v>
      </c>
      <c r="D87" s="30">
        <v>190</v>
      </c>
      <c r="E87" s="30">
        <v>185</v>
      </c>
      <c r="F87" s="30">
        <v>190</v>
      </c>
      <c r="G87" s="7">
        <f t="shared" si="10"/>
        <v>0.8</v>
      </c>
      <c r="H87" s="5" t="s">
        <v>117</v>
      </c>
      <c r="I87" s="6"/>
      <c r="J87" s="6"/>
      <c r="K87" s="51"/>
      <c r="L87" s="18"/>
    </row>
    <row r="88" spans="1:12" ht="21" x14ac:dyDescent="0.3">
      <c r="A88" s="73" t="s">
        <v>33</v>
      </c>
      <c r="B88" s="6" t="s">
        <v>28</v>
      </c>
      <c r="C88" s="30">
        <v>150</v>
      </c>
      <c r="D88" s="30">
        <v>158</v>
      </c>
      <c r="E88" s="30">
        <v>150</v>
      </c>
      <c r="F88" s="30">
        <v>160</v>
      </c>
      <c r="G88" s="7">
        <f t="shared" si="10"/>
        <v>-0.64516129032258063</v>
      </c>
      <c r="H88" s="5" t="s">
        <v>118</v>
      </c>
      <c r="I88" s="6"/>
      <c r="J88" s="6"/>
      <c r="K88" s="51"/>
      <c r="L88" s="18"/>
    </row>
    <row r="89" spans="1:12" ht="21" x14ac:dyDescent="0.3">
      <c r="A89" s="73" t="s">
        <v>45</v>
      </c>
      <c r="B89" s="6" t="s">
        <v>18</v>
      </c>
      <c r="C89" s="30">
        <v>80</v>
      </c>
      <c r="D89" s="30">
        <v>150</v>
      </c>
      <c r="E89" s="30">
        <v>80</v>
      </c>
      <c r="F89" s="30">
        <v>160</v>
      </c>
      <c r="G89" s="7">
        <f t="shared" si="10"/>
        <v>-4.1666666666666661</v>
      </c>
      <c r="H89" s="5" t="s">
        <v>120</v>
      </c>
      <c r="I89" s="6"/>
      <c r="J89" s="6"/>
      <c r="K89" s="51"/>
      <c r="L89" s="18"/>
    </row>
    <row r="90" spans="1:12" ht="21" x14ac:dyDescent="0.3">
      <c r="A90" s="73" t="s">
        <v>46</v>
      </c>
      <c r="B90" s="6" t="s">
        <v>18</v>
      </c>
      <c r="C90" s="30">
        <v>140</v>
      </c>
      <c r="D90" s="30">
        <v>200</v>
      </c>
      <c r="E90" s="30">
        <v>160</v>
      </c>
      <c r="F90" s="30">
        <v>200</v>
      </c>
      <c r="G90" s="7">
        <f>((C90+D90)/2-(E90+F90)/2)/((E90+F90)/2)*100</f>
        <v>-5.5555555555555554</v>
      </c>
      <c r="H90" s="5" t="s">
        <v>122</v>
      </c>
      <c r="I90" s="6"/>
      <c r="J90" s="6"/>
      <c r="K90" s="51"/>
      <c r="L90" s="18"/>
    </row>
    <row r="91" spans="1:12" ht="21" x14ac:dyDescent="0.3">
      <c r="A91" s="73" t="s">
        <v>52</v>
      </c>
      <c r="B91" s="6" t="s">
        <v>18</v>
      </c>
      <c r="C91" s="30">
        <v>150</v>
      </c>
      <c r="D91" s="30">
        <v>270</v>
      </c>
      <c r="E91" s="30">
        <v>180</v>
      </c>
      <c r="F91" s="30">
        <v>280</v>
      </c>
      <c r="G91" s="7">
        <f t="shared" si="10"/>
        <v>-8.695652173913043</v>
      </c>
      <c r="H91" s="5" t="s">
        <v>123</v>
      </c>
      <c r="I91" s="6"/>
      <c r="J91" s="6"/>
      <c r="K91" s="51"/>
      <c r="L91" s="18"/>
    </row>
    <row r="92" spans="1:12" ht="21" x14ac:dyDescent="0.3">
      <c r="A92" s="73" t="s">
        <v>55</v>
      </c>
      <c r="B92" s="6" t="s">
        <v>18</v>
      </c>
      <c r="C92" s="30">
        <v>1400</v>
      </c>
      <c r="D92" s="30">
        <v>1700</v>
      </c>
      <c r="E92" s="30">
        <v>1400</v>
      </c>
      <c r="F92" s="30">
        <v>1600</v>
      </c>
      <c r="G92" s="7">
        <f>((C92+D92)/2-(E92+F92)/2)/((E92+F92)/2)*100</f>
        <v>3.3333333333333335</v>
      </c>
      <c r="H92" s="5" t="s">
        <v>129</v>
      </c>
      <c r="I92" s="6"/>
      <c r="J92" s="6"/>
      <c r="K92" s="51"/>
      <c r="L92" s="18"/>
    </row>
    <row r="93" spans="1:12" ht="21" x14ac:dyDescent="0.3">
      <c r="A93" s="73" t="s">
        <v>56</v>
      </c>
      <c r="B93" s="6" t="s">
        <v>18</v>
      </c>
      <c r="C93" s="30">
        <v>4600</v>
      </c>
      <c r="D93" s="30">
        <v>5500</v>
      </c>
      <c r="E93" s="30">
        <v>4500</v>
      </c>
      <c r="F93" s="30">
        <v>5200</v>
      </c>
      <c r="G93" s="7">
        <f>((C93+D93)/2-(E93+F93)/2)/((E93+F93)/2)*100</f>
        <v>4.1237113402061851</v>
      </c>
      <c r="H93" s="5" t="s">
        <v>129</v>
      </c>
      <c r="I93" s="6"/>
      <c r="J93" s="6"/>
      <c r="K93" s="51"/>
      <c r="L93" s="18"/>
    </row>
    <row r="94" spans="1:12" ht="21" x14ac:dyDescent="0.3">
      <c r="A94" s="73" t="s">
        <v>57</v>
      </c>
      <c r="B94" s="6" t="s">
        <v>18</v>
      </c>
      <c r="C94" s="30">
        <v>200</v>
      </c>
      <c r="D94" s="30">
        <v>280</v>
      </c>
      <c r="E94" s="30">
        <v>180</v>
      </c>
      <c r="F94" s="30">
        <v>280</v>
      </c>
      <c r="G94" s="7">
        <f>((C94+D94)/2-(E94+F94)/2)/((E94+F94)/2)*100</f>
        <v>4.3478260869565215</v>
      </c>
      <c r="H94" s="5" t="s">
        <v>124</v>
      </c>
      <c r="I94" s="6"/>
      <c r="J94" s="6"/>
      <c r="K94" s="51"/>
      <c r="L94" s="18"/>
    </row>
    <row r="95" spans="1:12" ht="21" x14ac:dyDescent="0.3">
      <c r="A95" s="73" t="s">
        <v>58</v>
      </c>
      <c r="B95" s="6" t="s">
        <v>18</v>
      </c>
      <c r="C95" s="30">
        <v>200</v>
      </c>
      <c r="D95" s="30">
        <v>220</v>
      </c>
      <c r="E95" s="30">
        <v>180</v>
      </c>
      <c r="F95" s="30">
        <v>220</v>
      </c>
      <c r="G95" s="7">
        <f t="shared" si="10"/>
        <v>5</v>
      </c>
      <c r="H95" s="5" t="s">
        <v>124</v>
      </c>
      <c r="I95" s="6"/>
      <c r="J95" s="6"/>
      <c r="K95" s="51"/>
      <c r="L95" s="18"/>
    </row>
    <row r="96" spans="1:12" ht="21" x14ac:dyDescent="0.3">
      <c r="A96" s="73" t="s">
        <v>62</v>
      </c>
      <c r="B96" s="6" t="s">
        <v>18</v>
      </c>
      <c r="C96" s="30">
        <v>170</v>
      </c>
      <c r="D96" s="30">
        <v>185</v>
      </c>
      <c r="E96" s="30">
        <v>160</v>
      </c>
      <c r="F96" s="30">
        <v>175</v>
      </c>
      <c r="G96" s="7">
        <f t="shared" si="10"/>
        <v>5.9701492537313428</v>
      </c>
      <c r="H96" s="5" t="s">
        <v>119</v>
      </c>
      <c r="I96" s="6"/>
      <c r="J96" s="6"/>
      <c r="K96" s="51"/>
      <c r="L96" s="18"/>
    </row>
    <row r="97" spans="1:12" ht="21" x14ac:dyDescent="0.3">
      <c r="A97" s="73" t="s">
        <v>73</v>
      </c>
      <c r="B97" s="6" t="s">
        <v>74</v>
      </c>
      <c r="C97" s="38">
        <v>45</v>
      </c>
      <c r="D97" s="38">
        <v>50</v>
      </c>
      <c r="E97" s="38">
        <v>48</v>
      </c>
      <c r="F97" s="38">
        <v>50</v>
      </c>
      <c r="G97" s="7">
        <f t="shared" si="10"/>
        <v>-3.0612244897959182</v>
      </c>
      <c r="H97" s="5" t="s">
        <v>130</v>
      </c>
      <c r="I97" s="6"/>
      <c r="J97" s="6"/>
      <c r="K97" s="51"/>
      <c r="L97" s="18"/>
    </row>
    <row r="98" spans="1:12" ht="21" x14ac:dyDescent="0.3">
      <c r="A98" s="76"/>
      <c r="B98" s="3"/>
      <c r="C98" s="84"/>
      <c r="D98" s="84"/>
      <c r="E98" s="84"/>
      <c r="F98" s="84"/>
      <c r="G98" s="10"/>
      <c r="H98" s="1"/>
      <c r="I98" s="3"/>
      <c r="J98" s="3"/>
      <c r="K98" s="51"/>
      <c r="L98" s="18"/>
    </row>
    <row r="99" spans="1:12" ht="21" x14ac:dyDescent="0.3">
      <c r="A99" s="76"/>
      <c r="B99" s="3"/>
      <c r="C99" s="84"/>
      <c r="D99" s="84"/>
      <c r="E99" s="84"/>
      <c r="F99" s="84"/>
      <c r="G99" s="10"/>
      <c r="H99" s="1"/>
      <c r="I99" s="3"/>
      <c r="J99" s="3"/>
      <c r="K99" s="51"/>
      <c r="L99" s="18"/>
    </row>
    <row r="100" spans="1:12" ht="23.25" x14ac:dyDescent="0.3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3.25" x14ac:dyDescent="0.3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3.25" x14ac:dyDescent="0.3">
      <c r="A102" s="1"/>
      <c r="B102" s="14"/>
      <c r="C102" s="15"/>
      <c r="D102" s="15"/>
      <c r="E102" s="14"/>
      <c r="F102" s="15"/>
      <c r="G102" s="39"/>
      <c r="H102" s="40"/>
      <c r="I102" s="41"/>
      <c r="J102" s="41"/>
      <c r="K102" s="41"/>
      <c r="L102" s="12"/>
    </row>
    <row r="103" spans="1:12" ht="23.25" x14ac:dyDescent="0.3">
      <c r="A103" s="1"/>
      <c r="B103" s="42"/>
      <c r="C103" s="43" t="s">
        <v>115</v>
      </c>
      <c r="D103" s="11"/>
      <c r="E103" s="42"/>
      <c r="F103" s="14"/>
      <c r="G103" s="11"/>
      <c r="H103" s="40"/>
      <c r="I103" s="13"/>
      <c r="J103" s="14" t="s">
        <v>125</v>
      </c>
      <c r="K103" s="11"/>
      <c r="L103" s="11"/>
    </row>
    <row r="104" spans="1:12" ht="23.25" x14ac:dyDescent="0.3">
      <c r="A104" s="1"/>
      <c r="B104" s="44"/>
      <c r="C104" s="43" t="s">
        <v>116</v>
      </c>
      <c r="D104" s="14"/>
      <c r="E104" s="42"/>
      <c r="F104" s="45"/>
      <c r="G104" s="47"/>
      <c r="H104" s="47"/>
      <c r="I104" s="80"/>
      <c r="J104" s="14" t="s">
        <v>126</v>
      </c>
      <c r="K104" s="14"/>
      <c r="L104" s="14"/>
    </row>
    <row r="105" spans="1:12" ht="23.25" x14ac:dyDescent="0.3">
      <c r="A105" s="1"/>
      <c r="B105" s="14"/>
      <c r="C105" s="15"/>
      <c r="D105" s="14"/>
      <c r="E105" s="15"/>
      <c r="F105" s="45"/>
      <c r="G105" s="47"/>
      <c r="H105" s="47"/>
      <c r="I105" s="46"/>
      <c r="J105" s="11"/>
      <c r="K105" s="11"/>
      <c r="L105" s="2"/>
    </row>
    <row r="106" spans="1:12" ht="18.75" x14ac:dyDescent="0.25">
      <c r="A106" s="56" t="s">
        <v>95</v>
      </c>
      <c r="B106" s="54"/>
      <c r="C106" s="52"/>
      <c r="D106" s="54"/>
      <c r="E106" s="52"/>
      <c r="F106" s="52"/>
      <c r="G106" s="52"/>
      <c r="H106" s="53"/>
      <c r="I106" s="58"/>
      <c r="J106" s="2"/>
      <c r="K106" s="2"/>
      <c r="L106" s="2"/>
    </row>
    <row r="107" spans="1:12" ht="18.75" x14ac:dyDescent="0.25">
      <c r="A107" s="55" t="s">
        <v>101</v>
      </c>
      <c r="B107" s="54"/>
      <c r="C107" s="52"/>
      <c r="D107" s="54"/>
      <c r="E107" s="52"/>
      <c r="F107" s="52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100</v>
      </c>
      <c r="B108" s="54"/>
      <c r="C108" s="54"/>
      <c r="D108" s="54"/>
      <c r="E108" s="54"/>
      <c r="F108" s="52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85</v>
      </c>
      <c r="B109" s="54"/>
      <c r="C109" s="54"/>
      <c r="D109" s="54"/>
      <c r="E109" s="54"/>
      <c r="F109" s="53"/>
      <c r="G109" s="53"/>
      <c r="H109" s="53"/>
      <c r="I109" s="58"/>
      <c r="J109" s="2"/>
      <c r="K109" s="2"/>
      <c r="L109" s="2"/>
    </row>
    <row r="110" spans="1:12" ht="18.75" x14ac:dyDescent="0.25">
      <c r="A110" s="55" t="s">
        <v>99</v>
      </c>
      <c r="B110" s="54"/>
      <c r="C110" s="54"/>
      <c r="D110" s="54"/>
      <c r="E110" s="54"/>
      <c r="F110" s="54"/>
      <c r="G110" s="53"/>
      <c r="H110" s="53"/>
      <c r="I110" s="58"/>
      <c r="J110" s="2"/>
      <c r="K110" s="2"/>
      <c r="L110" s="2"/>
    </row>
    <row r="111" spans="1:12" ht="18.75" x14ac:dyDescent="0.25">
      <c r="A111" s="55" t="s">
        <v>98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109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97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96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86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103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102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104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8.75" x14ac:dyDescent="0.25">
      <c r="A119" s="55" t="s">
        <v>105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8.75" x14ac:dyDescent="0.25">
      <c r="A120" s="55" t="s">
        <v>87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/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6" t="s">
        <v>88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89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.75" x14ac:dyDescent="0.25">
      <c r="A124" s="55" t="s">
        <v>90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.75" x14ac:dyDescent="0.25">
      <c r="A125" s="55" t="s">
        <v>91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" x14ac:dyDescent="0.25">
      <c r="A126" s="60"/>
      <c r="B126" s="58"/>
      <c r="C126" s="58"/>
      <c r="D126" s="58"/>
      <c r="E126" s="58"/>
      <c r="F126" s="58"/>
      <c r="G126" s="58"/>
      <c r="H126" s="61"/>
      <c r="I126" s="59"/>
      <c r="J126" s="12"/>
      <c r="K126" s="12"/>
      <c r="L126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2025-08-21T09:59:16Z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