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December-2025\"/>
    </mc:Choice>
  </mc:AlternateContent>
  <xr:revisionPtr revIDLastSave="0" documentId="8_{AF17EA53-61F9-8841-B421-7C3FF9B64BA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5" i="4" l="1"/>
  <c r="G91" i="4"/>
  <c r="G95" i="4"/>
  <c r="G86" i="4"/>
  <c r="G84" i="4"/>
  <c r="G87" i="4"/>
  <c r="G89" i="4"/>
  <c r="G93" i="4"/>
  <c r="G92" i="4"/>
  <c r="G90" i="4"/>
  <c r="G88" i="4"/>
  <c r="G83" i="4"/>
  <c r="G94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<sst xmlns="http://schemas.openxmlformats.org/spreadsheetml/2006/main" count="252" uniqueCount="140">
  <si>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</si>
  <si>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</si>
  <si>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</si>
  <si>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</si>
  <si>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</si>
  <si>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</si>
  <si>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</si>
  <si>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</si>
  <si>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</si>
  <si>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</si>
  <si>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</si>
  <si>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</si>
  <si>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</si>
  <si>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</si>
  <si>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</si>
  <si>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</si>
  <si>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</si>
  <si>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</si>
  <si>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</si>
  <si>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</si>
  <si>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</si>
  <si>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</si>
  <si>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</si>
  <si>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</si>
  <si>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</si>
  <si>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</si>
  <si>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</si>
  <si>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</si>
  <si>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</si>
  <si>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</si>
  <si>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</si>
  <si>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</si>
  <si>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</si>
  <si>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</si>
  <si>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</si>
  <si>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</si>
  <si>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</si>
  <si>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</si>
  <si>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</si>
  <si>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</si>
  <si>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</si>
  <si>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</si>
  <si>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</si>
  <si>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</si>
  <si>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</si>
  <si>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</si>
  <si>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</si>
  <si>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</si>
  <si>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</si>
  <si>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</si>
  <si>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</si>
  <si>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</si>
  <si>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</si>
  <si>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</si>
  <si>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</si>
  <si>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</si>
  <si>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</si>
  <si>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</si>
  <si>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</si>
  <si>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</si>
  <si>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</si>
  <si>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</si>
  <si>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</si>
  <si>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</si>
  <si>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</si>
  <si>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</si>
  <si>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</si>
  <si>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</si>
  <si>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</si>
  <si>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</si>
  <si>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</si>
  <si>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</si>
  <si>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</si>
  <si>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</si>
  <si>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</si>
  <si>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</si>
  <si>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</si>
  <si>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</si>
  <si>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</si>
  <si>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</si>
  <si>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</si>
  <si>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</si>
  <si>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</si>
  <si>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</si>
  <si>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</si>
  <si>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</si>
  <si>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</si>
  <si>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</si>
  <si>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</si>
  <si>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</si>
  <si>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</si>
  <si>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</si>
  <si>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</si>
  <si>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</si>
  <si>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</si>
  <si>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</si>
  <si>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</si>
  <si>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</si>
  <si>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</si>
  <si>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</si>
  <si>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</si>
  <si>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</si>
  <si>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</si>
  <si>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</si>
  <si>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</si>
  <si>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</si>
  <si>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</si>
  <si>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</si>
  <si>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</si>
  <si>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</si>
  <si>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</si>
  <si>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</si>
  <si>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</si>
  <si>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</si>
  <si>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</si>
  <si>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(মোঃ শাহাদত হোসেন)</t>
  </si>
  <si>
    <t>উপ পরিচালক (বাজার তথ্য)</t>
  </si>
  <si>
    <t>২৫-১১-২০২৫ তারিখে মূল্য হ্রাস পেয়েছে।</t>
  </si>
  <si>
    <t>২৭-১১-২০২৫ তারিখে মূল্য হ্রাস পেয়েছে।</t>
  </si>
  <si>
    <t>(৩)  অন্যান্য পণ্যের মূল্য অপরিবর্তীত রয়েছে।</t>
  </si>
  <si>
    <t>৩০-১১-২০২৫ তারিখে মূল্য হ্রাস পেয়েছে।</t>
  </si>
  <si>
    <t>(জামাল উদ্দিন আহমেদ)</t>
  </si>
  <si>
    <t>যুগ্ম পরিচালক (বাজার তথ্য)</t>
  </si>
  <si>
    <t xml:space="preserve"> (মোঃ রবিউল মোর্শেদ)   </t>
  </si>
  <si>
    <t xml:space="preserve"> অতিরিক্ত পরিচালক (বাণিজ্যিক)(প্রতিকল্প)</t>
  </si>
  <si>
    <t>০১-১২-২০২৫ তারিখে মূল্য হ্রাস পেয়েছে।</t>
  </si>
  <si>
    <t>০২-১২-২০২৫ তারিখে মূল্য হ্রাস পেয়েছে।</t>
  </si>
  <si>
    <t>০৩-১২-২০২৫ তারিখে মূল্য হ্রাস পেয়েছে।</t>
  </si>
  <si>
    <t>০৪-১২-২০২৫ তারিখে মূল্য বৃদ্ধি পেয়েছে।</t>
  </si>
  <si>
    <t>(২ )   সয়াবিন তেল (১লিঃ, ২লিঃ, ৫লিঃ বোতল), আলু, পেঁয়াজ (দেশী),   এর মূল্য বৃদ্ধি পেয়েছে।</t>
  </si>
  <si>
    <t xml:space="preserve">০৩-১২-২০২৫ তারিখে মূল্য বৃদ্ধি পেয়েছে এবং </t>
  </si>
  <si>
    <t>কাওরান বাজার ও বনানী বাজারে পাওয়া যাচ্ছে।</t>
  </si>
  <si>
    <t xml:space="preserve">অধিক মূল্যের বোতলজাত সয়াবিন তেল </t>
  </si>
  <si>
    <t>স্মারক নং-২৬.০৫.০০০০.০১৭.৩১.০১.২৫-৮৮৩</t>
  </si>
  <si>
    <t xml:space="preserve">শুক্রবার ০৫ ডিসেম্বর ২০২৫ খ্রিঃ, ২০ অগ্রহায়ন ১৪৩২ বাংলা, ১৩ জমা-সানি ১৪৪৭ হিজরি </t>
  </si>
  <si>
    <t xml:space="preserve">   সিরিয়াল নংঃ     ৩০৩</t>
  </si>
  <si>
    <t>০৫-১২-২০২৫ তারিখে মূল্য বৃদ্ধি পেয়েছে।</t>
  </si>
  <si>
    <t>(১ )   চাল (মাঝারী), মসুর ডাল (বড়), ছোলা, রশুন (দেশী), জিরা, ধনে, এলাচ, ডিম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</si>
</sst>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31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2"/>
      <color indexed="8"/>
      <name val="NikoshBAN"/>
    </font>
    <font>
      <b/>
      <sz val="13"/>
      <color theme="1"/>
      <name val="NikoshBAN"/>
    </font>
    <font>
      <b/>
      <sz val="14"/>
      <color theme="1"/>
      <name val="NikoshBAN"/>
    </font>
    <font>
      <b/>
      <sz val="12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108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168" fontId="6" fillId="0" borderId="0" xfId="1" applyNumberFormat="1" applyFont="1" applyFill="1" applyBorder="1" applyAlignment="1">
      <alignment horizontal="center" vertical="center"/>
    </xf>
    <xf numFmtId="168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7" fontId="6" fillId="0" borderId="0" xfId="1" applyNumberFormat="1" applyFont="1" applyBorder="1" applyAlignment="1">
      <alignment horizontal="right"/>
    </xf>
    <xf numFmtId="0" fontId="3" fillId="0" borderId="0" xfId="3" applyFont="1" applyAlignment="1">
      <alignment vertical="center"/>
    </xf>
    <xf numFmtId="0" fontId="27" fillId="0" borderId="0" xfId="3" applyFont="1" applyAlignment="1">
      <alignment vertical="top"/>
    </xf>
    <xf numFmtId="0" fontId="16" fillId="0" borderId="12" xfId="3" applyFont="1" applyBorder="1" applyAlignment="1">
      <alignment vertical="center"/>
    </xf>
    <xf numFmtId="0" fontId="28" fillId="0" borderId="1" xfId="3" applyFont="1" applyBorder="1" applyAlignment="1">
      <alignment horizontal="left" vertical="center"/>
    </xf>
    <xf numFmtId="0" fontId="29" fillId="0" borderId="1" xfId="3" applyFont="1" applyBorder="1" applyAlignment="1">
      <alignment horizontal="center" vertical="center"/>
    </xf>
    <xf numFmtId="168" fontId="29" fillId="0" borderId="1" xfId="1" applyNumberFormat="1" applyFont="1" applyFill="1" applyBorder="1" applyAlignment="1">
      <alignment horizontal="center" vertical="center"/>
    </xf>
    <xf numFmtId="168" fontId="29" fillId="0" borderId="2" xfId="1" applyNumberFormat="1" applyFont="1" applyFill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30" fillId="0" borderId="12" xfId="3" applyFont="1" applyBorder="1" applyAlignment="1">
      <alignment horizontal="center" vertical="top"/>
    </xf>
    <xf numFmtId="0" fontId="30" fillId="0" borderId="0" xfId="3" applyFont="1" applyAlignment="1">
      <alignment horizontal="center" vertical="top"/>
    </xf>
    <xf numFmtId="0" fontId="30" fillId="0" borderId="8" xfId="3" applyFont="1" applyBorder="1" applyAlignment="1">
      <alignment horizontal="center" vertical="top"/>
    </xf>
    <xf numFmtId="0" fontId="30" fillId="0" borderId="9" xfId="3" applyFont="1" applyBorder="1" applyAlignment="1">
      <alignment horizontal="center" vertical="top"/>
    </xf>
    <xf numFmtId="0" fontId="30" fillId="0" borderId="13" xfId="3" applyFont="1" applyBorder="1" applyAlignment="1">
      <alignment horizontal="center" vertical="top"/>
    </xf>
    <xf numFmtId="0" fontId="30" fillId="0" borderId="7" xfId="3" applyFont="1" applyBorder="1" applyAlignment="1">
      <alignment horizontal="center" vertical="top"/>
    </xf>
    <xf numFmtId="0" fontId="30" fillId="0" borderId="6" xfId="3" applyFont="1" applyBorder="1" applyAlignment="1">
      <alignment horizontal="center" vertical="top"/>
    </xf>
    <xf numFmtId="0" fontId="30" fillId="0" borderId="14" xfId="3" applyFont="1" applyBorder="1" applyAlignment="1">
      <alignment horizontal="center" vertical="top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122"/>
  <sheetViews>
    <sheetView tabSelected="1" topLeftCell="H1" zoomScale="96" zoomScaleNormal="96" workbookViewId="0">
      <selection activeCell="L6" sqref="L6"/>
    </sheetView>
  </sheetViews>
  <sheetFormatPr defaultRowHeight="16.5" x14ac:dyDescent="0.25"/>
  <cols>
    <col min="1" max="1" width="16.04296875" customWidth="1"/>
    <col min="2" max="2" width="11.04296875" customWidth="1"/>
    <col min="3" max="3" width="9.53125" customWidth="1"/>
    <col min="4" max="4" width="8.484375" customWidth="1"/>
    <col min="5" max="5" width="9.06640625" customWidth="1"/>
    <col min="6" max="6" width="8.484375" customWidth="1"/>
    <col min="7" max="7" width="9.53125" customWidth="1"/>
    <col min="8" max="8" width="8.6015625" customWidth="1"/>
    <col min="9" max="9" width="8.94921875" customWidth="1"/>
    <col min="10" max="10" width="9.99609375" customWidth="1"/>
    <col min="11" max="11" width="9.4140625" customWidth="1"/>
    <col min="12" max="12" width="9.765625" customWidth="1"/>
  </cols>
  <sheetData>
    <row r="2" spans="1:12" ht="21" x14ac:dyDescent="0.2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" x14ac:dyDescent="0.2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" x14ac:dyDescent="0.2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90" t="s">
        <v>135</v>
      </c>
      <c r="L4" s="91"/>
    </row>
    <row r="5" spans="1:12" ht="19.5" customHeight="1" x14ac:dyDescent="0.25">
      <c r="A5" s="17"/>
      <c r="B5" s="8"/>
      <c r="C5" s="8"/>
      <c r="D5" s="17"/>
      <c r="E5" s="8"/>
      <c r="F5" s="8" t="s">
        <v>134</v>
      </c>
      <c r="G5" s="8"/>
      <c r="H5" s="8"/>
      <c r="I5" s="8"/>
      <c r="J5" s="8"/>
      <c r="K5" s="8"/>
      <c r="L5" s="49"/>
    </row>
    <row r="6" spans="1:12" ht="21" x14ac:dyDescent="0.25">
      <c r="A6" s="20" t="s">
        <v>133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45996</v>
      </c>
    </row>
    <row r="7" spans="1:12" ht="21" x14ac:dyDescent="0.25">
      <c r="A7" s="25" t="s">
        <v>4</v>
      </c>
      <c r="B7" s="26" t="s">
        <v>5</v>
      </c>
      <c r="C7" s="90" t="s">
        <v>6</v>
      </c>
      <c r="D7" s="91"/>
      <c r="E7" s="90" t="s">
        <v>7</v>
      </c>
      <c r="F7" s="91"/>
      <c r="G7" s="90" t="s">
        <v>8</v>
      </c>
      <c r="H7" s="91"/>
      <c r="I7" s="26" t="s">
        <v>9</v>
      </c>
      <c r="J7" s="90" t="s">
        <v>10</v>
      </c>
      <c r="K7" s="91"/>
      <c r="L7" s="27" t="s">
        <v>11</v>
      </c>
    </row>
    <row r="8" spans="1:12" ht="21" x14ac:dyDescent="0.25">
      <c r="A8" s="25"/>
      <c r="B8" s="26"/>
      <c r="C8" s="92">
        <v>45996</v>
      </c>
      <c r="D8" s="91"/>
      <c r="E8" s="92">
        <v>45989</v>
      </c>
      <c r="F8" s="91"/>
      <c r="G8" s="92">
        <v>45966</v>
      </c>
      <c r="H8" s="91"/>
      <c r="I8" s="26" t="s">
        <v>12</v>
      </c>
      <c r="J8" s="92">
        <v>45631</v>
      </c>
      <c r="K8" s="91"/>
      <c r="L8" s="26" t="s">
        <v>12</v>
      </c>
    </row>
    <row r="9" spans="1:12" ht="21" x14ac:dyDescent="0.2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" x14ac:dyDescent="0.3">
      <c r="A10" s="69" t="s">
        <v>17</v>
      </c>
      <c r="B10" s="6" t="s">
        <v>18</v>
      </c>
      <c r="C10" s="29">
        <v>70</v>
      </c>
      <c r="D10" s="29">
        <v>85</v>
      </c>
      <c r="E10" s="29">
        <v>70</v>
      </c>
      <c r="F10" s="29">
        <v>85</v>
      </c>
      <c r="G10" s="29">
        <v>72</v>
      </c>
      <c r="H10" s="29">
        <v>85</v>
      </c>
      <c r="I10" s="30">
        <f>((C10+D10)/2-(G10+H10)/2)/((G10+H10)/2)*100</f>
        <v>-1.2738853503184715</v>
      </c>
      <c r="J10" s="29">
        <v>68</v>
      </c>
      <c r="K10" s="29">
        <v>80</v>
      </c>
      <c r="L10" s="31">
        <f>((C10+D10)/2-(J10+K10)/2)/((J10+K10)/2)*100</f>
        <v>4.7297297297297298</v>
      </c>
    </row>
    <row r="11" spans="1:12" ht="21" x14ac:dyDescent="0.3">
      <c r="A11" s="69" t="s">
        <v>105</v>
      </c>
      <c r="B11" s="6" t="s">
        <v>18</v>
      </c>
      <c r="C11" s="29">
        <v>58</v>
      </c>
      <c r="D11" s="29">
        <v>68</v>
      </c>
      <c r="E11" s="29">
        <v>58</v>
      </c>
      <c r="F11" s="29">
        <v>70</v>
      </c>
      <c r="G11" s="29">
        <v>58</v>
      </c>
      <c r="H11" s="29">
        <v>70</v>
      </c>
      <c r="I11" s="30">
        <f>((C11+D11)/2-(G11+H11)/2)/((G11+H11)/2)*100</f>
        <v>-1.5625</v>
      </c>
      <c r="J11" s="29">
        <v>59</v>
      </c>
      <c r="K11" s="29">
        <v>63</v>
      </c>
      <c r="L11" s="31">
        <f>((C11+D11)/2-(J11+K11)/2)/((J11+K11)/2)*100</f>
        <v>3.278688524590164</v>
      </c>
    </row>
    <row r="12" spans="1:12" ht="21" x14ac:dyDescent="0.3">
      <c r="A12" s="69" t="s">
        <v>19</v>
      </c>
      <c r="B12" s="6" t="s">
        <v>18</v>
      </c>
      <c r="C12" s="29">
        <v>54</v>
      </c>
      <c r="D12" s="29">
        <v>60</v>
      </c>
      <c r="E12" s="29">
        <v>54</v>
      </c>
      <c r="F12" s="29">
        <v>60</v>
      </c>
      <c r="G12" s="29">
        <v>54</v>
      </c>
      <c r="H12" s="29">
        <v>60</v>
      </c>
      <c r="I12" s="30">
        <f>((C12+D12)/2-(G12+H12)/2)/((G12+H12)/2)*100</f>
        <v>0</v>
      </c>
      <c r="J12" s="29">
        <v>50</v>
      </c>
      <c r="K12" s="29">
        <v>55</v>
      </c>
      <c r="L12" s="31">
        <f>((C12+D12)/2-(J12+K12)/2)/((J12+K12)/2)*100</f>
        <v>8.5714285714285712</v>
      </c>
    </row>
    <row r="13" spans="1:12" ht="18" customHeight="1" x14ac:dyDescent="0.3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" x14ac:dyDescent="0.3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50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" x14ac:dyDescent="0.3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62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" x14ac:dyDescent="0.3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" x14ac:dyDescent="0.3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 x14ac:dyDescent="0.3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" x14ac:dyDescent="0.3">
      <c r="A19" s="69" t="s">
        <v>27</v>
      </c>
      <c r="B19" s="6" t="s">
        <v>28</v>
      </c>
      <c r="C19" s="29">
        <v>170</v>
      </c>
      <c r="D19" s="29">
        <v>180</v>
      </c>
      <c r="E19" s="29">
        <v>170</v>
      </c>
      <c r="F19" s="29">
        <v>180</v>
      </c>
      <c r="G19" s="29">
        <v>170</v>
      </c>
      <c r="H19" s="29">
        <v>180</v>
      </c>
      <c r="I19" s="30">
        <f t="shared" ref="I19:I25" si="0">((C19+D19)/2-(G19+H19)/2)/((G19+H19)/2)*100</f>
        <v>0</v>
      </c>
      <c r="J19" s="29">
        <v>165</v>
      </c>
      <c r="K19" s="29">
        <v>168</v>
      </c>
      <c r="L19" s="31">
        <f t="shared" ref="L19:L25" si="1">((C19+D19)/2-(J19+K19)/2)/((J19+K19)/2)*100</f>
        <v>5.1051051051051051</v>
      </c>
    </row>
    <row r="20" spans="1:12" ht="21" x14ac:dyDescent="0.3">
      <c r="A20" s="69" t="s">
        <v>29</v>
      </c>
      <c r="B20" s="6" t="s">
        <v>30</v>
      </c>
      <c r="C20" s="29">
        <v>910</v>
      </c>
      <c r="D20" s="29">
        <v>965</v>
      </c>
      <c r="E20" s="29">
        <v>900</v>
      </c>
      <c r="F20" s="29">
        <v>925</v>
      </c>
      <c r="G20" s="29">
        <v>900</v>
      </c>
      <c r="H20" s="29">
        <v>930</v>
      </c>
      <c r="I20" s="30">
        <f t="shared" si="0"/>
        <v>2.459016393442623</v>
      </c>
      <c r="J20" s="29">
        <v>815</v>
      </c>
      <c r="K20" s="29">
        <v>818</v>
      </c>
      <c r="L20" s="31">
        <f t="shared" si="1"/>
        <v>14.819350887936315</v>
      </c>
    </row>
    <row r="21" spans="1:12" ht="21" x14ac:dyDescent="0.3">
      <c r="A21" s="69" t="s">
        <v>29</v>
      </c>
      <c r="B21" s="6" t="s">
        <v>31</v>
      </c>
      <c r="C21" s="29">
        <v>375</v>
      </c>
      <c r="D21" s="29">
        <v>396</v>
      </c>
      <c r="E21" s="29">
        <v>375</v>
      </c>
      <c r="F21" s="29">
        <v>385</v>
      </c>
      <c r="G21" s="29">
        <v>375</v>
      </c>
      <c r="H21" s="29">
        <v>385</v>
      </c>
      <c r="I21" s="30">
        <f t="shared" si="0"/>
        <v>1.4473684210526316</v>
      </c>
      <c r="J21" s="29">
        <v>330</v>
      </c>
      <c r="K21" s="29">
        <v>340</v>
      </c>
      <c r="L21" s="31">
        <f t="shared" si="1"/>
        <v>15.074626865671641</v>
      </c>
    </row>
    <row r="22" spans="1:12" ht="21" x14ac:dyDescent="0.3">
      <c r="A22" s="69" t="s">
        <v>29</v>
      </c>
      <c r="B22" s="6" t="s">
        <v>32</v>
      </c>
      <c r="C22" s="29">
        <v>189</v>
      </c>
      <c r="D22" s="29">
        <v>198</v>
      </c>
      <c r="E22" s="29">
        <v>189</v>
      </c>
      <c r="F22" s="29">
        <v>192</v>
      </c>
      <c r="G22" s="29">
        <v>189</v>
      </c>
      <c r="H22" s="29">
        <v>195</v>
      </c>
      <c r="I22" s="30">
        <f t="shared" si="0"/>
        <v>0.78125</v>
      </c>
      <c r="J22" s="29">
        <v>165</v>
      </c>
      <c r="K22" s="29">
        <v>170</v>
      </c>
      <c r="L22" s="31">
        <f t="shared" si="1"/>
        <v>15.522388059701491</v>
      </c>
    </row>
    <row r="23" spans="1:12" ht="21" x14ac:dyDescent="0.3">
      <c r="A23" s="69" t="s">
        <v>33</v>
      </c>
      <c r="B23" s="6" t="s">
        <v>28</v>
      </c>
      <c r="C23" s="29">
        <v>152</v>
      </c>
      <c r="D23" s="29">
        <v>162</v>
      </c>
      <c r="E23" s="29">
        <v>152</v>
      </c>
      <c r="F23" s="29">
        <v>162</v>
      </c>
      <c r="G23" s="29">
        <v>152</v>
      </c>
      <c r="H23" s="29">
        <v>162</v>
      </c>
      <c r="I23" s="30">
        <f t="shared" si="0"/>
        <v>0</v>
      </c>
      <c r="J23" s="29">
        <v>158</v>
      </c>
      <c r="K23" s="29">
        <v>159</v>
      </c>
      <c r="L23" s="31">
        <f t="shared" si="1"/>
        <v>-0.94637223974763407</v>
      </c>
    </row>
    <row r="24" spans="1:12" ht="21" x14ac:dyDescent="0.3">
      <c r="A24" s="69" t="s">
        <v>106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155</v>
      </c>
      <c r="H24" s="29">
        <v>165</v>
      </c>
      <c r="I24" s="30">
        <f t="shared" si="0"/>
        <v>0</v>
      </c>
      <c r="J24" s="29">
        <v>162</v>
      </c>
      <c r="K24" s="29">
        <v>163</v>
      </c>
      <c r="L24" s="31">
        <f t="shared" si="1"/>
        <v>-1.5384615384615385</v>
      </c>
    </row>
    <row r="25" spans="1:12" ht="21" x14ac:dyDescent="0.3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" x14ac:dyDescent="0.3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" x14ac:dyDescent="0.3">
      <c r="A27" s="69" t="s">
        <v>37</v>
      </c>
      <c r="B27" s="6" t="s">
        <v>18</v>
      </c>
      <c r="C27" s="29">
        <v>85</v>
      </c>
      <c r="D27" s="29">
        <v>110</v>
      </c>
      <c r="E27" s="29">
        <v>90</v>
      </c>
      <c r="F27" s="29">
        <v>110</v>
      </c>
      <c r="G27" s="29">
        <v>90</v>
      </c>
      <c r="H27" s="29">
        <v>110</v>
      </c>
      <c r="I27" s="30">
        <f t="shared" ref="I27:I33" si="2">((C27+D27)/2-(G27+H27)/2)/((G27+H27)/2)*100</f>
        <v>-2.5</v>
      </c>
      <c r="J27" s="29">
        <v>105</v>
      </c>
      <c r="K27" s="29">
        <v>110</v>
      </c>
      <c r="L27" s="31">
        <f t="shared" ref="L27:L33" si="3">((C27+D27)/2-(J27+K27)/2)/((J27+K27)/2)*100</f>
        <v>-9.3023255813953494</v>
      </c>
    </row>
    <row r="28" spans="1:12" ht="21" x14ac:dyDescent="0.3">
      <c r="A28" s="69" t="s">
        <v>110</v>
      </c>
      <c r="B28" s="6" t="s">
        <v>18</v>
      </c>
      <c r="C28" s="29">
        <v>115</v>
      </c>
      <c r="D28" s="29">
        <v>140</v>
      </c>
      <c r="E28" s="29">
        <v>115</v>
      </c>
      <c r="F28" s="29">
        <v>140</v>
      </c>
      <c r="G28" s="29">
        <v>125</v>
      </c>
      <c r="H28" s="29">
        <v>140</v>
      </c>
      <c r="I28" s="30">
        <f t="shared" si="2"/>
        <v>-3.7735849056603774</v>
      </c>
      <c r="J28" s="29">
        <v>110</v>
      </c>
      <c r="K28" s="29">
        <v>120</v>
      </c>
      <c r="L28" s="31">
        <f t="shared" si="3"/>
        <v>10.869565217391305</v>
      </c>
    </row>
    <row r="29" spans="1:12" ht="21" x14ac:dyDescent="0.3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" x14ac:dyDescent="0.3">
      <c r="A30" s="69" t="s">
        <v>39</v>
      </c>
      <c r="B30" s="6" t="s">
        <v>18</v>
      </c>
      <c r="C30" s="29">
        <v>140</v>
      </c>
      <c r="D30" s="29">
        <v>180</v>
      </c>
      <c r="E30" s="29">
        <v>130</v>
      </c>
      <c r="F30" s="29">
        <v>180</v>
      </c>
      <c r="G30" s="29">
        <v>120</v>
      </c>
      <c r="H30" s="29">
        <v>180</v>
      </c>
      <c r="I30" s="30">
        <f t="shared" si="2"/>
        <v>6.666666666666667</v>
      </c>
      <c r="J30" s="29">
        <v>150</v>
      </c>
      <c r="K30" s="29">
        <v>180</v>
      </c>
      <c r="L30" s="31">
        <f t="shared" si="3"/>
        <v>-3.0303030303030303</v>
      </c>
    </row>
    <row r="31" spans="1:12" ht="21" x14ac:dyDescent="0.3">
      <c r="A31" s="69" t="s">
        <v>40</v>
      </c>
      <c r="B31" s="6" t="s">
        <v>18</v>
      </c>
      <c r="C31" s="29">
        <v>60</v>
      </c>
      <c r="D31" s="29">
        <v>75</v>
      </c>
      <c r="E31" s="29">
        <v>60</v>
      </c>
      <c r="F31" s="29">
        <v>75</v>
      </c>
      <c r="G31" s="29">
        <v>60</v>
      </c>
      <c r="H31" s="29">
        <v>80</v>
      </c>
      <c r="I31" s="30">
        <f t="shared" si="2"/>
        <v>-3.5714285714285712</v>
      </c>
      <c r="J31" s="29">
        <v>70</v>
      </c>
      <c r="K31" s="29">
        <v>80</v>
      </c>
      <c r="L31" s="31">
        <f t="shared" si="3"/>
        <v>-10</v>
      </c>
    </row>
    <row r="32" spans="1:12" ht="21" x14ac:dyDescent="0.3">
      <c r="A32" s="69" t="s">
        <v>41</v>
      </c>
      <c r="B32" s="6" t="s">
        <v>18</v>
      </c>
      <c r="C32" s="29">
        <v>95</v>
      </c>
      <c r="D32" s="29">
        <v>110</v>
      </c>
      <c r="E32" s="29">
        <v>100</v>
      </c>
      <c r="F32" s="29">
        <v>110</v>
      </c>
      <c r="G32" s="29">
        <v>100</v>
      </c>
      <c r="H32" s="29">
        <v>110</v>
      </c>
      <c r="I32" s="30">
        <f t="shared" si="2"/>
        <v>-2.3809523809523809</v>
      </c>
      <c r="J32" s="29">
        <v>125</v>
      </c>
      <c r="K32" s="29">
        <v>140</v>
      </c>
      <c r="L32" s="31">
        <f t="shared" si="3"/>
        <v>-22.641509433962266</v>
      </c>
    </row>
    <row r="33" spans="1:12" ht="21" x14ac:dyDescent="0.3">
      <c r="A33" s="69" t="s">
        <v>42</v>
      </c>
      <c r="B33" s="6" t="s">
        <v>18</v>
      </c>
      <c r="C33" s="29">
        <v>25</v>
      </c>
      <c r="D33" s="29">
        <v>30</v>
      </c>
      <c r="E33" s="29">
        <v>20</v>
      </c>
      <c r="F33" s="29">
        <v>30</v>
      </c>
      <c r="G33" s="29">
        <v>18</v>
      </c>
      <c r="H33" s="29">
        <v>25</v>
      </c>
      <c r="I33" s="30">
        <f t="shared" si="2"/>
        <v>27.906976744186046</v>
      </c>
      <c r="J33" s="29">
        <v>75</v>
      </c>
      <c r="K33" s="29">
        <v>80</v>
      </c>
      <c r="L33" s="31">
        <f t="shared" si="3"/>
        <v>-64.516129032258064</v>
      </c>
    </row>
    <row r="34" spans="1:12" ht="21" x14ac:dyDescent="0.3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" x14ac:dyDescent="0.3">
      <c r="A35" s="69" t="s">
        <v>90</v>
      </c>
      <c r="B35" s="6" t="s">
        <v>18</v>
      </c>
      <c r="C35" s="29">
        <v>120</v>
      </c>
      <c r="D35" s="29">
        <v>140</v>
      </c>
      <c r="E35" s="29">
        <v>100</v>
      </c>
      <c r="F35" s="29">
        <v>115</v>
      </c>
      <c r="G35" s="29">
        <v>100</v>
      </c>
      <c r="H35" s="29">
        <v>120</v>
      </c>
      <c r="I35" s="30">
        <f t="shared" ref="I35:I50" si="4">((C35+D35)/2-(G35+H35)/2)/((G35+H35)/2)*100</f>
        <v>18.181818181818183</v>
      </c>
      <c r="J35" s="29">
        <v>115</v>
      </c>
      <c r="K35" s="29">
        <v>130</v>
      </c>
      <c r="L35" s="31">
        <f t="shared" ref="L35:L50" si="5">((C35+D35)/2-(J35+K35)/2)/((J35+K35)/2)*100</f>
        <v>6.1224489795918364</v>
      </c>
    </row>
    <row r="36" spans="1:12" ht="21" x14ac:dyDescent="0.3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80</v>
      </c>
      <c r="K36" s="29">
        <v>100</v>
      </c>
      <c r="L36" s="31">
        <f t="shared" si="5"/>
        <v>-100</v>
      </c>
    </row>
    <row r="37" spans="1:12" ht="21" x14ac:dyDescent="0.3">
      <c r="A37" s="69" t="s">
        <v>45</v>
      </c>
      <c r="B37" s="6" t="s">
        <v>18</v>
      </c>
      <c r="C37" s="29">
        <v>60</v>
      </c>
      <c r="D37" s="29">
        <v>140</v>
      </c>
      <c r="E37" s="29">
        <v>80</v>
      </c>
      <c r="F37" s="29">
        <v>140</v>
      </c>
      <c r="G37" s="29">
        <v>100</v>
      </c>
      <c r="H37" s="29">
        <v>140</v>
      </c>
      <c r="I37" s="30">
        <f t="shared" si="4"/>
        <v>-16.666666666666664</v>
      </c>
      <c r="J37" s="29">
        <v>230</v>
      </c>
      <c r="K37" s="29">
        <v>280</v>
      </c>
      <c r="L37" s="31">
        <f t="shared" si="5"/>
        <v>-60.784313725490193</v>
      </c>
    </row>
    <row r="38" spans="1:12" ht="21" x14ac:dyDescent="0.3">
      <c r="A38" s="69" t="s">
        <v>46</v>
      </c>
      <c r="B38" s="6" t="s">
        <v>18</v>
      </c>
      <c r="C38" s="29">
        <v>160</v>
      </c>
      <c r="D38" s="29">
        <v>200</v>
      </c>
      <c r="E38" s="29">
        <v>160</v>
      </c>
      <c r="F38" s="29">
        <v>200</v>
      </c>
      <c r="G38" s="29">
        <v>160</v>
      </c>
      <c r="H38" s="29">
        <v>200</v>
      </c>
      <c r="I38" s="30">
        <f t="shared" si="4"/>
        <v>0</v>
      </c>
      <c r="J38" s="29">
        <v>220</v>
      </c>
      <c r="K38" s="29">
        <v>250</v>
      </c>
      <c r="L38" s="31">
        <f t="shared" si="5"/>
        <v>-23.404255319148938</v>
      </c>
    </row>
    <row r="39" spans="1:12" ht="21" x14ac:dyDescent="0.3">
      <c r="A39" s="69" t="s">
        <v>47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320</v>
      </c>
      <c r="I39" s="30">
        <f t="shared" si="4"/>
        <v>0</v>
      </c>
      <c r="J39" s="29">
        <v>300</v>
      </c>
      <c r="K39" s="29">
        <v>350</v>
      </c>
      <c r="L39" s="31">
        <f t="shared" si="5"/>
        <v>-20</v>
      </c>
    </row>
    <row r="40" spans="1:12" ht="21" x14ac:dyDescent="0.3">
      <c r="A40" s="69" t="s">
        <v>48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350</v>
      </c>
      <c r="I40" s="30">
        <f t="shared" si="4"/>
        <v>0</v>
      </c>
      <c r="J40" s="29">
        <v>350</v>
      </c>
      <c r="K40" s="29">
        <v>450</v>
      </c>
      <c r="L40" s="31">
        <f t="shared" si="5"/>
        <v>-18.75</v>
      </c>
    </row>
    <row r="41" spans="1:12" ht="21" x14ac:dyDescent="0.3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350</v>
      </c>
      <c r="K41" s="29">
        <v>400</v>
      </c>
      <c r="L41" s="31">
        <f t="shared" si="5"/>
        <v>-6.666666666666667</v>
      </c>
    </row>
    <row r="42" spans="1:12" ht="21" x14ac:dyDescent="0.3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250</v>
      </c>
      <c r="K42" s="29">
        <v>300</v>
      </c>
      <c r="L42" s="31">
        <f t="shared" si="5"/>
        <v>30.909090909090907</v>
      </c>
    </row>
    <row r="43" spans="1:12" ht="21" x14ac:dyDescent="0.3">
      <c r="A43" s="69" t="s">
        <v>51</v>
      </c>
      <c r="B43" s="6" t="s">
        <v>18</v>
      </c>
      <c r="C43" s="29">
        <v>140</v>
      </c>
      <c r="D43" s="29">
        <v>170</v>
      </c>
      <c r="E43" s="29">
        <v>140</v>
      </c>
      <c r="F43" s="29">
        <v>170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-67.368421052631575</v>
      </c>
    </row>
    <row r="44" spans="1:12" ht="21" x14ac:dyDescent="0.3">
      <c r="A44" s="69" t="s">
        <v>52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150</v>
      </c>
      <c r="H44" s="29">
        <v>220</v>
      </c>
      <c r="I44" s="30">
        <f t="shared" si="4"/>
        <v>0</v>
      </c>
      <c r="J44" s="29">
        <v>120</v>
      </c>
      <c r="K44" s="29">
        <v>280</v>
      </c>
      <c r="L44" s="31">
        <f t="shared" si="5"/>
        <v>-7.5</v>
      </c>
    </row>
    <row r="45" spans="1:12" ht="21" x14ac:dyDescent="0.3">
      <c r="A45" s="69" t="s">
        <v>53</v>
      </c>
      <c r="B45" s="6" t="s">
        <v>18</v>
      </c>
      <c r="C45" s="29">
        <v>580</v>
      </c>
      <c r="D45" s="29">
        <v>750</v>
      </c>
      <c r="E45" s="29">
        <v>600</v>
      </c>
      <c r="F45" s="29">
        <v>750</v>
      </c>
      <c r="G45" s="29">
        <v>600</v>
      </c>
      <c r="H45" s="29">
        <v>750</v>
      </c>
      <c r="I45" s="30">
        <f t="shared" si="4"/>
        <v>-1.4814814814814816</v>
      </c>
      <c r="J45" s="29">
        <v>630</v>
      </c>
      <c r="K45" s="29">
        <v>800</v>
      </c>
      <c r="L45" s="31">
        <f t="shared" si="5"/>
        <v>-6.9930069930069934</v>
      </c>
    </row>
    <row r="46" spans="1:12" ht="21" x14ac:dyDescent="0.3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470</v>
      </c>
      <c r="K46" s="29">
        <v>580</v>
      </c>
      <c r="L46" s="31">
        <f t="shared" si="5"/>
        <v>2.8571428571428572</v>
      </c>
    </row>
    <row r="47" spans="1:12" ht="21" x14ac:dyDescent="0.3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1400</v>
      </c>
      <c r="K47" s="29">
        <v>1600</v>
      </c>
      <c r="L47" s="31">
        <f t="shared" si="5"/>
        <v>-1.6666666666666667</v>
      </c>
    </row>
    <row r="48" spans="1:12" ht="21" x14ac:dyDescent="0.3">
      <c r="A48" s="69" t="s">
        <v>56</v>
      </c>
      <c r="B48" s="6" t="s">
        <v>18</v>
      </c>
      <c r="C48" s="29">
        <v>4500</v>
      </c>
      <c r="D48" s="29">
        <v>5500</v>
      </c>
      <c r="E48" s="29">
        <v>4600</v>
      </c>
      <c r="F48" s="29">
        <v>5500</v>
      </c>
      <c r="G48" s="29">
        <v>4800</v>
      </c>
      <c r="H48" s="29">
        <v>5500</v>
      </c>
      <c r="I48" s="30">
        <f t="shared" si="4"/>
        <v>-2.912621359223301</v>
      </c>
      <c r="J48" s="29">
        <v>3400</v>
      </c>
      <c r="K48" s="29">
        <v>4400</v>
      </c>
      <c r="L48" s="31">
        <f t="shared" si="5"/>
        <v>28.205128205128204</v>
      </c>
    </row>
    <row r="49" spans="1:12" ht="21" x14ac:dyDescent="0.3">
      <c r="A49" s="69" t="s">
        <v>57</v>
      </c>
      <c r="B49" s="6" t="s">
        <v>18</v>
      </c>
      <c r="C49" s="29">
        <v>180</v>
      </c>
      <c r="D49" s="29">
        <v>280</v>
      </c>
      <c r="E49" s="29">
        <v>190</v>
      </c>
      <c r="F49" s="29">
        <v>280</v>
      </c>
      <c r="G49" s="29">
        <v>190</v>
      </c>
      <c r="H49" s="29">
        <v>280</v>
      </c>
      <c r="I49" s="30">
        <f t="shared" si="4"/>
        <v>-2.1276595744680851</v>
      </c>
      <c r="J49" s="29">
        <v>230</v>
      </c>
      <c r="K49" s="29">
        <v>280</v>
      </c>
      <c r="L49" s="31">
        <f t="shared" si="5"/>
        <v>-9.8039215686274517</v>
      </c>
    </row>
    <row r="50" spans="1:12" ht="21" x14ac:dyDescent="0.3">
      <c r="A50" s="69" t="s">
        <v>58</v>
      </c>
      <c r="B50" s="6" t="s">
        <v>18</v>
      </c>
      <c r="C50" s="29">
        <v>160</v>
      </c>
      <c r="D50" s="29">
        <v>225</v>
      </c>
      <c r="E50" s="29">
        <v>160</v>
      </c>
      <c r="F50" s="29">
        <v>225</v>
      </c>
      <c r="G50" s="29">
        <v>160</v>
      </c>
      <c r="H50" s="29">
        <v>225</v>
      </c>
      <c r="I50" s="30">
        <f t="shared" si="4"/>
        <v>0</v>
      </c>
      <c r="J50" s="29">
        <v>120</v>
      </c>
      <c r="K50" s="29">
        <v>220</v>
      </c>
      <c r="L50" s="31">
        <f t="shared" si="5"/>
        <v>13.23529411764706</v>
      </c>
    </row>
    <row r="51" spans="1:12" ht="21" x14ac:dyDescent="0.3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" x14ac:dyDescent="0.3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450</v>
      </c>
      <c r="L52" s="31">
        <f t="shared" ref="L52:L57" si="7">((C52+D52)/2-(J52+K52)/2)/((J52+K52)/2)*100</f>
        <v>7.1428571428571423</v>
      </c>
    </row>
    <row r="53" spans="1:12" ht="21" x14ac:dyDescent="0.3">
      <c r="A53" s="69" t="s">
        <v>61</v>
      </c>
      <c r="B53" s="6" t="s">
        <v>18</v>
      </c>
      <c r="C53" s="29">
        <v>800</v>
      </c>
      <c r="D53" s="29">
        <v>1800</v>
      </c>
      <c r="E53" s="29">
        <v>800</v>
      </c>
      <c r="F53" s="29">
        <v>1800</v>
      </c>
      <c r="G53" s="29">
        <v>800</v>
      </c>
      <c r="H53" s="29">
        <v>1800</v>
      </c>
      <c r="I53" s="30">
        <f t="shared" si="6"/>
        <v>0</v>
      </c>
      <c r="J53" s="29">
        <v>700</v>
      </c>
      <c r="K53" s="29">
        <v>1600</v>
      </c>
      <c r="L53" s="31">
        <f t="shared" si="7"/>
        <v>13.043478260869565</v>
      </c>
    </row>
    <row r="54" spans="1:12" ht="21" x14ac:dyDescent="0.3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" x14ac:dyDescent="0.3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" x14ac:dyDescent="0.3">
      <c r="A56" s="69" t="s">
        <v>62</v>
      </c>
      <c r="B56" s="6" t="s">
        <v>18</v>
      </c>
      <c r="C56" s="29">
        <v>150</v>
      </c>
      <c r="D56" s="29">
        <v>180</v>
      </c>
      <c r="E56" s="29">
        <v>150</v>
      </c>
      <c r="F56" s="29">
        <v>180</v>
      </c>
      <c r="G56" s="29">
        <v>170</v>
      </c>
      <c r="H56" s="29">
        <v>185</v>
      </c>
      <c r="I56" s="30">
        <f t="shared" si="6"/>
        <v>-7.042253521126761</v>
      </c>
      <c r="J56" s="29">
        <v>175</v>
      </c>
      <c r="K56" s="29">
        <v>200</v>
      </c>
      <c r="L56" s="31">
        <f t="shared" si="7"/>
        <v>-12</v>
      </c>
    </row>
    <row r="57" spans="1:12" ht="21" x14ac:dyDescent="0.3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" x14ac:dyDescent="0.3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 x14ac:dyDescent="0.3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 x14ac:dyDescent="0.3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 x14ac:dyDescent="0.3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 x14ac:dyDescent="0.3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 x14ac:dyDescent="0.3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 x14ac:dyDescent="0.3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 x14ac:dyDescent="0.3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" x14ac:dyDescent="0.25">
      <c r="A66" s="69" t="s">
        <v>4</v>
      </c>
      <c r="B66" s="6" t="s">
        <v>5</v>
      </c>
      <c r="C66" s="90" t="s">
        <v>6</v>
      </c>
      <c r="D66" s="91"/>
      <c r="E66" s="90" t="s">
        <v>7</v>
      </c>
      <c r="F66" s="91"/>
      <c r="G66" s="90" t="s">
        <v>8</v>
      </c>
      <c r="H66" s="91"/>
      <c r="I66" s="26" t="s">
        <v>9</v>
      </c>
      <c r="J66" s="90" t="s">
        <v>10</v>
      </c>
      <c r="K66" s="91"/>
      <c r="L66" s="26" t="s">
        <v>11</v>
      </c>
    </row>
    <row r="67" spans="1:12" ht="18" customHeight="1" x14ac:dyDescent="0.25">
      <c r="A67" s="73"/>
      <c r="B67" s="64"/>
      <c r="C67" s="92">
        <v>45996</v>
      </c>
      <c r="D67" s="91"/>
      <c r="E67" s="92">
        <v>45989</v>
      </c>
      <c r="F67" s="91"/>
      <c r="G67" s="92">
        <v>45966</v>
      </c>
      <c r="H67" s="91"/>
      <c r="I67" s="26" t="s">
        <v>12</v>
      </c>
      <c r="J67" s="92">
        <v>45631</v>
      </c>
      <c r="K67" s="91"/>
      <c r="L67" s="26" t="s">
        <v>12</v>
      </c>
    </row>
    <row r="68" spans="1:12" ht="21" x14ac:dyDescent="0.2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 x14ac:dyDescent="0.3">
      <c r="A69" s="69" t="s">
        <v>71</v>
      </c>
      <c r="B69" s="6" t="s">
        <v>18</v>
      </c>
      <c r="C69" s="29">
        <v>90</v>
      </c>
      <c r="D69" s="29">
        <v>110</v>
      </c>
      <c r="E69" s="29">
        <v>90</v>
      </c>
      <c r="F69" s="29">
        <v>110</v>
      </c>
      <c r="G69" s="29">
        <v>100</v>
      </c>
      <c r="H69" s="29">
        <v>110</v>
      </c>
      <c r="I69" s="30">
        <f>((C69+D69)/2-(G69+H69)/2)/((G69+H69)/2)*100</f>
        <v>-4.7619047619047619</v>
      </c>
      <c r="J69" s="29">
        <v>125</v>
      </c>
      <c r="K69" s="29">
        <v>127</v>
      </c>
      <c r="L69" s="31">
        <f t="shared" ref="L69:L75" si="8">((C69+D69)/2-(J69+K69)/2)/((J69+K69)/2)*100</f>
        <v>-20.634920634920633</v>
      </c>
    </row>
    <row r="70" spans="1:12" ht="21" x14ac:dyDescent="0.3">
      <c r="A70" s="69" t="s">
        <v>72</v>
      </c>
      <c r="B70" s="66" t="s">
        <v>18</v>
      </c>
      <c r="C70" s="29">
        <v>180</v>
      </c>
      <c r="D70" s="29">
        <v>550</v>
      </c>
      <c r="E70" s="29">
        <v>200</v>
      </c>
      <c r="F70" s="29">
        <v>550</v>
      </c>
      <c r="G70" s="29">
        <v>200</v>
      </c>
      <c r="H70" s="29">
        <v>550</v>
      </c>
      <c r="I70" s="30">
        <f t="shared" ref="I70:I75" si="9">((C70+D70)/2-(G70+H70)/2)/((G70+H70)/2)*100</f>
        <v>-2.666666666666667</v>
      </c>
      <c r="J70" s="29">
        <v>250</v>
      </c>
      <c r="K70" s="29">
        <v>500</v>
      </c>
      <c r="L70" s="31">
        <f t="shared" si="8"/>
        <v>-2.666666666666667</v>
      </c>
    </row>
    <row r="71" spans="1:12" ht="21" x14ac:dyDescent="0.3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 x14ac:dyDescent="0.3">
      <c r="A72" s="69" t="s">
        <v>73</v>
      </c>
      <c r="B72" s="6" t="s">
        <v>74</v>
      </c>
      <c r="C72" s="37">
        <v>36</v>
      </c>
      <c r="D72" s="37">
        <v>45</v>
      </c>
      <c r="E72" s="37">
        <v>40</v>
      </c>
      <c r="F72" s="37">
        <v>50</v>
      </c>
      <c r="G72" s="37">
        <v>43</v>
      </c>
      <c r="H72" s="37">
        <v>50</v>
      </c>
      <c r="I72" s="30">
        <f t="shared" si="9"/>
        <v>-12.903225806451612</v>
      </c>
      <c r="J72" s="37">
        <v>48</v>
      </c>
      <c r="K72" s="37">
        <v>50</v>
      </c>
      <c r="L72" s="31">
        <f t="shared" si="8"/>
        <v>-17.346938775510203</v>
      </c>
    </row>
    <row r="73" spans="1:12" ht="21" x14ac:dyDescent="0.3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" x14ac:dyDescent="0.3">
      <c r="A74" s="69" t="s">
        <v>77</v>
      </c>
      <c r="B74" s="6" t="s">
        <v>78</v>
      </c>
      <c r="C74" s="29">
        <v>81000</v>
      </c>
      <c r="D74" s="29">
        <v>86000</v>
      </c>
      <c r="E74" s="29">
        <v>81000</v>
      </c>
      <c r="F74" s="29">
        <v>86000</v>
      </c>
      <c r="G74" s="29">
        <v>81000</v>
      </c>
      <c r="H74" s="29">
        <v>86000</v>
      </c>
      <c r="I74" s="30">
        <f t="shared" si="9"/>
        <v>0</v>
      </c>
      <c r="J74" s="29">
        <v>84000</v>
      </c>
      <c r="K74" s="29">
        <v>85000</v>
      </c>
      <c r="L74" s="31">
        <f t="shared" si="8"/>
        <v>-1.1834319526627219</v>
      </c>
    </row>
    <row r="75" spans="1:12" ht="21" x14ac:dyDescent="0.3">
      <c r="A75" s="69" t="s">
        <v>79</v>
      </c>
      <c r="B75" s="6" t="s">
        <v>78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</v>
      </c>
      <c r="J75" s="29">
        <v>80000</v>
      </c>
      <c r="K75" s="37">
        <v>82000</v>
      </c>
      <c r="L75" s="31">
        <f t="shared" si="8"/>
        <v>-4.9382716049382713</v>
      </c>
    </row>
    <row r="76" spans="1:12" ht="36" customHeight="1" x14ac:dyDescent="0.25">
      <c r="A76" s="101" t="s">
        <v>114</v>
      </c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</row>
    <row r="77" spans="1:12" ht="21" x14ac:dyDescent="0.2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" x14ac:dyDescent="0.25">
      <c r="A78" s="16"/>
      <c r="B78" s="1" t="s">
        <v>137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" x14ac:dyDescent="0.25">
      <c r="A79" s="16"/>
      <c r="B79" s="1" t="s">
        <v>129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" x14ac:dyDescent="0.25">
      <c r="A80" s="16"/>
      <c r="B80" s="1" t="s">
        <v>119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7" ht="21" x14ac:dyDescent="0.25">
      <c r="A81" s="44" t="s">
        <v>80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7" ht="21" x14ac:dyDescent="0.25">
      <c r="A82" s="5" t="s">
        <v>81</v>
      </c>
      <c r="B82" s="6" t="s">
        <v>82</v>
      </c>
      <c r="C82" s="103" t="s">
        <v>6</v>
      </c>
      <c r="D82" s="104"/>
      <c r="E82" s="105" t="s">
        <v>83</v>
      </c>
      <c r="F82" s="106"/>
      <c r="G82" s="77" t="s">
        <v>12</v>
      </c>
      <c r="H82" s="103" t="s">
        <v>84</v>
      </c>
      <c r="I82" s="107"/>
      <c r="J82" s="104"/>
      <c r="K82" s="50"/>
      <c r="L82" s="17"/>
    </row>
    <row r="83" spans="1:17" ht="21" x14ac:dyDescent="0.3">
      <c r="A83" s="69" t="s">
        <v>105</v>
      </c>
      <c r="B83" s="6" t="s">
        <v>18</v>
      </c>
      <c r="C83" s="29">
        <v>58</v>
      </c>
      <c r="D83" s="29">
        <v>68</v>
      </c>
      <c r="E83" s="29">
        <v>58</v>
      </c>
      <c r="F83" s="29">
        <v>70</v>
      </c>
      <c r="G83" s="7">
        <f t="shared" ref="G83:G92" si="10">((C83+D83)/2-(E83+F83)/2)/((E83+F83)/2)*100</f>
        <v>-1.5625</v>
      </c>
      <c r="H83" s="5" t="s">
        <v>125</v>
      </c>
      <c r="I83" s="6"/>
      <c r="J83" s="6"/>
      <c r="K83" s="50"/>
      <c r="L83" s="17"/>
    </row>
    <row r="84" spans="1:17" ht="24.75" customHeight="1" x14ac:dyDescent="0.3">
      <c r="A84" s="86" t="s">
        <v>29</v>
      </c>
      <c r="B84" s="87" t="s">
        <v>30</v>
      </c>
      <c r="C84" s="29">
        <v>910</v>
      </c>
      <c r="D84" s="29">
        <v>965</v>
      </c>
      <c r="E84" s="29">
        <v>900</v>
      </c>
      <c r="F84" s="29">
        <v>925</v>
      </c>
      <c r="G84" s="88">
        <f t="shared" si="10"/>
        <v>2.7397260273972601</v>
      </c>
      <c r="H84" s="95" t="s">
        <v>130</v>
      </c>
      <c r="I84" s="96"/>
      <c r="J84" s="97"/>
      <c r="K84" s="83"/>
      <c r="L84" s="83"/>
      <c r="M84" s="83"/>
      <c r="N84" s="83"/>
      <c r="O84" s="83"/>
      <c r="P84" s="83"/>
      <c r="Q84" s="83"/>
    </row>
    <row r="85" spans="1:17" ht="21" x14ac:dyDescent="0.3">
      <c r="A85" s="86" t="s">
        <v>29</v>
      </c>
      <c r="B85" s="87" t="s">
        <v>31</v>
      </c>
      <c r="C85" s="29">
        <v>375</v>
      </c>
      <c r="D85" s="29">
        <v>396</v>
      </c>
      <c r="E85" s="29">
        <v>375</v>
      </c>
      <c r="F85" s="29">
        <v>385</v>
      </c>
      <c r="G85" s="89">
        <f t="shared" si="10"/>
        <v>1.4473684210526316</v>
      </c>
      <c r="H85" s="93" t="s">
        <v>132</v>
      </c>
      <c r="I85" s="94"/>
      <c r="J85" s="94"/>
      <c r="K85" s="85"/>
      <c r="L85" s="17"/>
    </row>
    <row r="86" spans="1:17" ht="26.25" customHeight="1" x14ac:dyDescent="0.3">
      <c r="A86" s="86" t="s">
        <v>29</v>
      </c>
      <c r="B86" s="87" t="s">
        <v>32</v>
      </c>
      <c r="C86" s="29">
        <v>189</v>
      </c>
      <c r="D86" s="29">
        <v>198</v>
      </c>
      <c r="E86" s="29">
        <v>189</v>
      </c>
      <c r="F86" s="29">
        <v>192</v>
      </c>
      <c r="G86" s="88">
        <f t="shared" si="10"/>
        <v>1.5748031496062991</v>
      </c>
      <c r="H86" s="98" t="s">
        <v>131</v>
      </c>
      <c r="I86" s="99"/>
      <c r="J86" s="100"/>
      <c r="K86" s="84"/>
      <c r="L86" s="84"/>
      <c r="M86" s="84"/>
    </row>
    <row r="87" spans="1:17" ht="21" x14ac:dyDescent="0.3">
      <c r="A87" s="69" t="s">
        <v>37</v>
      </c>
      <c r="B87" s="6" t="s">
        <v>18</v>
      </c>
      <c r="C87" s="29">
        <v>85</v>
      </c>
      <c r="D87" s="29">
        <v>110</v>
      </c>
      <c r="E87" s="29">
        <v>90</v>
      </c>
      <c r="F87" s="29">
        <v>110</v>
      </c>
      <c r="G87" s="7">
        <f t="shared" si="10"/>
        <v>-2.5</v>
      </c>
      <c r="H87" s="5" t="s">
        <v>126</v>
      </c>
      <c r="I87" s="6"/>
      <c r="J87" s="6"/>
      <c r="K87" s="50"/>
      <c r="L87" s="17"/>
    </row>
    <row r="88" spans="1:17" ht="21" x14ac:dyDescent="0.3">
      <c r="A88" s="69" t="s">
        <v>41</v>
      </c>
      <c r="B88" s="6" t="s">
        <v>18</v>
      </c>
      <c r="C88" s="29">
        <v>95</v>
      </c>
      <c r="D88" s="29">
        <v>110</v>
      </c>
      <c r="E88" s="29">
        <v>100</v>
      </c>
      <c r="F88" s="29">
        <v>110</v>
      </c>
      <c r="G88" s="7">
        <f t="shared" si="10"/>
        <v>-2.3809523809523809</v>
      </c>
      <c r="H88" s="5" t="s">
        <v>118</v>
      </c>
      <c r="I88" s="6"/>
      <c r="J88" s="6"/>
      <c r="K88" s="50"/>
      <c r="L88" s="17"/>
    </row>
    <row r="89" spans="1:17" ht="21" x14ac:dyDescent="0.3">
      <c r="A89" s="69" t="s">
        <v>42</v>
      </c>
      <c r="B89" s="6" t="s">
        <v>18</v>
      </c>
      <c r="C89" s="29">
        <v>25</v>
      </c>
      <c r="D89" s="29">
        <v>30</v>
      </c>
      <c r="E89" s="29">
        <v>20</v>
      </c>
      <c r="F89" s="29">
        <v>30</v>
      </c>
      <c r="G89" s="7">
        <f>((C89+D89)/2-(E89+F89)/2)/((E89+F89)/2)*100</f>
        <v>10</v>
      </c>
      <c r="H89" s="5" t="s">
        <v>128</v>
      </c>
      <c r="I89" s="6"/>
      <c r="J89" s="6"/>
      <c r="K89" s="50"/>
      <c r="L89" s="17"/>
    </row>
    <row r="90" spans="1:17" ht="21" x14ac:dyDescent="0.3">
      <c r="A90" s="69" t="s">
        <v>90</v>
      </c>
      <c r="B90" s="6" t="s">
        <v>18</v>
      </c>
      <c r="C90" s="29">
        <v>120</v>
      </c>
      <c r="D90" s="29">
        <v>140</v>
      </c>
      <c r="E90" s="29">
        <v>100</v>
      </c>
      <c r="F90" s="29">
        <v>115</v>
      </c>
      <c r="G90" s="7">
        <f t="shared" si="10"/>
        <v>20.930232558139537</v>
      </c>
      <c r="H90" s="5" t="s">
        <v>136</v>
      </c>
      <c r="I90" s="6"/>
      <c r="J90" s="6"/>
      <c r="K90" s="50"/>
      <c r="L90" s="17"/>
    </row>
    <row r="91" spans="1:17" ht="21" x14ac:dyDescent="0.3">
      <c r="A91" s="69" t="s">
        <v>45</v>
      </c>
      <c r="B91" s="6" t="s">
        <v>18</v>
      </c>
      <c r="C91" s="29">
        <v>60</v>
      </c>
      <c r="D91" s="29">
        <v>140</v>
      </c>
      <c r="E91" s="29">
        <v>80</v>
      </c>
      <c r="F91" s="29">
        <v>140</v>
      </c>
      <c r="G91" s="7">
        <f t="shared" si="10"/>
        <v>-9.0909090909090917</v>
      </c>
      <c r="H91" s="5" t="s">
        <v>125</v>
      </c>
      <c r="I91" s="6"/>
      <c r="J91" s="6"/>
      <c r="K91" s="50"/>
      <c r="L91" s="17"/>
    </row>
    <row r="92" spans="1:17" ht="21" x14ac:dyDescent="0.3">
      <c r="A92" s="69" t="s">
        <v>53</v>
      </c>
      <c r="B92" s="6" t="s">
        <v>18</v>
      </c>
      <c r="C92" s="29">
        <v>580</v>
      </c>
      <c r="D92" s="29">
        <v>750</v>
      </c>
      <c r="E92" s="29">
        <v>600</v>
      </c>
      <c r="F92" s="29">
        <v>750</v>
      </c>
      <c r="G92" s="7">
        <f t="shared" si="10"/>
        <v>-1.4814814814814816</v>
      </c>
      <c r="H92" s="5" t="s">
        <v>127</v>
      </c>
      <c r="I92" s="6"/>
      <c r="J92" s="6"/>
      <c r="K92" s="50"/>
      <c r="L92" s="17"/>
    </row>
    <row r="93" spans="1:17" ht="21" x14ac:dyDescent="0.3">
      <c r="A93" s="69" t="s">
        <v>56</v>
      </c>
      <c r="B93" s="6" t="s">
        <v>18</v>
      </c>
      <c r="C93" s="29">
        <v>4500</v>
      </c>
      <c r="D93" s="29">
        <v>5500</v>
      </c>
      <c r="E93" s="29">
        <v>4600</v>
      </c>
      <c r="F93" s="29">
        <v>5500</v>
      </c>
      <c r="G93" s="7">
        <f t="shared" ref="G93:G94" si="11">((C93+D93)/2-(E93+F93)/2)/((E93+F93)/2)*100</f>
        <v>-0.99009900990099009</v>
      </c>
      <c r="H93" s="5" t="s">
        <v>120</v>
      </c>
      <c r="I93" s="6"/>
      <c r="J93" s="6"/>
      <c r="K93" s="50"/>
      <c r="L93" s="17"/>
    </row>
    <row r="94" spans="1:17" ht="21" x14ac:dyDescent="0.3">
      <c r="A94" s="69" t="s">
        <v>57</v>
      </c>
      <c r="B94" s="6" t="s">
        <v>18</v>
      </c>
      <c r="C94" s="29">
        <v>180</v>
      </c>
      <c r="D94" s="29">
        <v>280</v>
      </c>
      <c r="E94" s="29">
        <v>190</v>
      </c>
      <c r="F94" s="29">
        <v>280</v>
      </c>
      <c r="G94" s="7">
        <f t="shared" si="11"/>
        <v>-2.1276595744680851</v>
      </c>
      <c r="H94" s="5" t="s">
        <v>117</v>
      </c>
      <c r="I94" s="6"/>
      <c r="J94" s="6"/>
      <c r="K94" s="11"/>
      <c r="L94" s="11"/>
    </row>
    <row r="95" spans="1:17" ht="23.25" x14ac:dyDescent="0.3">
      <c r="A95" s="69" t="s">
        <v>73</v>
      </c>
      <c r="B95" s="6" t="s">
        <v>74</v>
      </c>
      <c r="C95" s="37">
        <v>36</v>
      </c>
      <c r="D95" s="37">
        <v>45</v>
      </c>
      <c r="E95" s="37">
        <v>40</v>
      </c>
      <c r="F95" s="37">
        <v>50</v>
      </c>
      <c r="G95" s="7">
        <f>((C95+D95)/2-(E95+F95)/2)/((E95+F95)/2)*100</f>
        <v>-10</v>
      </c>
      <c r="H95" s="5" t="s">
        <v>125</v>
      </c>
      <c r="I95" s="6"/>
      <c r="J95" s="6"/>
      <c r="K95" s="40"/>
      <c r="L95" s="11"/>
    </row>
    <row r="96" spans="1:17" ht="23.25" x14ac:dyDescent="0.3">
      <c r="A96" s="1"/>
      <c r="B96" s="3"/>
      <c r="C96" s="82"/>
      <c r="D96" s="82"/>
      <c r="E96" s="8"/>
      <c r="F96" s="82"/>
      <c r="G96" s="38"/>
      <c r="H96" s="39"/>
      <c r="I96" s="40"/>
      <c r="J96" s="40"/>
      <c r="K96" s="40"/>
      <c r="L96" s="11"/>
    </row>
    <row r="97" spans="1:12" ht="23.25" x14ac:dyDescent="0.3">
      <c r="A97" s="1"/>
      <c r="B97" s="3"/>
      <c r="C97" s="82"/>
      <c r="D97" s="82"/>
      <c r="E97" s="8"/>
      <c r="F97" s="82"/>
      <c r="G97" s="38"/>
      <c r="H97" s="39"/>
      <c r="I97" s="40"/>
      <c r="J97" s="40"/>
      <c r="K97" s="40"/>
      <c r="L97" s="11"/>
    </row>
    <row r="98" spans="1:12" ht="23.25" x14ac:dyDescent="0.3">
      <c r="A98" s="1"/>
      <c r="B98" s="13"/>
      <c r="C98" s="14"/>
      <c r="D98" s="14"/>
      <c r="E98" s="13"/>
      <c r="F98" s="14"/>
      <c r="G98" s="38"/>
      <c r="H98" s="39"/>
      <c r="I98" s="40"/>
      <c r="J98" s="40"/>
      <c r="K98" s="40"/>
      <c r="L98" s="11"/>
    </row>
    <row r="99" spans="1:12" ht="23.25" x14ac:dyDescent="0.3">
      <c r="A99" s="41"/>
      <c r="B99" s="42" t="s">
        <v>115</v>
      </c>
      <c r="C99" s="10"/>
      <c r="E99" s="41"/>
      <c r="F99" s="42" t="s">
        <v>121</v>
      </c>
      <c r="G99" s="10"/>
      <c r="I99" s="12"/>
      <c r="J99" s="13" t="s">
        <v>123</v>
      </c>
      <c r="K99" s="10"/>
    </row>
    <row r="100" spans="1:12" ht="23.25" x14ac:dyDescent="0.3">
      <c r="A100" s="43"/>
      <c r="B100" s="42" t="s">
        <v>116</v>
      </c>
      <c r="C100" s="13"/>
      <c r="E100" s="43"/>
      <c r="F100" s="42" t="s">
        <v>122</v>
      </c>
      <c r="G100" s="13"/>
      <c r="I100" s="76"/>
      <c r="J100" s="13" t="s">
        <v>124</v>
      </c>
    </row>
    <row r="101" spans="1:12" ht="23.25" x14ac:dyDescent="0.3">
      <c r="A101" s="1"/>
      <c r="B101" s="13"/>
      <c r="C101" s="14"/>
      <c r="D101" s="13"/>
      <c r="E101" s="14"/>
      <c r="F101" s="44"/>
      <c r="G101" s="46"/>
      <c r="H101" s="46"/>
      <c r="I101" s="45"/>
      <c r="J101" s="10"/>
      <c r="K101" s="10"/>
      <c r="L101" s="2"/>
    </row>
    <row r="102" spans="1:12" ht="18.75" x14ac:dyDescent="0.25">
      <c r="A102" s="55" t="s">
        <v>93</v>
      </c>
      <c r="B102" s="53"/>
      <c r="C102" s="51"/>
      <c r="D102" s="53"/>
      <c r="E102" s="51"/>
      <c r="F102" s="51"/>
      <c r="G102" s="51"/>
      <c r="H102" s="52"/>
      <c r="I102" s="57"/>
      <c r="J102" s="2"/>
      <c r="K102" s="2"/>
      <c r="L102" s="2"/>
    </row>
    <row r="103" spans="1:12" ht="18.75" x14ac:dyDescent="0.25">
      <c r="A103" s="54" t="s">
        <v>99</v>
      </c>
      <c r="B103" s="53"/>
      <c r="C103" s="51"/>
      <c r="D103" s="53"/>
      <c r="E103" s="51"/>
      <c r="F103" s="51"/>
      <c r="G103" s="53"/>
      <c r="H103" s="52"/>
      <c r="I103" s="57"/>
      <c r="J103" s="2"/>
      <c r="K103" s="2"/>
      <c r="L103" s="2"/>
    </row>
    <row r="104" spans="1:12" ht="18.75" x14ac:dyDescent="0.25">
      <c r="A104" s="54" t="s">
        <v>98</v>
      </c>
      <c r="B104" s="53"/>
      <c r="C104" s="53"/>
      <c r="D104" s="53"/>
      <c r="E104" s="53"/>
      <c r="F104" s="51"/>
      <c r="G104" s="53"/>
      <c r="H104" s="52"/>
      <c r="I104" s="57"/>
      <c r="J104" s="2"/>
      <c r="K104" s="2"/>
      <c r="L104" s="2"/>
    </row>
    <row r="105" spans="1:12" ht="18.75" x14ac:dyDescent="0.25">
      <c r="A105" s="54" t="s">
        <v>85</v>
      </c>
      <c r="B105" s="53"/>
      <c r="C105" s="53"/>
      <c r="D105" s="53"/>
      <c r="E105" s="53"/>
      <c r="F105" s="52"/>
      <c r="G105" s="52"/>
      <c r="H105" s="52"/>
      <c r="I105" s="57"/>
      <c r="J105" s="2"/>
      <c r="K105" s="2"/>
      <c r="L105" s="2"/>
    </row>
    <row r="106" spans="1:12" ht="18.75" x14ac:dyDescent="0.25">
      <c r="A106" s="54" t="s">
        <v>97</v>
      </c>
      <c r="B106" s="53"/>
      <c r="C106" s="53"/>
      <c r="D106" s="53"/>
      <c r="E106" s="53"/>
      <c r="F106" s="53"/>
      <c r="G106" s="52"/>
      <c r="H106" s="52"/>
      <c r="I106" s="57"/>
      <c r="J106" s="2"/>
      <c r="K106" s="2"/>
      <c r="L106" s="2"/>
    </row>
    <row r="107" spans="1:12" ht="18.75" x14ac:dyDescent="0.25">
      <c r="A107" s="54" t="s">
        <v>96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8.75" x14ac:dyDescent="0.25">
      <c r="A108" s="54" t="s">
        <v>107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8.75" x14ac:dyDescent="0.25">
      <c r="A109" s="54" t="s">
        <v>95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8.75" x14ac:dyDescent="0.25">
      <c r="A110" s="54" t="s">
        <v>94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8.75" x14ac:dyDescent="0.25">
      <c r="A111" s="54" t="s">
        <v>86</v>
      </c>
      <c r="B111" s="53"/>
      <c r="C111" s="53"/>
      <c r="D111" s="53"/>
      <c r="E111" s="53"/>
      <c r="F111" s="53"/>
      <c r="G111" s="53"/>
      <c r="H111" s="52"/>
      <c r="I111" s="57"/>
      <c r="J111" s="2"/>
      <c r="K111" s="2"/>
      <c r="L111" s="2"/>
    </row>
    <row r="112" spans="1:12" ht="18.75" x14ac:dyDescent="0.25">
      <c r="A112" s="54" t="s">
        <v>101</v>
      </c>
      <c r="B112" s="53"/>
      <c r="C112" s="53"/>
      <c r="D112" s="53"/>
      <c r="E112" s="53"/>
      <c r="F112" s="53"/>
      <c r="G112" s="53"/>
      <c r="H112" s="52"/>
      <c r="I112" s="57"/>
      <c r="J112" s="2"/>
      <c r="K112" s="2"/>
      <c r="L112" s="2"/>
    </row>
    <row r="113" spans="1:12" ht="18.75" x14ac:dyDescent="0.25">
      <c r="A113" s="54" t="s">
        <v>100</v>
      </c>
      <c r="B113" s="53"/>
      <c r="C113" s="53"/>
      <c r="D113" s="53"/>
      <c r="E113" s="53"/>
      <c r="F113" s="53"/>
      <c r="G113" s="53"/>
      <c r="H113" s="52"/>
      <c r="I113" s="57"/>
      <c r="J113" s="2"/>
      <c r="K113" s="2"/>
      <c r="L113" s="2"/>
    </row>
    <row r="114" spans="1:12" ht="18.75" x14ac:dyDescent="0.25">
      <c r="A114" s="54" t="s">
        <v>102</v>
      </c>
      <c r="B114" s="53"/>
      <c r="C114" s="53"/>
      <c r="D114" s="53"/>
      <c r="E114" s="53"/>
      <c r="F114" s="53"/>
      <c r="G114" s="53"/>
      <c r="H114" s="52"/>
      <c r="I114" s="57"/>
      <c r="J114" s="2"/>
      <c r="K114" s="2"/>
      <c r="L114" s="2"/>
    </row>
    <row r="115" spans="1:12" ht="18.75" x14ac:dyDescent="0.25">
      <c r="A115" s="54" t="s">
        <v>103</v>
      </c>
      <c r="B115" s="53"/>
      <c r="C115" s="53"/>
      <c r="D115" s="53"/>
      <c r="E115" s="53"/>
      <c r="F115" s="53"/>
      <c r="G115" s="53"/>
      <c r="H115" s="52"/>
      <c r="I115" s="57"/>
      <c r="J115" s="2"/>
      <c r="K115" s="2"/>
      <c r="L115" s="2"/>
    </row>
    <row r="116" spans="1:12" ht="18.75" x14ac:dyDescent="0.25">
      <c r="A116" s="54" t="s">
        <v>87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8.75" x14ac:dyDescent="0.25">
      <c r="A117" s="54"/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  <row r="118" spans="1:12" ht="18.75" x14ac:dyDescent="0.25">
      <c r="A118" s="55" t="s">
        <v>88</v>
      </c>
      <c r="B118" s="53"/>
      <c r="C118" s="53"/>
      <c r="D118" s="53"/>
      <c r="E118" s="53"/>
      <c r="F118" s="53"/>
      <c r="G118" s="53"/>
      <c r="H118" s="56"/>
      <c r="I118" s="58"/>
      <c r="J118" s="11"/>
      <c r="K118" s="11"/>
      <c r="L118" s="11"/>
    </row>
    <row r="119" spans="1:12" ht="18.75" x14ac:dyDescent="0.25">
      <c r="A119" s="54" t="s">
        <v>89</v>
      </c>
      <c r="B119" s="53"/>
      <c r="C119" s="53"/>
      <c r="D119" s="53"/>
      <c r="E119" s="53"/>
      <c r="F119" s="53"/>
      <c r="G119" s="53"/>
      <c r="H119" s="56"/>
      <c r="I119" s="58"/>
      <c r="J119" s="11"/>
      <c r="K119" s="11"/>
      <c r="L119" s="11"/>
    </row>
    <row r="120" spans="1:12" ht="18.75" x14ac:dyDescent="0.25">
      <c r="A120" s="54" t="s">
        <v>113</v>
      </c>
      <c r="B120" s="53"/>
      <c r="C120" s="53"/>
      <c r="D120" s="53"/>
      <c r="E120" s="53"/>
      <c r="F120" s="53"/>
      <c r="G120" s="53"/>
      <c r="H120" s="56"/>
      <c r="I120" s="58"/>
      <c r="J120" s="11"/>
      <c r="K120" s="11"/>
      <c r="L120" s="11"/>
    </row>
    <row r="121" spans="1:12" ht="18.75" x14ac:dyDescent="0.25">
      <c r="A121" s="54" t="s">
        <v>112</v>
      </c>
      <c r="B121" s="53"/>
      <c r="C121" s="53"/>
      <c r="D121" s="53"/>
      <c r="E121" s="53"/>
      <c r="F121" s="53"/>
      <c r="G121" s="53"/>
      <c r="H121" s="56"/>
      <c r="I121" s="58"/>
      <c r="J121" s="11"/>
      <c r="K121" s="11"/>
      <c r="L121" s="11"/>
    </row>
    <row r="122" spans="1:12" ht="18.75" x14ac:dyDescent="0.25">
      <c r="A122" s="54" t="s">
        <v>111</v>
      </c>
      <c r="B122" s="53"/>
      <c r="C122" s="53"/>
      <c r="D122" s="53"/>
      <c r="E122" s="53"/>
      <c r="F122" s="53"/>
      <c r="G122" s="53"/>
      <c r="H122" s="56"/>
      <c r="I122" s="58"/>
      <c r="J122" s="11"/>
      <c r="K122" s="11"/>
      <c r="L122" s="11"/>
    </row>
  </sheetData>
  <mergeCells count="24">
    <mergeCell ref="H85:J85"/>
    <mergeCell ref="H84:J84"/>
    <mergeCell ref="H86:J86"/>
    <mergeCell ref="J8:K8"/>
    <mergeCell ref="K4:L4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2025-12-04T09:17:30Z</cp:lastPrinted>
  <dcterms:created xsi:type="dcterms:W3CDTF">2021-06-05T07:13:00Z</dcterms:created>
  <dcterms:modified xsi:type="dcterms:W3CDTF">2025-12-04T10:47:51Z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