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D30FF9EA-F491-4EFA-BCBF-1040B31C978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86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<sst xmlns="http://schemas.openxmlformats.org/spreadsheetml/2006/main" count="223" uniqueCount="128">
  <si>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</si>
  <si>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</si>
  <si>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</si>
  <si>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</si>
  <si>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</si>
  <si>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</si>
  <si>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</si>
  <si>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</si>
  <si>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</si>
  <si>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</si>
  <si>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</si>
  <si>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</si>
  <si>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</si>
  <si>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</si>
  <si>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</si>
  <si>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</si>
  <si>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</si>
  <si>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</si>
  <si>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</si>
  <si>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</si>
  <si>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</si>
  <si>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</si>
  <si>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</si>
  <si>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</si>
  <si>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</si>
  <si>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</si>
  <si>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</si>
  <si>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</si>
  <si>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</si>
  <si>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</si>
  <si>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</si>
  <si>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</si>
  <si>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</si>
  <si>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</si>
  <si>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</si>
  <si>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</si>
  <si>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</si>
  <si>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</si>
  <si>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</si>
  <si>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</si>
  <si>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</si>
  <si>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</si>
  <si>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</si>
  <si>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</si>
  <si>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</si>
  <si>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</si>
  <si>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</si>
  <si>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</si>
  <si>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</si>
  <si>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</si>
  <si>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</si>
  <si>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</si>
  <si>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</si>
  <si>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</si>
  <si>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</si>
  <si>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</si>
  <si>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</si>
  <si>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</si>
  <si>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</si>
  <si>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</si>
  <si>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</si>
  <si>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</si>
  <si>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</si>
  <si>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</si>
  <si>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</si>
  <si>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</si>
  <si>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</si>
  <si>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</si>
  <si>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</si>
  <si>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</si>
  <si>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</si>
  <si>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</si>
  <si>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</si>
  <si>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</si>
  <si>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</si>
  <si>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</si>
  <si>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</si>
  <si>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</si>
  <si>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</si>
  <si>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</si>
  <si>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</si>
  <si>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</si>
  <si>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</si>
  <si>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</si>
  <si>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</si>
  <si>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</si>
  <si>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</si>
  <si>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</si>
  <si>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</si>
  <si>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</si>
  <si>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</si>
  <si>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</si>
  <si>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</si>
  <si>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</si>
  <si>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</si>
  <si>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</si>
  <si>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</si>
  <si>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</si>
  <si>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</si>
  <si>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</si>
  <si>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</si>
  <si>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</si>
  <si>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</si>
  <si>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</si>
  <si>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</si>
  <si>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</si>
  <si>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</si>
  <si>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</si>
  <si>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</si>
  <si>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</si>
  <si>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</si>
  <si>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</si>
  <si>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</si>
  <si>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</si>
  <si>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</si>
  <si>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</si>
  <si>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</si>
  <si>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</si>
  <si>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</si>
  <si>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১৩-১১-২০২৫ তারিখে মূল্য হ্রাস পেয়েছে।</t>
  </si>
  <si>
    <t>১৭-১১-২০২৫ তারিখে মূল্য হ্রাস পেয়েছে।</t>
  </si>
  <si>
    <t>(১ )   পেঁয়াজ (দেশী), মুরগী ব্রয়লার, ডিম  এর মূল্য হ্রাস পেয়েছে।</t>
  </si>
  <si>
    <t>স্মারক নং-২৬.০৫.০০০০.০১৭.৩১.০১.২৫-৮৪০</t>
  </si>
  <si>
    <t xml:space="preserve">বুধবার ১৯ নভেম্বর ২০২৫ খ্রিঃ, ০৪ অগ্রহায়ন ১৪৩২ বাংলা, ২৭ জমা-আউ ১৪৪৭ হিজরি </t>
  </si>
  <si>
    <t xml:space="preserve">   সিরিয়াল নংঃ     ২৮৯</t>
  </si>
  <si>
    <t>(৩)  অন্যান্য পণ্যের মূল্য অপরিবর্তীত রয়েছে।</t>
  </si>
  <si>
    <t>১৯-১১-২০২৫ তারিখে মূল্য বৃদ্ধি পেয়েছে।</t>
  </si>
  <si>
    <t>(২ )   রশুন (দেশী) 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</si>
</sst>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0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45980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45980</v>
      </c>
      <c r="D8" s="84"/>
      <c r="E8" s="83">
        <v>45973</v>
      </c>
      <c r="F8" s="84"/>
      <c r="G8" s="83">
        <v>45949</v>
      </c>
      <c r="H8" s="84"/>
      <c r="I8" s="26" t="s">
        <v>12</v>
      </c>
      <c r="J8" s="83">
        <v>45615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170</v>
      </c>
      <c r="K19" s="29">
        <v>172</v>
      </c>
      <c r="L19" s="31">
        <f t="shared" ref="L19:L25" si="1">((C19+D19)/2-(J19+K19)/2)/((J19+K19)/2)*100</f>
        <v>2.3391812865497075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900</v>
      </c>
      <c r="H20" s="29">
        <v>930</v>
      </c>
      <c r="I20" s="30">
        <f t="shared" si="0"/>
        <v>-0.27322404371584702</v>
      </c>
      <c r="J20" s="29">
        <v>810</v>
      </c>
      <c r="K20" s="29">
        <v>818</v>
      </c>
      <c r="L20" s="31">
        <f t="shared" si="1"/>
        <v>12.100737100737101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188</v>
      </c>
      <c r="H22" s="29">
        <v>195</v>
      </c>
      <c r="I22" s="30">
        <f t="shared" si="0"/>
        <v>-0.52219321148825071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153</v>
      </c>
      <c r="H23" s="29">
        <v>162</v>
      </c>
      <c r="I23" s="30">
        <f t="shared" si="0"/>
        <v>-0.95238095238095244</v>
      </c>
      <c r="J23" s="29">
        <v>161</v>
      </c>
      <c r="K23" s="29">
        <v>162</v>
      </c>
      <c r="L23" s="31">
        <f t="shared" si="1"/>
        <v>-3.4055727554179565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168</v>
      </c>
      <c r="I24" s="30">
        <f t="shared" si="0"/>
        <v>-0.92879256965944268</v>
      </c>
      <c r="J24" s="29">
        <v>163</v>
      </c>
      <c r="K24" s="29">
        <v>164</v>
      </c>
      <c r="L24" s="31">
        <f t="shared" si="1"/>
        <v>-2.1406727828746175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110</v>
      </c>
      <c r="F35" s="29">
        <v>120</v>
      </c>
      <c r="G35" s="29">
        <v>70</v>
      </c>
      <c r="H35" s="29">
        <v>85</v>
      </c>
      <c r="I35" s="30">
        <f t="shared" ref="I35:I50" si="4">((C35+D35)/2-(G35+H35)/2)/((G35+H35)/2)*100</f>
        <v>41.935483870967744</v>
      </c>
      <c r="J35" s="29">
        <v>130</v>
      </c>
      <c r="K35" s="29">
        <v>140</v>
      </c>
      <c r="L35" s="31">
        <f t="shared" ref="L35:L50" si="5">((C35+D35)/2-(J35+K35)/2)/((J35+K35)/2)*100</f>
        <v>-18.518518518518519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115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90</v>
      </c>
      <c r="D37" s="29">
        <v>150</v>
      </c>
      <c r="E37" s="29">
        <v>80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240</v>
      </c>
      <c r="K37" s="29">
        <v>270</v>
      </c>
      <c r="L37" s="31">
        <f t="shared" si="5"/>
        <v>-52.941176470588239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15.151515151515152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150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280</v>
      </c>
      <c r="L49" s="31">
        <f t="shared" si="5"/>
        <v>-7.8431372549019605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-1.4084507042253522</v>
      </c>
      <c r="J56" s="29">
        <v>180</v>
      </c>
      <c r="K56" s="29">
        <v>200</v>
      </c>
      <c r="L56" s="31">
        <f t="shared" si="7"/>
        <v>-7.8947368421052628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45980</v>
      </c>
      <c r="D67" s="84"/>
      <c r="E67" s="83">
        <v>45973</v>
      </c>
      <c r="F67" s="84"/>
      <c r="G67" s="83">
        <v>45949</v>
      </c>
      <c r="H67" s="84"/>
      <c r="I67" s="26" t="s">
        <v>12</v>
      </c>
      <c r="J67" s="83">
        <v>45615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90</v>
      </c>
      <c r="B83" s="6" t="s">
        <v>18</v>
      </c>
      <c r="C83" s="29">
        <v>100</v>
      </c>
      <c r="D83" s="29">
        <v>120</v>
      </c>
      <c r="E83" s="29">
        <v>110</v>
      </c>
      <c r="F83" s="29">
        <v>120</v>
      </c>
      <c r="G83" s="7">
        <f t="shared" ref="G83:G85" si="10">((C83+D83)/2-(E83+F83)/2)/((E83+F83)/2)*100</f>
        <v>-4.3478260869565215</v>
      </c>
      <c r="H83" s="5" t="s">
        <v>119</v>
      </c>
      <c r="I83" s="6"/>
      <c r="J83" s="6"/>
      <c r="K83" s="11"/>
      <c r="L83" s="11"/>
    </row>
    <row r="84" spans="1:12" ht="21.75">
      <c r="A84" s="69" t="s">
        <v>45</v>
      </c>
      <c r="B84" s="6" t="s">
        <v>18</v>
      </c>
      <c r="C84" s="29">
        <v>90</v>
      </c>
      <c r="D84" s="29">
        <v>150</v>
      </c>
      <c r="E84" s="29">
        <v>80</v>
      </c>
      <c r="F84" s="29">
        <v>140</v>
      </c>
      <c r="G84" s="7">
        <f>((C84+D84)/2-(E84+F84)/2)/((E84+F84)/2)*100</f>
        <v>9.0909090909090917</v>
      </c>
      <c r="H84" s="5" t="s">
        <v>126</v>
      </c>
      <c r="I84" s="6"/>
      <c r="J84" s="6"/>
      <c r="K84" s="11"/>
      <c r="L84" s="11"/>
    </row>
    <row r="85" spans="1:12" ht="21.75">
      <c r="A85" s="69" t="s">
        <v>62</v>
      </c>
      <c r="B85" s="6" t="s">
        <v>18</v>
      </c>
      <c r="C85" s="29">
        <v>160</v>
      </c>
      <c r="D85" s="29">
        <v>190</v>
      </c>
      <c r="E85" s="29">
        <v>170</v>
      </c>
      <c r="F85" s="29">
        <v>185</v>
      </c>
      <c r="G85" s="7">
        <f t="shared" si="10"/>
        <v>-1.4084507042253522</v>
      </c>
      <c r="H85" s="5" t="s">
        <v>120</v>
      </c>
      <c r="I85" s="6"/>
      <c r="J85" s="6"/>
      <c r="K85" s="11"/>
      <c r="L85" s="11"/>
    </row>
    <row r="86" spans="1:12" ht="24.75">
      <c r="A86" s="69" t="s">
        <v>73</v>
      </c>
      <c r="B86" s="6" t="s">
        <v>74</v>
      </c>
      <c r="C86" s="37">
        <v>40</v>
      </c>
      <c r="D86" s="37">
        <v>50</v>
      </c>
      <c r="E86" s="37">
        <v>43</v>
      </c>
      <c r="F86" s="37">
        <v>50</v>
      </c>
      <c r="G86" s="7">
        <f>((C86+D86)/2-(E86+F86)/2)/((E86+F86)/2)*100</f>
        <v>-3.225806451612903</v>
      </c>
      <c r="H86" s="5" t="s">
        <v>120</v>
      </c>
      <c r="I86" s="6"/>
      <c r="J86" s="6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116</v>
      </c>
      <c r="K90" s="10"/>
      <c r="L90" s="10"/>
    </row>
    <row r="91" spans="1:12" ht="24.75">
      <c r="A91" s="1"/>
      <c r="B91" s="43"/>
      <c r="C91" s="42" t="s">
        <v>115</v>
      </c>
      <c r="D91" s="13"/>
      <c r="E91" s="41"/>
      <c r="F91" s="44"/>
      <c r="G91" s="46"/>
      <c r="H91" s="46"/>
      <c r="I91" s="76"/>
      <c r="J91" s="13" t="s">
        <v>117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113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112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2025-11-19T08:12:46Z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