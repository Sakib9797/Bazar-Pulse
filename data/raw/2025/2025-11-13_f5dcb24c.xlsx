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483228F4-9C3F-4322-B507-60EF62A46A2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6" i="4" l="1"/>
  <c r="G90" i="4"/>
  <c r="G88" i="4"/>
  <c r="G84" i="4"/>
  <c r="G83" i="4"/>
  <c r="G85" i="4"/>
  <c r="G89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<sst xmlns="http://schemas.openxmlformats.org/spreadsheetml/2006/main" count="235" uniqueCount="130">
  <si>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</si>
  <si>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</si>
  <si>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</si>
  <si>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</si>
  <si>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</si>
  <si>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</si>
  <si>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</si>
  <si>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</si>
  <si>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</si>
  <si>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</si>
  <si>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</si>
  <si>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</si>
  <si>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</si>
  <si>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</si>
  <si>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</si>
  <si>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</si>
  <si>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</si>
  <si>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</si>
  <si>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</si>
  <si>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</si>
  <si>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</si>
  <si>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</si>
  <si>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</si>
  <si>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</si>
  <si>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</si>
  <si>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</si>
  <si>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</si>
  <si>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</si>
  <si>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</si>
  <si>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</si>
  <si>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</si>
  <si>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</si>
  <si>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</si>
  <si>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</si>
  <si>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</si>
  <si>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</si>
  <si>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</si>
  <si>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</si>
  <si>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</si>
  <si>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</si>
  <si>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</si>
  <si>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</si>
  <si>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</si>
  <si>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</si>
  <si>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</si>
  <si>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</si>
  <si>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</si>
  <si>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</si>
  <si>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</si>
  <si>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</si>
  <si>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</si>
  <si>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</si>
  <si>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</si>
  <si>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</si>
  <si>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</si>
  <si>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</si>
  <si>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</si>
  <si>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</si>
  <si>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</si>
  <si>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</si>
  <si>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</si>
  <si>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</si>
  <si>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</si>
  <si>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</si>
  <si>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</si>
  <si>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</si>
  <si>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</si>
  <si>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</si>
  <si>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</si>
  <si>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</si>
  <si>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</si>
  <si>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</si>
  <si>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</si>
  <si>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</si>
  <si>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</si>
  <si>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</si>
  <si>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</si>
  <si>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</si>
  <si>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</si>
  <si>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</si>
  <si>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</si>
  <si>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</si>
  <si>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</si>
  <si>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</si>
  <si>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</si>
  <si>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</si>
  <si>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</si>
  <si>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</si>
  <si>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</si>
  <si>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</si>
  <si>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</si>
  <si>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</si>
  <si>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</si>
  <si>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</si>
  <si>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</si>
  <si>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</si>
  <si>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</si>
  <si>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</si>
  <si>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</si>
  <si>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</si>
  <si>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</si>
  <si>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</si>
  <si>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</si>
  <si>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</si>
  <si>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</si>
  <si>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</si>
  <si>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</si>
  <si>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</si>
  <si>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</si>
  <si>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</si>
  <si>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</si>
  <si>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</si>
  <si>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</si>
  <si>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</si>
  <si>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</si>
  <si>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</si>
  <si>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</si>
  <si>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</si>
  <si>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</si>
  <si>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</si>
  <si>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০৯-১১-২০২৫ তারিখে মূল্য হ্রাস পেয়েছে।</t>
  </si>
  <si>
    <t>১১-১১-২০২৫ তারিখে মূল্য হ্রাস পেয়েছে।</t>
  </si>
  <si>
    <t>১১-১১-২০২৫ তারিখে মূল্য বৃদ্ধি পেয়েছে।</t>
  </si>
  <si>
    <t xml:space="preserve">বৃহস্পতিবার ১৩ নভেম্বর ২০২৫ খ্রিঃ, ২৮ কার্তিক ১৪৩২ বাংলা, ২১ জমা-আউ ১৪৪৭ হিজরি </t>
  </si>
  <si>
    <t xml:space="preserve">   সিরিয়াল নংঃ     ২৮৩</t>
  </si>
  <si>
    <t>১৩-১১-২০২৫ তারিখে মূল্য বৃদ্ধি পেয়েছে।</t>
  </si>
  <si>
    <t>১৩-১১-২০২৫ তারিখে মূল্য হ্রাস পেয়েছে।</t>
  </si>
  <si>
    <t>(১)     আলু, রশুন (আম)    এর মূল্য বৃদ্ধি পেয়েছে।</t>
  </si>
  <si>
    <t>(২ )   সয়াবিন তেল (১লিঃ, ৫লিঃ বোতল), পাম অয়েল (লুজ), পেঁয়াজ (দেশী), রশুন (দেশী), চিনি  এর মূল্য হ্রাস পেয়েছে।</t>
  </si>
  <si>
    <t>স্মারক নং-২৬.০৫.০০০০.০১৭.৩১.০১.২৫-৮২১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</si>
</sst>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zoomScale="96" zoomScaleNormal="96" workbookViewId="0">
      <selection activeCell="A6" sqref="A6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124</v>
      </c>
      <c r="L4" s="84"/>
    </row>
    <row r="5" spans="1:12" ht="19.5" customHeight="1">
      <c r="A5" s="17"/>
      <c r="B5" s="8"/>
      <c r="C5" s="8"/>
      <c r="D5" s="17"/>
      <c r="E5" s="8"/>
      <c r="F5" s="8" t="s">
        <v>123</v>
      </c>
      <c r="G5" s="8"/>
      <c r="H5" s="8"/>
      <c r="I5" s="8"/>
      <c r="J5" s="8"/>
      <c r="K5" s="8"/>
      <c r="L5" s="49"/>
    </row>
    <row r="6" spans="1:12" ht="21.75">
      <c r="A6" s="20" t="s">
        <v>129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45974</v>
      </c>
    </row>
    <row r="7" spans="1:12" ht="21.7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.75">
      <c r="A8" s="25"/>
      <c r="B8" s="26"/>
      <c r="C8" s="85">
        <v>45974</v>
      </c>
      <c r="D8" s="84"/>
      <c r="E8" s="85">
        <v>45967</v>
      </c>
      <c r="F8" s="84"/>
      <c r="G8" s="85">
        <v>45943</v>
      </c>
      <c r="H8" s="84"/>
      <c r="I8" s="26" t="s">
        <v>12</v>
      </c>
      <c r="J8" s="85">
        <v>45609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52</v>
      </c>
      <c r="K12" s="29">
        <v>55</v>
      </c>
      <c r="L12" s="31">
        <f>((C12+D12)/2-(J12+K12)/2)/((J12+K12)/2)*100</f>
        <v>6.5420560747663545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48</v>
      </c>
      <c r="H14" s="29">
        <v>52</v>
      </c>
      <c r="I14" s="30">
        <f>((C14+D14)/2-(G14+H14)/2)/((G14+H14)/2)*100</f>
        <v>-5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58</v>
      </c>
      <c r="H15" s="29">
        <v>65</v>
      </c>
      <c r="I15" s="30">
        <f>((C15+D15)/2-(G15+H15)/2)/((G15+H15)/2)*100</f>
        <v>-4.8780487804878048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60</v>
      </c>
      <c r="H16" s="29">
        <v>65</v>
      </c>
      <c r="I16" s="30">
        <f>((C16+D16)/2-(G16+H16)/2)/((G16+H16)/2)*100</f>
        <v>-4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178</v>
      </c>
      <c r="I19" s="30">
        <f t="shared" ref="I19:I25" si="0">((C19+D19)/2-(G19+H19)/2)/((G19+H19)/2)*100</f>
        <v>0</v>
      </c>
      <c r="J19" s="29">
        <v>170</v>
      </c>
      <c r="K19" s="29">
        <v>171</v>
      </c>
      <c r="L19" s="31">
        <f t="shared" ref="L19:L25" si="1">((C19+D19)/2-(J19+K19)/2)/((J19+K19)/2)*100</f>
        <v>2.6392961876832843</v>
      </c>
    </row>
    <row r="20" spans="1:12" ht="21.75">
      <c r="A20" s="69" t="s">
        <v>29</v>
      </c>
      <c r="B20" s="6" t="s">
        <v>30</v>
      </c>
      <c r="C20" s="29">
        <v>900</v>
      </c>
      <c r="D20" s="29">
        <v>925</v>
      </c>
      <c r="E20" s="29">
        <v>910</v>
      </c>
      <c r="F20" s="29">
        <v>925</v>
      </c>
      <c r="G20" s="29">
        <v>890</v>
      </c>
      <c r="H20" s="29">
        <v>920</v>
      </c>
      <c r="I20" s="30">
        <f t="shared" si="0"/>
        <v>0.82872928176795579</v>
      </c>
      <c r="J20" s="29">
        <v>800</v>
      </c>
      <c r="K20" s="29">
        <v>810</v>
      </c>
      <c r="L20" s="31">
        <f t="shared" si="1"/>
        <v>13.354037267080745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380</v>
      </c>
      <c r="I21" s="30">
        <f t="shared" si="0"/>
        <v>0.66225165562913912</v>
      </c>
      <c r="J21" s="29">
        <v>330</v>
      </c>
      <c r="K21" s="29">
        <v>340</v>
      </c>
      <c r="L21" s="31">
        <f t="shared" si="1"/>
        <v>13.432835820895523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195</v>
      </c>
      <c r="G22" s="29">
        <v>188</v>
      </c>
      <c r="H22" s="29">
        <v>190</v>
      </c>
      <c r="I22" s="30">
        <f t="shared" si="0"/>
        <v>0.79365079365079361</v>
      </c>
      <c r="J22" s="29">
        <v>167</v>
      </c>
      <c r="K22" s="29">
        <v>170</v>
      </c>
      <c r="L22" s="31">
        <f t="shared" si="1"/>
        <v>13.056379821958458</v>
      </c>
    </row>
    <row r="23" spans="1:12" ht="21.75">
      <c r="A23" s="69" t="s">
        <v>33</v>
      </c>
      <c r="B23" s="6" t="s">
        <v>28</v>
      </c>
      <c r="C23" s="29">
        <v>150</v>
      </c>
      <c r="D23" s="29">
        <v>162</v>
      </c>
      <c r="E23" s="29">
        <v>152</v>
      </c>
      <c r="F23" s="29">
        <v>162</v>
      </c>
      <c r="G23" s="29">
        <v>155</v>
      </c>
      <c r="H23" s="29">
        <v>160</v>
      </c>
      <c r="I23" s="30">
        <f t="shared" si="0"/>
        <v>-0.95238095238095244</v>
      </c>
      <c r="J23" s="29">
        <v>162</v>
      </c>
      <c r="K23" s="29">
        <v>163</v>
      </c>
      <c r="L23" s="31">
        <f t="shared" si="1"/>
        <v>-4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158</v>
      </c>
      <c r="H24" s="29">
        <v>166</v>
      </c>
      <c r="I24" s="30">
        <f t="shared" si="0"/>
        <v>-1.2345679012345678</v>
      </c>
      <c r="J24" s="29">
        <v>164</v>
      </c>
      <c r="K24" s="29">
        <v>165</v>
      </c>
      <c r="L24" s="31">
        <f t="shared" si="1"/>
        <v>-2.735562310030395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1050</v>
      </c>
      <c r="I25" s="30">
        <f t="shared" si="0"/>
        <v>1.4423076923076923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125</v>
      </c>
      <c r="H28" s="29">
        <v>140</v>
      </c>
      <c r="I28" s="30">
        <f t="shared" si="2"/>
        <v>0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6.666666666666667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-3.5714285714285712</v>
      </c>
      <c r="J31" s="29">
        <v>75</v>
      </c>
      <c r="K31" s="29">
        <v>80</v>
      </c>
      <c r="L31" s="31">
        <f t="shared" si="3"/>
        <v>-12.903225806451612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0</v>
      </c>
      <c r="J32" s="29">
        <v>130</v>
      </c>
      <c r="K32" s="29">
        <v>140</v>
      </c>
      <c r="L32" s="31">
        <f t="shared" si="3"/>
        <v>-22.222222222222221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18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65</v>
      </c>
      <c r="K33" s="29">
        <v>75</v>
      </c>
      <c r="L33" s="31">
        <f t="shared" si="3"/>
        <v>-67.857142857142861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100</v>
      </c>
      <c r="D35" s="29">
        <v>120</v>
      </c>
      <c r="E35" s="29">
        <v>110</v>
      </c>
      <c r="F35" s="29">
        <v>120</v>
      </c>
      <c r="G35" s="29">
        <v>70</v>
      </c>
      <c r="H35" s="29">
        <v>80</v>
      </c>
      <c r="I35" s="30">
        <f t="shared" ref="I35:I50" si="4">((C35+D35)/2-(G35+H35)/2)/((G35+H35)/2)*100</f>
        <v>46.666666666666664</v>
      </c>
      <c r="J35" s="29">
        <v>130</v>
      </c>
      <c r="K35" s="29">
        <v>150</v>
      </c>
      <c r="L35" s="31">
        <f t="shared" ref="L35:L50" si="5">((C35+D35)/2-(J35+K35)/2)/((J35+K35)/2)*100</f>
        <v>-21.428571428571427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90</v>
      </c>
      <c r="K36" s="29">
        <v>120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80</v>
      </c>
      <c r="D37" s="29">
        <v>150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-4.1666666666666661</v>
      </c>
      <c r="J37" s="29">
        <v>240</v>
      </c>
      <c r="K37" s="29">
        <v>260</v>
      </c>
      <c r="L37" s="31">
        <f t="shared" si="5"/>
        <v>-54</v>
      </c>
    </row>
    <row r="38" spans="1:12" ht="21.75">
      <c r="A38" s="69" t="s">
        <v>46</v>
      </c>
      <c r="B38" s="6" t="s">
        <v>18</v>
      </c>
      <c r="C38" s="29">
        <v>160</v>
      </c>
      <c r="D38" s="29">
        <v>220</v>
      </c>
      <c r="E38" s="29">
        <v>150</v>
      </c>
      <c r="F38" s="29">
        <v>200</v>
      </c>
      <c r="G38" s="29">
        <v>130</v>
      </c>
      <c r="H38" s="29">
        <v>190</v>
      </c>
      <c r="I38" s="30">
        <f t="shared" si="4"/>
        <v>18.75</v>
      </c>
      <c r="J38" s="29">
        <v>230</v>
      </c>
      <c r="K38" s="29">
        <v>250</v>
      </c>
      <c r="L38" s="31">
        <f t="shared" si="5"/>
        <v>-20.833333333333336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400</v>
      </c>
      <c r="I42" s="30">
        <f t="shared" si="4"/>
        <v>2.8571428571428572</v>
      </c>
      <c r="J42" s="29">
        <v>250</v>
      </c>
      <c r="K42" s="29">
        <v>320</v>
      </c>
      <c r="L42" s="31">
        <f t="shared" si="5"/>
        <v>26.315789473684209</v>
      </c>
    </row>
    <row r="43" spans="1:12" ht="21.75">
      <c r="A43" s="69" t="s">
        <v>51</v>
      </c>
      <c r="B43" s="6" t="s">
        <v>18</v>
      </c>
      <c r="C43" s="29">
        <v>150</v>
      </c>
      <c r="D43" s="29">
        <v>180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-65.26315789473685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140</v>
      </c>
      <c r="H44" s="29">
        <v>250</v>
      </c>
      <c r="I44" s="30">
        <f t="shared" si="4"/>
        <v>-5.1282051282051277</v>
      </c>
      <c r="J44" s="29">
        <v>120</v>
      </c>
      <c r="K44" s="29">
        <v>300</v>
      </c>
      <c r="L44" s="31">
        <f t="shared" si="5"/>
        <v>-11.904761904761903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700</v>
      </c>
      <c r="I45" s="30">
        <f t="shared" si="4"/>
        <v>3.8461538461538463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190</v>
      </c>
      <c r="D49" s="29">
        <v>280</v>
      </c>
      <c r="E49" s="29">
        <v>190</v>
      </c>
      <c r="F49" s="29">
        <v>280</v>
      </c>
      <c r="G49" s="29">
        <v>220</v>
      </c>
      <c r="H49" s="29">
        <v>280</v>
      </c>
      <c r="I49" s="30">
        <f t="shared" si="4"/>
        <v>-6</v>
      </c>
      <c r="J49" s="29">
        <v>230</v>
      </c>
      <c r="K49" s="29">
        <v>300</v>
      </c>
      <c r="L49" s="31">
        <f t="shared" si="5"/>
        <v>-11.320754716981133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0</v>
      </c>
      <c r="H53" s="29">
        <v>0</v>
      </c>
      <c r="I53" s="30" t="e">
        <f t="shared" si="6"/>
        <v>#DIV/0!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780</v>
      </c>
      <c r="I54" s="30">
        <f t="shared" si="6"/>
        <v>1.3071895424836601</v>
      </c>
      <c r="J54" s="29">
        <v>700</v>
      </c>
      <c r="K54" s="29">
        <v>800</v>
      </c>
      <c r="L54" s="31">
        <f t="shared" si="7"/>
        <v>3.3333333333333335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170</v>
      </c>
      <c r="D56" s="29">
        <v>185</v>
      </c>
      <c r="E56" s="29">
        <v>165</v>
      </c>
      <c r="F56" s="29">
        <v>190</v>
      </c>
      <c r="G56" s="29">
        <v>170</v>
      </c>
      <c r="H56" s="29">
        <v>190</v>
      </c>
      <c r="I56" s="30">
        <f t="shared" si="6"/>
        <v>-1.3888888888888888</v>
      </c>
      <c r="J56" s="29">
        <v>180</v>
      </c>
      <c r="K56" s="29">
        <v>200</v>
      </c>
      <c r="L56" s="31">
        <f t="shared" si="7"/>
        <v>-6.5789473684210522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840</v>
      </c>
      <c r="H62" s="29">
        <v>900</v>
      </c>
      <c r="I62" s="30">
        <f>((C62+D62)/2-(G62+H62)/2)/((G62+H62)/2)*100</f>
        <v>-0.57471264367816088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>
      <c r="A67" s="73"/>
      <c r="B67" s="64"/>
      <c r="C67" s="85">
        <v>45974</v>
      </c>
      <c r="D67" s="84"/>
      <c r="E67" s="85">
        <v>45967</v>
      </c>
      <c r="F67" s="84"/>
      <c r="G67" s="85">
        <v>45943</v>
      </c>
      <c r="H67" s="84"/>
      <c r="I67" s="26" t="s">
        <v>12</v>
      </c>
      <c r="J67" s="85">
        <v>45609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95</v>
      </c>
      <c r="D69" s="29">
        <v>110</v>
      </c>
      <c r="E69" s="29">
        <v>100</v>
      </c>
      <c r="F69" s="29">
        <v>110</v>
      </c>
      <c r="G69" s="29">
        <v>105</v>
      </c>
      <c r="H69" s="29">
        <v>110</v>
      </c>
      <c r="I69" s="30">
        <f>((C69+D69)/2-(G69+H69)/2)/((G69+H69)/2)*100</f>
        <v>-4.6511627906976747</v>
      </c>
      <c r="J69" s="29">
        <v>128</v>
      </c>
      <c r="K69" s="29">
        <v>135</v>
      </c>
      <c r="L69" s="31">
        <f t="shared" ref="L69:L75" si="8">((C69+D69)/2-(J69+K69)/2)/((J69+K69)/2)*100</f>
        <v>-22.053231939163499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450</v>
      </c>
      <c r="I70" s="30">
        <f t="shared" ref="I70:I75" si="9">((C70+D70)/2-(G70+H70)/2)/((G70+H70)/2)*100</f>
        <v>11.940298507462686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43</v>
      </c>
      <c r="D72" s="37">
        <v>50</v>
      </c>
      <c r="E72" s="37">
        <v>43</v>
      </c>
      <c r="F72" s="37">
        <v>50</v>
      </c>
      <c r="G72" s="37">
        <v>45</v>
      </c>
      <c r="H72" s="37">
        <v>50</v>
      </c>
      <c r="I72" s="30">
        <f t="shared" si="9"/>
        <v>-2.1052631578947367</v>
      </c>
      <c r="J72" s="37">
        <v>48</v>
      </c>
      <c r="K72" s="37">
        <v>50</v>
      </c>
      <c r="L72" s="31">
        <f t="shared" si="8"/>
        <v>-5.1020408163265305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83500</v>
      </c>
      <c r="H74" s="29">
        <v>86000</v>
      </c>
      <c r="I74" s="30">
        <f t="shared" si="9"/>
        <v>-1.4749262536873156</v>
      </c>
      <c r="J74" s="29">
        <v>88000</v>
      </c>
      <c r="K74" s="29">
        <v>92500</v>
      </c>
      <c r="L74" s="31">
        <f t="shared" si="8"/>
        <v>-7.4792243767313016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76000</v>
      </c>
      <c r="H75" s="37">
        <v>79000</v>
      </c>
      <c r="I75" s="30">
        <f t="shared" si="9"/>
        <v>-0.64516129032258063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6" t="s">
        <v>115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69" t="s">
        <v>29</v>
      </c>
      <c r="B83" s="6" t="s">
        <v>30</v>
      </c>
      <c r="C83" s="29">
        <v>900</v>
      </c>
      <c r="D83" s="29">
        <v>925</v>
      </c>
      <c r="E83" s="29">
        <v>910</v>
      </c>
      <c r="F83" s="29">
        <v>925</v>
      </c>
      <c r="G83" s="7">
        <f t="shared" ref="G83:G85" si="10">((C83+D83)/2-(E83+F83)/2)/((E83+F83)/2)*100</f>
        <v>-0.54495912806539504</v>
      </c>
      <c r="H83" s="5" t="s">
        <v>121</v>
      </c>
      <c r="I83" s="6"/>
      <c r="J83" s="6"/>
      <c r="K83" s="50"/>
      <c r="L83" s="17"/>
    </row>
    <row r="84" spans="1:12" ht="21.75">
      <c r="A84" s="69" t="s">
        <v>29</v>
      </c>
      <c r="B84" s="6" t="s">
        <v>32</v>
      </c>
      <c r="C84" s="29">
        <v>189</v>
      </c>
      <c r="D84" s="29">
        <v>192</v>
      </c>
      <c r="E84" s="29">
        <v>189</v>
      </c>
      <c r="F84" s="29">
        <v>195</v>
      </c>
      <c r="G84" s="7">
        <f t="shared" si="10"/>
        <v>-0.78125</v>
      </c>
      <c r="H84" s="5" t="s">
        <v>120</v>
      </c>
      <c r="I84" s="6"/>
      <c r="J84" s="6"/>
      <c r="K84" s="50"/>
      <c r="L84" s="17"/>
    </row>
    <row r="85" spans="1:12" ht="21.75">
      <c r="A85" s="69" t="s">
        <v>33</v>
      </c>
      <c r="B85" s="6" t="s">
        <v>28</v>
      </c>
      <c r="C85" s="29">
        <v>150</v>
      </c>
      <c r="D85" s="29">
        <v>162</v>
      </c>
      <c r="E85" s="29">
        <v>152</v>
      </c>
      <c r="F85" s="29">
        <v>162</v>
      </c>
      <c r="G85" s="7">
        <f t="shared" si="10"/>
        <v>-0.63694267515923575</v>
      </c>
      <c r="H85" s="5" t="s">
        <v>120</v>
      </c>
      <c r="I85" s="6"/>
      <c r="J85" s="6"/>
      <c r="K85" s="50"/>
      <c r="L85" s="17"/>
    </row>
    <row r="86" spans="1:12" ht="21.75">
      <c r="A86" s="69" t="s">
        <v>42</v>
      </c>
      <c r="B86" s="6" t="s">
        <v>18</v>
      </c>
      <c r="C86" s="29">
        <v>20</v>
      </c>
      <c r="D86" s="29">
        <v>25</v>
      </c>
      <c r="E86" s="29">
        <v>18</v>
      </c>
      <c r="F86" s="29">
        <v>25</v>
      </c>
      <c r="G86" s="7">
        <f t="shared" ref="G86:G90" si="11">((C86+D86)/2-(E86+F86)/2)/((E86+F86)/2)*100</f>
        <v>4.6511627906976747</v>
      </c>
      <c r="H86" s="5" t="s">
        <v>125</v>
      </c>
      <c r="I86" s="6"/>
      <c r="J86" s="6"/>
      <c r="K86" s="50"/>
      <c r="L86" s="17"/>
    </row>
    <row r="87" spans="1:12" ht="21.75">
      <c r="A87" s="69" t="s">
        <v>90</v>
      </c>
      <c r="B87" s="6" t="s">
        <v>18</v>
      </c>
      <c r="C87" s="29">
        <v>100</v>
      </c>
      <c r="D87" s="29">
        <v>120</v>
      </c>
      <c r="E87" s="29">
        <v>110</v>
      </c>
      <c r="F87" s="29">
        <v>120</v>
      </c>
      <c r="G87" s="7">
        <f t="shared" si="11"/>
        <v>-4.3478260869565215</v>
      </c>
      <c r="H87" s="5" t="s">
        <v>126</v>
      </c>
      <c r="I87" s="6"/>
      <c r="J87" s="6"/>
      <c r="K87" s="11"/>
      <c r="L87" s="11"/>
    </row>
    <row r="88" spans="1:12" ht="21.75">
      <c r="A88" s="69" t="s">
        <v>45</v>
      </c>
      <c r="B88" s="6" t="s">
        <v>18</v>
      </c>
      <c r="C88" s="29">
        <v>80</v>
      </c>
      <c r="D88" s="29">
        <v>150</v>
      </c>
      <c r="E88" s="29">
        <v>100</v>
      </c>
      <c r="F88" s="29">
        <v>140</v>
      </c>
      <c r="G88" s="7">
        <f t="shared" si="11"/>
        <v>-4.1666666666666661</v>
      </c>
      <c r="H88" s="5" t="s">
        <v>126</v>
      </c>
      <c r="I88" s="6"/>
      <c r="J88" s="6"/>
      <c r="K88" s="11"/>
      <c r="L88" s="11"/>
    </row>
    <row r="89" spans="1:12" ht="21.75">
      <c r="A89" s="69" t="s">
        <v>46</v>
      </c>
      <c r="B89" s="6" t="s">
        <v>18</v>
      </c>
      <c r="C89" s="29">
        <v>160</v>
      </c>
      <c r="D89" s="29">
        <v>220</v>
      </c>
      <c r="E89" s="29">
        <v>150</v>
      </c>
      <c r="F89" s="29">
        <v>200</v>
      </c>
      <c r="G89" s="7">
        <f t="shared" si="11"/>
        <v>8.5714285714285712</v>
      </c>
      <c r="H89" s="5" t="s">
        <v>122</v>
      </c>
      <c r="I89" s="6"/>
      <c r="J89" s="6"/>
      <c r="K89" s="11"/>
      <c r="L89" s="11"/>
    </row>
    <row r="90" spans="1:12" ht="24.75">
      <c r="A90" s="69" t="s">
        <v>71</v>
      </c>
      <c r="B90" s="6" t="s">
        <v>18</v>
      </c>
      <c r="C90" s="29">
        <v>95</v>
      </c>
      <c r="D90" s="29">
        <v>110</v>
      </c>
      <c r="E90" s="29">
        <v>100</v>
      </c>
      <c r="F90" s="29">
        <v>110</v>
      </c>
      <c r="G90" s="7">
        <f t="shared" si="11"/>
        <v>-2.3809523809523809</v>
      </c>
      <c r="H90" s="5" t="s">
        <v>121</v>
      </c>
      <c r="I90" s="6"/>
      <c r="J90" s="6"/>
      <c r="K90" s="40"/>
      <c r="L90" s="11"/>
    </row>
    <row r="91" spans="1:12" ht="24.75">
      <c r="A91" s="1"/>
      <c r="B91" s="3"/>
      <c r="C91" s="82"/>
      <c r="D91" s="82"/>
      <c r="E91" s="8"/>
      <c r="F91" s="82"/>
      <c r="G91" s="9"/>
      <c r="H91" s="1"/>
      <c r="I91" s="3"/>
      <c r="J91" s="3"/>
      <c r="K91" s="40"/>
      <c r="L91" s="11"/>
    </row>
    <row r="92" spans="1:12" ht="24.75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4.75">
      <c r="A93" s="1"/>
      <c r="B93" s="13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4.75">
      <c r="A94" s="1"/>
      <c r="B94" s="41"/>
      <c r="C94" s="42" t="s">
        <v>119</v>
      </c>
      <c r="D94" s="10"/>
      <c r="E94" s="41"/>
      <c r="F94" s="13"/>
      <c r="G94" s="10"/>
      <c r="H94" s="39"/>
      <c r="I94" s="12"/>
      <c r="J94" s="13" t="s">
        <v>117</v>
      </c>
      <c r="K94" s="10"/>
      <c r="L94" s="10"/>
    </row>
    <row r="95" spans="1:12" ht="24.75">
      <c r="A95" s="1"/>
      <c r="B95" s="43"/>
      <c r="C95" s="42" t="s">
        <v>116</v>
      </c>
      <c r="D95" s="13"/>
      <c r="E95" s="41"/>
      <c r="F95" s="44"/>
      <c r="G95" s="46"/>
      <c r="H95" s="46"/>
      <c r="I95" s="76"/>
      <c r="J95" s="13" t="s">
        <v>118</v>
      </c>
      <c r="K95" s="13"/>
      <c r="L95" s="13"/>
    </row>
    <row r="96" spans="1:12" ht="24.75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9.5">
      <c r="A97" s="55" t="s">
        <v>93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9.5">
      <c r="A98" s="54" t="s">
        <v>99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9.5">
      <c r="A99" s="54" t="s">
        <v>98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9.5">
      <c r="A100" s="54" t="s">
        <v>85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9.5">
      <c r="A101" s="54" t="s">
        <v>97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9.5">
      <c r="A102" s="54" t="s">
        <v>96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107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94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86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101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100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102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103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87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5" t="s">
        <v>88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89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114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113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112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2025-11-13T10:59:38Z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