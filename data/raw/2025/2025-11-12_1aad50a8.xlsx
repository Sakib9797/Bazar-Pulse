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2E6CB7D6-7A6A-40C3-B204-39783DE24FE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9" i="4" l="1"/>
  <c r="G87" i="4"/>
  <c r="G84" i="4"/>
  <c r="G83" i="4"/>
  <c r="G85" i="4"/>
  <c r="G88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<sst xmlns="http://schemas.openxmlformats.org/spreadsheetml/2006/main" count="232" uniqueCount="130">
  <si>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</si>
  <si>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</si>
  <si>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</si>
  <si>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</si>
  <si>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</si>
  <si>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</si>
  <si>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</si>
  <si>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</si>
  <si>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</si>
  <si>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</si>
  <si>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</si>
  <si>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</si>
  <si>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</si>
  <si>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</si>
  <si>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</si>
  <si>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</si>
  <si>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</si>
  <si>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</si>
  <si>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</si>
  <si>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</si>
  <si>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</si>
  <si>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</si>
  <si>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</si>
  <si>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</si>
  <si>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</si>
  <si>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</si>
  <si>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</si>
  <si>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</si>
  <si>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</si>
  <si>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</si>
  <si>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</si>
  <si>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</si>
  <si>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</si>
  <si>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</si>
  <si>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</si>
  <si>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</si>
  <si>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</si>
  <si>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</si>
  <si>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</si>
  <si>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</si>
  <si>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</si>
  <si>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</si>
  <si>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</si>
  <si>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</si>
  <si>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</si>
  <si>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</si>
  <si>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</si>
  <si>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</si>
  <si>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</si>
  <si>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</si>
  <si>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</si>
  <si>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</si>
  <si>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</si>
  <si>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</si>
  <si>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</si>
  <si>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</si>
  <si>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</si>
  <si>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</si>
  <si>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</si>
  <si>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</si>
  <si>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</si>
  <si>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</si>
  <si>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</si>
  <si>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</si>
  <si>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</si>
  <si>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</si>
  <si>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</si>
  <si>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</si>
  <si>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</si>
  <si>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</si>
  <si>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</si>
  <si>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</si>
  <si>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</si>
  <si>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</si>
  <si>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</si>
  <si>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</si>
  <si>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</si>
  <si>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</si>
  <si>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</si>
  <si>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</si>
  <si>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</si>
  <si>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</si>
  <si>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</si>
  <si>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</si>
  <si>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</si>
  <si>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</si>
  <si>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</si>
  <si>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</si>
  <si>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</si>
  <si>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</si>
  <si>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</si>
  <si>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</si>
  <si>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</si>
  <si>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</si>
  <si>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</si>
  <si>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</si>
  <si>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</si>
  <si>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</si>
  <si>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</si>
  <si>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</si>
  <si>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</si>
  <si>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</si>
  <si>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</si>
  <si>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</si>
  <si>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</si>
  <si>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</si>
  <si>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</si>
  <si>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</si>
  <si>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</si>
  <si>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</si>
  <si>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</si>
  <si>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</si>
  <si>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</si>
  <si>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</si>
  <si>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</si>
  <si>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</si>
  <si>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</si>
  <si>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</si>
  <si>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</si>
  <si>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</si>
  <si>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০৯-১১-২০২৫ তারিখে মূল্য হ্রাস পেয়েছে।</t>
  </si>
  <si>
    <t>১০-১১-২০২৫ তারিখে মূল্য হ্রাস পেয়েছে।</t>
  </si>
  <si>
    <t>১১-১১-২০২৫ তারিখে মূল্য হ্রাস পেয়েছে।</t>
  </si>
  <si>
    <t>১১-১১-২০২৫ তারিখে মূল্য বৃদ্ধি পেয়েছে।</t>
  </si>
  <si>
    <t>০৯-১১-২০২৫ তারিখে মূল্য বৃদ্ধি পেয়েছে।</t>
  </si>
  <si>
    <t>স্মারক নং-২৬.০৫.০০০০.০১৭.৩১.০১.২৫-৮১৫</t>
  </si>
  <si>
    <t xml:space="preserve">বুধবার ১২ নভেম্বর ২০২৫ খ্রিঃ, ২৭ কার্তিক ১৪৩২ বাংলা, ২০ জমা-আউ ১৪৪৭ হিজরি </t>
  </si>
  <si>
    <t xml:space="preserve">   সিরিয়াল নংঃ     ২৮২</t>
  </si>
  <si>
    <t>(১)     পেঁয়াজ (দেশী), রশুন (আম)    এর মূল্য বৃদ্ধি পেয়েছে।</t>
  </si>
  <si>
    <t>(২ )   সয়াবিন তেল (১লিঃ, ৫লিঃ বোতল), পাম অয়েল (লুজ), রশুন (দেশী), চিনি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</si>
</sst>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A76" zoomScale="96" zoomScaleNormal="96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127</v>
      </c>
      <c r="L4" s="84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45973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45973</v>
      </c>
      <c r="D8" s="84"/>
      <c r="E8" s="83">
        <v>45966</v>
      </c>
      <c r="F8" s="84"/>
      <c r="G8" s="83">
        <v>45942</v>
      </c>
      <c r="H8" s="84"/>
      <c r="I8" s="26" t="s">
        <v>12</v>
      </c>
      <c r="J8" s="83">
        <v>45608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48</v>
      </c>
      <c r="H14" s="29">
        <v>52</v>
      </c>
      <c r="I14" s="30">
        <f>((C14+D14)/2-(G14+H14)/2)/((G14+H14)/2)*100</f>
        <v>-5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58</v>
      </c>
      <c r="H15" s="29">
        <v>65</v>
      </c>
      <c r="I15" s="30">
        <f>((C15+D15)/2-(G15+H15)/2)/((G15+H15)/2)*100</f>
        <v>-4.8780487804878048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60</v>
      </c>
      <c r="H16" s="29">
        <v>65</v>
      </c>
      <c r="I16" s="30">
        <f>((C16+D16)/2-(G16+H16)/2)/((G16+H16)/2)*100</f>
        <v>-4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167</v>
      </c>
      <c r="K19" s="29">
        <v>168</v>
      </c>
      <c r="L19" s="31">
        <f t="shared" ref="L19:L25" si="1">((C19+D19)/2-(J19+K19)/2)/((J19+K19)/2)*100</f>
        <v>4.4776119402985071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0.82872928176795579</v>
      </c>
      <c r="J20" s="29">
        <v>800</v>
      </c>
      <c r="K20" s="29">
        <v>810</v>
      </c>
      <c r="L20" s="31">
        <f t="shared" si="1"/>
        <v>13.354037267080745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195</v>
      </c>
      <c r="G22" s="29">
        <v>189</v>
      </c>
      <c r="H22" s="29">
        <v>190</v>
      </c>
      <c r="I22" s="30">
        <f t="shared" si="0"/>
        <v>0.52770448548812665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152</v>
      </c>
      <c r="F23" s="29">
        <v>162</v>
      </c>
      <c r="G23" s="29">
        <v>155</v>
      </c>
      <c r="H23" s="29">
        <v>160</v>
      </c>
      <c r="I23" s="30">
        <f t="shared" si="0"/>
        <v>-0.95238095238095244</v>
      </c>
      <c r="J23" s="29">
        <v>162</v>
      </c>
      <c r="K23" s="29">
        <v>163</v>
      </c>
      <c r="L23" s="31">
        <f t="shared" si="1"/>
        <v>-4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166</v>
      </c>
      <c r="I24" s="30">
        <f t="shared" si="0"/>
        <v>-1.2345679012345678</v>
      </c>
      <c r="J24" s="29">
        <v>164</v>
      </c>
      <c r="K24" s="29">
        <v>165</v>
      </c>
      <c r="L24" s="31">
        <f t="shared" si="1"/>
        <v>-2.735562310030395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125</v>
      </c>
      <c r="H28" s="29">
        <v>140</v>
      </c>
      <c r="I28" s="30">
        <f t="shared" si="2"/>
        <v>0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18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110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53.333333333333336</v>
      </c>
      <c r="J35" s="29">
        <v>130</v>
      </c>
      <c r="K35" s="29">
        <v>150</v>
      </c>
      <c r="L35" s="31">
        <f t="shared" ref="L35:L50" si="5">((C35+D35)/2-(J35+K35)/2)/((J35+K35)/2)*100</f>
        <v>-17.857142857142858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270</v>
      </c>
      <c r="L37" s="31">
        <f t="shared" si="5"/>
        <v>-56.862745098039213</v>
      </c>
    </row>
    <row r="38" spans="1:12" ht="21.75">
      <c r="A38" s="69" t="s">
        <v>46</v>
      </c>
      <c r="B38" s="6" t="s">
        <v>18</v>
      </c>
      <c r="C38" s="29">
        <v>160</v>
      </c>
      <c r="D38" s="29">
        <v>220</v>
      </c>
      <c r="E38" s="29">
        <v>160</v>
      </c>
      <c r="F38" s="29">
        <v>200</v>
      </c>
      <c r="G38" s="29">
        <v>130</v>
      </c>
      <c r="H38" s="29">
        <v>190</v>
      </c>
      <c r="I38" s="30">
        <f t="shared" si="4"/>
        <v>18.75</v>
      </c>
      <c r="J38" s="29">
        <v>230</v>
      </c>
      <c r="K38" s="29">
        <v>250</v>
      </c>
      <c r="L38" s="31">
        <f t="shared" si="5"/>
        <v>-20.833333333333336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320</v>
      </c>
      <c r="L42" s="31">
        <f t="shared" si="5"/>
        <v>26.315789473684209</v>
      </c>
    </row>
    <row r="43" spans="1:12" ht="21.75">
      <c r="A43" s="69" t="s">
        <v>51</v>
      </c>
      <c r="B43" s="6" t="s">
        <v>18</v>
      </c>
      <c r="C43" s="29">
        <v>150</v>
      </c>
      <c r="D43" s="29">
        <v>180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-65.26315789473685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120</v>
      </c>
      <c r="K44" s="29">
        <v>300</v>
      </c>
      <c r="L44" s="31">
        <f t="shared" si="5"/>
        <v>-11.904761904761903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150</v>
      </c>
      <c r="L50" s="31">
        <f t="shared" si="5"/>
        <v>42.592592592592595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900</v>
      </c>
      <c r="K53" s="29">
        <v>1800</v>
      </c>
      <c r="L53" s="31">
        <f t="shared" si="7"/>
        <v>-3.7037037037037033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750</v>
      </c>
      <c r="L54" s="31">
        <f t="shared" si="7"/>
        <v>6.8965517241379306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180</v>
      </c>
      <c r="K56" s="29">
        <v>200</v>
      </c>
      <c r="L56" s="31">
        <f t="shared" si="7"/>
        <v>-6.5789473684210522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45973</v>
      </c>
      <c r="D67" s="84"/>
      <c r="E67" s="83">
        <v>45966</v>
      </c>
      <c r="F67" s="84"/>
      <c r="G67" s="83">
        <v>45942</v>
      </c>
      <c r="H67" s="84"/>
      <c r="I67" s="26" t="s">
        <v>12</v>
      </c>
      <c r="J67" s="83">
        <v>45608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100</v>
      </c>
      <c r="F69" s="29">
        <v>110</v>
      </c>
      <c r="G69" s="29">
        <v>105</v>
      </c>
      <c r="H69" s="29">
        <v>110</v>
      </c>
      <c r="I69" s="30">
        <f>((C69+D69)/2-(G69+H69)/2)/((G69+H69)/2)*100</f>
        <v>-4.6511627906976747</v>
      </c>
      <c r="J69" s="29">
        <v>128</v>
      </c>
      <c r="K69" s="29">
        <v>135</v>
      </c>
      <c r="L69" s="31">
        <f t="shared" ref="L69:L75" si="8">((C69+D69)/2-(J69+K69)/2)/((J69+K69)/2)*100</f>
        <v>-22.053231939163499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-2.1052631578947367</v>
      </c>
      <c r="J72" s="37">
        <v>48</v>
      </c>
      <c r="K72" s="37">
        <v>50</v>
      </c>
      <c r="L72" s="31">
        <f t="shared" si="8"/>
        <v>-5.1020408163265305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92500</v>
      </c>
      <c r="L74" s="31">
        <f t="shared" si="8"/>
        <v>-7.4792243767313016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29</v>
      </c>
      <c r="B83" s="6" t="s">
        <v>30</v>
      </c>
      <c r="C83" s="29">
        <v>900</v>
      </c>
      <c r="D83" s="29">
        <v>925</v>
      </c>
      <c r="E83" s="29">
        <v>900</v>
      </c>
      <c r="F83" s="29">
        <v>930</v>
      </c>
      <c r="G83" s="7">
        <f t="shared" ref="G83:G85" si="10">((C83+D83)/2-(E83+F83)/2)/((E83+F83)/2)*100</f>
        <v>-0.27322404371584702</v>
      </c>
      <c r="H83" s="5" t="s">
        <v>122</v>
      </c>
      <c r="I83" s="6"/>
      <c r="J83" s="6"/>
      <c r="K83" s="50"/>
      <c r="L83" s="17"/>
    </row>
    <row r="84" spans="1:12" ht="21.75">
      <c r="A84" s="69" t="s">
        <v>29</v>
      </c>
      <c r="B84" s="6" t="s">
        <v>32</v>
      </c>
      <c r="C84" s="29">
        <v>189</v>
      </c>
      <c r="D84" s="29">
        <v>192</v>
      </c>
      <c r="E84" s="29">
        <v>189</v>
      </c>
      <c r="F84" s="29">
        <v>195</v>
      </c>
      <c r="G84" s="7">
        <f t="shared" si="10"/>
        <v>-0.78125</v>
      </c>
      <c r="H84" s="5" t="s">
        <v>120</v>
      </c>
      <c r="I84" s="6"/>
      <c r="J84" s="6"/>
      <c r="K84" s="50"/>
      <c r="L84" s="17"/>
    </row>
    <row r="85" spans="1:12" ht="21.75">
      <c r="A85" s="69" t="s">
        <v>33</v>
      </c>
      <c r="B85" s="6" t="s">
        <v>28</v>
      </c>
      <c r="C85" s="29">
        <v>150</v>
      </c>
      <c r="D85" s="29">
        <v>162</v>
      </c>
      <c r="E85" s="29">
        <v>152</v>
      </c>
      <c r="F85" s="29">
        <v>162</v>
      </c>
      <c r="G85" s="7">
        <f t="shared" si="10"/>
        <v>-0.63694267515923575</v>
      </c>
      <c r="H85" s="5" t="s">
        <v>120</v>
      </c>
      <c r="I85" s="6"/>
      <c r="J85" s="6"/>
      <c r="K85" s="50"/>
      <c r="L85" s="17"/>
    </row>
    <row r="86" spans="1:12" ht="21.75">
      <c r="A86" s="69" t="s">
        <v>90</v>
      </c>
      <c r="B86" s="6" t="s">
        <v>18</v>
      </c>
      <c r="C86" s="29">
        <v>110</v>
      </c>
      <c r="D86" s="29">
        <v>120</v>
      </c>
      <c r="E86" s="29">
        <v>100</v>
      </c>
      <c r="F86" s="29">
        <v>120</v>
      </c>
      <c r="G86" s="7">
        <f t="shared" ref="G86:G89" si="11">((C86+D86)/2-(E86+F86)/2)/((E86+F86)/2)*100</f>
        <v>4.5454545454545459</v>
      </c>
      <c r="H86" s="5" t="s">
        <v>124</v>
      </c>
      <c r="I86" s="6"/>
      <c r="J86" s="6"/>
      <c r="K86" s="11"/>
      <c r="L86" s="11"/>
    </row>
    <row r="87" spans="1:12" ht="21.75">
      <c r="A87" s="69" t="s">
        <v>45</v>
      </c>
      <c r="B87" s="6" t="s">
        <v>18</v>
      </c>
      <c r="C87" s="29">
        <v>80</v>
      </c>
      <c r="D87" s="29">
        <v>140</v>
      </c>
      <c r="E87" s="29">
        <v>100</v>
      </c>
      <c r="F87" s="29">
        <v>140</v>
      </c>
      <c r="G87" s="7">
        <f t="shared" si="11"/>
        <v>-8.3333333333333321</v>
      </c>
      <c r="H87" s="5" t="s">
        <v>121</v>
      </c>
      <c r="I87" s="6"/>
      <c r="J87" s="6"/>
      <c r="K87" s="11"/>
      <c r="L87" s="11"/>
    </row>
    <row r="88" spans="1:12" ht="21.75">
      <c r="A88" s="69" t="s">
        <v>46</v>
      </c>
      <c r="B88" s="6" t="s">
        <v>18</v>
      </c>
      <c r="C88" s="29">
        <v>160</v>
      </c>
      <c r="D88" s="29">
        <v>220</v>
      </c>
      <c r="E88" s="29">
        <v>160</v>
      </c>
      <c r="F88" s="29">
        <v>200</v>
      </c>
      <c r="G88" s="7">
        <f t="shared" si="11"/>
        <v>5.5555555555555554</v>
      </c>
      <c r="H88" s="5" t="s">
        <v>123</v>
      </c>
      <c r="I88" s="6"/>
      <c r="J88" s="6"/>
      <c r="K88" s="11"/>
      <c r="L88" s="11"/>
    </row>
    <row r="89" spans="1:12" ht="24.75">
      <c r="A89" s="69" t="s">
        <v>71</v>
      </c>
      <c r="B89" s="6" t="s">
        <v>18</v>
      </c>
      <c r="C89" s="29">
        <v>95</v>
      </c>
      <c r="D89" s="29">
        <v>110</v>
      </c>
      <c r="E89" s="29">
        <v>100</v>
      </c>
      <c r="F89" s="29">
        <v>110</v>
      </c>
      <c r="G89" s="7">
        <f t="shared" si="11"/>
        <v>-2.3809523809523809</v>
      </c>
      <c r="H89" s="5" t="s">
        <v>122</v>
      </c>
      <c r="I89" s="6"/>
      <c r="J89" s="6"/>
      <c r="K89" s="40"/>
      <c r="L89" s="11"/>
    </row>
    <row r="90" spans="1:12" ht="24.75">
      <c r="A90" s="1"/>
      <c r="B90" s="3"/>
      <c r="C90" s="82"/>
      <c r="D90" s="82"/>
      <c r="E90" s="8"/>
      <c r="F90" s="82"/>
      <c r="G90" s="9"/>
      <c r="H90" s="1"/>
      <c r="I90" s="3"/>
      <c r="J90" s="3"/>
      <c r="K90" s="40"/>
      <c r="L90" s="11"/>
    </row>
    <row r="91" spans="1:12" ht="24.75">
      <c r="A91" s="1"/>
      <c r="B91" s="3"/>
      <c r="C91" s="82"/>
      <c r="D91" s="82"/>
      <c r="E91" s="8"/>
      <c r="F91" s="82"/>
      <c r="G91" s="38"/>
      <c r="H91" s="39"/>
      <c r="I91" s="40"/>
      <c r="J91" s="40"/>
      <c r="K91" s="40"/>
      <c r="L91" s="11"/>
    </row>
    <row r="92" spans="1:12" ht="24.75">
      <c r="A92" s="1"/>
      <c r="B92" s="13"/>
      <c r="C92" s="14"/>
      <c r="D92" s="14"/>
      <c r="E92" s="13"/>
      <c r="F92" s="14"/>
      <c r="G92" s="38"/>
      <c r="H92" s="39"/>
      <c r="I92" s="40"/>
      <c r="J92" s="40"/>
      <c r="K92" s="40"/>
      <c r="L92" s="11"/>
    </row>
    <row r="93" spans="1:12" ht="24.75">
      <c r="A93" s="1"/>
      <c r="B93" s="41"/>
      <c r="C93" s="42" t="s">
        <v>119</v>
      </c>
      <c r="D93" s="10"/>
      <c r="E93" s="41"/>
      <c r="F93" s="13"/>
      <c r="G93" s="10"/>
      <c r="H93" s="39"/>
      <c r="I93" s="12"/>
      <c r="J93" s="13" t="s">
        <v>117</v>
      </c>
      <c r="K93" s="10"/>
      <c r="L93" s="10"/>
    </row>
    <row r="94" spans="1:12" ht="24.75">
      <c r="A94" s="1"/>
      <c r="B94" s="43"/>
      <c r="C94" s="42" t="s">
        <v>116</v>
      </c>
      <c r="D94" s="13"/>
      <c r="E94" s="41"/>
      <c r="F94" s="44"/>
      <c r="G94" s="46"/>
      <c r="H94" s="46"/>
      <c r="I94" s="76"/>
      <c r="J94" s="13" t="s">
        <v>118</v>
      </c>
      <c r="K94" s="13"/>
      <c r="L94" s="13"/>
    </row>
    <row r="95" spans="1:12" ht="24.75">
      <c r="A95" s="1"/>
      <c r="B95" s="13"/>
      <c r="C95" s="14"/>
      <c r="D95" s="13"/>
      <c r="E95" s="14"/>
      <c r="F95" s="44"/>
      <c r="G95" s="46"/>
      <c r="H95" s="46"/>
      <c r="I95" s="45"/>
      <c r="J95" s="10"/>
      <c r="K95" s="10"/>
      <c r="L95" s="2"/>
    </row>
    <row r="96" spans="1:12" ht="19.5">
      <c r="A96" s="55" t="s">
        <v>93</v>
      </c>
      <c r="B96" s="53"/>
      <c r="C96" s="51"/>
      <c r="D96" s="53"/>
      <c r="E96" s="51"/>
      <c r="F96" s="51"/>
      <c r="G96" s="51"/>
      <c r="H96" s="52"/>
      <c r="I96" s="57"/>
      <c r="J96" s="2"/>
      <c r="K96" s="2"/>
      <c r="L96" s="2"/>
    </row>
    <row r="97" spans="1:12" ht="19.5">
      <c r="A97" s="54" t="s">
        <v>99</v>
      </c>
      <c r="B97" s="53"/>
      <c r="C97" s="51"/>
      <c r="D97" s="53"/>
      <c r="E97" s="51"/>
      <c r="F97" s="51"/>
      <c r="G97" s="53"/>
      <c r="H97" s="52"/>
      <c r="I97" s="57"/>
      <c r="J97" s="2"/>
      <c r="K97" s="2"/>
      <c r="L97" s="2"/>
    </row>
    <row r="98" spans="1:12" ht="19.5">
      <c r="A98" s="54" t="s">
        <v>98</v>
      </c>
      <c r="B98" s="53"/>
      <c r="C98" s="53"/>
      <c r="D98" s="53"/>
      <c r="E98" s="53"/>
      <c r="F98" s="51"/>
      <c r="G98" s="53"/>
      <c r="H98" s="52"/>
      <c r="I98" s="57"/>
      <c r="J98" s="2"/>
      <c r="K98" s="2"/>
      <c r="L98" s="2"/>
    </row>
    <row r="99" spans="1:12" ht="19.5">
      <c r="A99" s="54" t="s">
        <v>85</v>
      </c>
      <c r="B99" s="53"/>
      <c r="C99" s="53"/>
      <c r="D99" s="53"/>
      <c r="E99" s="53"/>
      <c r="F99" s="52"/>
      <c r="G99" s="52"/>
      <c r="H99" s="52"/>
      <c r="I99" s="57"/>
      <c r="J99" s="2"/>
      <c r="K99" s="2"/>
      <c r="L99" s="2"/>
    </row>
    <row r="100" spans="1:12" ht="19.5">
      <c r="A100" s="54" t="s">
        <v>97</v>
      </c>
      <c r="B100" s="53"/>
      <c r="C100" s="53"/>
      <c r="D100" s="53"/>
      <c r="E100" s="53"/>
      <c r="F100" s="53"/>
      <c r="G100" s="52"/>
      <c r="H100" s="52"/>
      <c r="I100" s="57"/>
      <c r="J100" s="2"/>
      <c r="K100" s="2"/>
      <c r="L100" s="2"/>
    </row>
    <row r="101" spans="1:12" ht="19.5">
      <c r="A101" s="54" t="s">
        <v>96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107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94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86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101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102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103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87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/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5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89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114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113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112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2025-11-12T07:03:33Z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