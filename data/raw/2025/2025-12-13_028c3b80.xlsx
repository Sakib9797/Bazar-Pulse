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8_{EB131AA6-E58B-0A4C-980F-D91EF5A95A6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90" i="4"/>
  <c r="G88" i="4"/>
  <c r="G89" i="4"/>
  <c r="G85" i="4"/>
  <c r="G86" i="4"/>
  <c r="G83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<sst xmlns="http://schemas.openxmlformats.org/spreadsheetml/2006/main" count="237" uniqueCount="133">
  <si>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</si>
  <si>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</si>
  <si>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</si>
  <si>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</si>
  <si>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</si>
  <si>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</si>
  <si>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</si>
  <si>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</si>
  <si>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</si>
  <si>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</si>
  <si>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</si>
  <si>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</si>
  <si>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</si>
  <si>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</si>
  <si>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</si>
  <si>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</si>
  <si>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</si>
  <si>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</si>
  <si>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</si>
  <si>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</si>
  <si>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</si>
  <si>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</si>
  <si>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</si>
  <si>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</si>
  <si>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</si>
  <si>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</si>
  <si>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</si>
  <si>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</si>
  <si>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</si>
  <si>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</si>
  <si>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</si>
  <si>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</si>
  <si>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</si>
  <si>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</si>
  <si>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</si>
  <si>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</si>
  <si>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</si>
  <si>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</si>
  <si>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</si>
  <si>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</si>
  <si>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</si>
  <si>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</si>
  <si>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</si>
  <si>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</si>
  <si>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</si>
  <si>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</si>
  <si>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</si>
  <si>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</si>
  <si>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</si>
  <si>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</si>
  <si>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</si>
  <si>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</si>
  <si>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</si>
  <si>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</si>
  <si>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</si>
  <si>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</si>
  <si>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</si>
  <si>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</si>
  <si>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</si>
  <si>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</si>
  <si>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</si>
  <si>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</si>
  <si>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</si>
  <si>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</si>
  <si>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</si>
  <si>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</si>
  <si>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</si>
  <si>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</si>
  <si>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</si>
  <si>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</si>
  <si>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</si>
  <si>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</si>
  <si>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</si>
  <si>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</si>
  <si>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</si>
  <si>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</si>
  <si>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</si>
  <si>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</si>
  <si>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</si>
  <si>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</si>
  <si>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</si>
  <si>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</si>
  <si>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</si>
  <si>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</si>
  <si>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</si>
  <si>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</si>
  <si>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</si>
  <si>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</si>
  <si>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</si>
  <si>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</si>
  <si>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</si>
  <si>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</si>
  <si>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</si>
  <si>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</si>
  <si>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</si>
  <si>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</si>
  <si>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</si>
  <si>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</si>
  <si>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</si>
  <si>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</si>
  <si>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</si>
  <si>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</si>
  <si>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</si>
  <si>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</si>
  <si>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</si>
  <si>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</si>
  <si>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</si>
  <si>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</si>
  <si>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</si>
  <si>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</si>
  <si>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</si>
  <si>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</si>
  <si>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</si>
  <si>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</si>
  <si>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</si>
  <si>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</si>
  <si>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</si>
  <si>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</si>
  <si>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</si>
  <si>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</si>
  <si>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পিঁয়াজ (দেশী)(নতুন/পুরাতন)</t>
  </si>
  <si>
    <t>০৮-১২-২০২৫ তারিখে মূল্য হ্রাস পেয়েছে।</t>
  </si>
  <si>
    <t>০৯-১২-২০২৫ তারিখে মূল্য বৃদ্ধি পেয়েছে।</t>
  </si>
  <si>
    <t>১০-১২-২০২৫ তারিখে মূল্য বৃদ্ধি পেয়েছে।</t>
  </si>
  <si>
    <t>১১-১২-২০২৫ তারিখে মূল্য হ্রাস পেয়েছে।</t>
  </si>
  <si>
    <t>(১ )    মসুর ডাল (বড়), আলু, পেঁয়াজ (দেশী), লবঙ্গ, মুরগী ব্রয়লার  এর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</si>
  <si>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</si>
  <si>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স্মারক নং-২৬.০৫.০০০০.০১৭.৩১.০১.২৫-৯২১</t>
  </si>
  <si>
    <t xml:space="preserve">শনিবার ১৩ ডিসেম্বর ২০২৫ খ্রিঃ, ২৮ অগ্রহায়ন ১৪৩২ বাংলা, ২১ জমা-সানি ১৪৪৭ হিজরি </t>
  </si>
  <si>
    <t xml:space="preserve">   সিরিয়াল নংঃ     ৩১০</t>
  </si>
  <si>
    <t>(২ )   সয়াবিন তেল (২লিঃ বোতল), রশুন (আম), চিনি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</si>
</sst>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30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4"/>
      <color theme="1"/>
      <name val="NikoshBAN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16" fillId="0" borderId="12" xfId="3" applyFont="1" applyBorder="1" applyAlignment="1">
      <alignment vertical="center"/>
    </xf>
    <xf numFmtId="168" fontId="27" fillId="0" borderId="2" xfId="1" applyNumberFormat="1" applyFont="1" applyFill="1" applyBorder="1" applyAlignment="1">
      <alignment horizontal="center" vertical="center"/>
    </xf>
    <xf numFmtId="0" fontId="28" fillId="0" borderId="1" xfId="3" applyFont="1" applyBorder="1" applyAlignment="1">
      <alignment horizontal="left" vertical="center"/>
    </xf>
    <xf numFmtId="0" fontId="29" fillId="0" borderId="0" xfId="3" applyFont="1" applyAlignment="1">
      <alignment horizontal="left" vertical="center"/>
    </xf>
    <xf numFmtId="167" fontId="29" fillId="0" borderId="0" xfId="1" applyNumberFormat="1" applyFont="1" applyBorder="1" applyAlignment="1">
      <alignment horizontal="center"/>
    </xf>
    <xf numFmtId="0" fontId="29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H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9" t="s">
        <v>129</v>
      </c>
      <c r="L4" s="90"/>
    </row>
    <row r="5" spans="1:12" ht="19.5" customHeight="1" x14ac:dyDescent="0.25">
      <c r="A5" s="17"/>
      <c r="B5" s="8"/>
      <c r="C5" s="8"/>
      <c r="D5" s="17"/>
      <c r="E5" s="8"/>
      <c r="F5" s="8" t="s">
        <v>128</v>
      </c>
      <c r="G5" s="8"/>
      <c r="H5" s="8"/>
      <c r="I5" s="8"/>
      <c r="J5" s="8"/>
      <c r="K5" s="8"/>
      <c r="L5" s="49"/>
    </row>
    <row r="6" spans="1:12" ht="21" x14ac:dyDescent="0.25">
      <c r="A6" s="20" t="s">
        <v>127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46004</v>
      </c>
    </row>
    <row r="7" spans="1:12" ht="21" x14ac:dyDescent="0.25">
      <c r="A7" s="25" t="s">
        <v>4</v>
      </c>
      <c r="B7" s="26" t="s">
        <v>5</v>
      </c>
      <c r="C7" s="89" t="s">
        <v>6</v>
      </c>
      <c r="D7" s="90"/>
      <c r="E7" s="89" t="s">
        <v>7</v>
      </c>
      <c r="F7" s="90"/>
      <c r="G7" s="89" t="s">
        <v>8</v>
      </c>
      <c r="H7" s="90"/>
      <c r="I7" s="26" t="s">
        <v>9</v>
      </c>
      <c r="J7" s="89" t="s">
        <v>10</v>
      </c>
      <c r="K7" s="90"/>
      <c r="L7" s="27" t="s">
        <v>11</v>
      </c>
    </row>
    <row r="8" spans="1:12" ht="21" x14ac:dyDescent="0.25">
      <c r="A8" s="25"/>
      <c r="B8" s="26"/>
      <c r="C8" s="91">
        <v>46004</v>
      </c>
      <c r="D8" s="90"/>
      <c r="E8" s="91">
        <v>45997</v>
      </c>
      <c r="F8" s="90"/>
      <c r="G8" s="91">
        <v>45974</v>
      </c>
      <c r="H8" s="90"/>
      <c r="I8" s="26" t="s">
        <v>12</v>
      </c>
      <c r="J8" s="91">
        <v>45639</v>
      </c>
      <c r="K8" s="90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850</v>
      </c>
      <c r="L20" s="31">
        <f t="shared" si="1"/>
        <v>13.213213213213212</v>
      </c>
    </row>
    <row r="21" spans="1:12" ht="21" x14ac:dyDescent="0.3">
      <c r="A21" s="69" t="s">
        <v>29</v>
      </c>
      <c r="B21" s="6" t="s">
        <v>31</v>
      </c>
      <c r="C21" s="29">
        <v>378</v>
      </c>
      <c r="D21" s="29">
        <v>395</v>
      </c>
      <c r="E21" s="29">
        <v>375</v>
      </c>
      <c r="F21" s="29">
        <v>396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157</v>
      </c>
      <c r="K23" s="29">
        <v>158</v>
      </c>
      <c r="L23" s="31">
        <f t="shared" si="1"/>
        <v>-0.31746031746031744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100</v>
      </c>
      <c r="E27" s="29">
        <v>85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" x14ac:dyDescent="0.3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75</v>
      </c>
      <c r="E31" s="29">
        <v>60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" x14ac:dyDescent="0.3">
      <c r="A32" s="69" t="s">
        <v>41</v>
      </c>
      <c r="B32" s="6" t="s">
        <v>18</v>
      </c>
      <c r="C32" s="29">
        <v>95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135</v>
      </c>
      <c r="L32" s="31">
        <f t="shared" si="3"/>
        <v>-21.153846153846153</v>
      </c>
    </row>
    <row r="33" spans="1:12" ht="21" x14ac:dyDescent="0.3">
      <c r="A33" s="69" t="s">
        <v>117</v>
      </c>
      <c r="B33" s="6" t="s">
        <v>18</v>
      </c>
      <c r="C33" s="29">
        <v>20</v>
      </c>
      <c r="D33" s="29">
        <v>30</v>
      </c>
      <c r="E33" s="29">
        <v>25</v>
      </c>
      <c r="F33" s="29">
        <v>30</v>
      </c>
      <c r="G33" s="29">
        <v>20</v>
      </c>
      <c r="H33" s="29">
        <v>25</v>
      </c>
      <c r="I33" s="30">
        <f t="shared" si="2"/>
        <v>11.111111111111111</v>
      </c>
      <c r="J33" s="29">
        <v>65</v>
      </c>
      <c r="K33" s="29">
        <v>80</v>
      </c>
      <c r="L33" s="31">
        <f t="shared" si="3"/>
        <v>-65.517241379310349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5" t="s">
        <v>120</v>
      </c>
      <c r="B35" s="6" t="s">
        <v>18</v>
      </c>
      <c r="C35" s="29">
        <v>100</v>
      </c>
      <c r="D35" s="29">
        <v>140</v>
      </c>
      <c r="E35" s="29">
        <v>130</v>
      </c>
      <c r="F35" s="29">
        <v>150</v>
      </c>
      <c r="G35" s="29">
        <v>100</v>
      </c>
      <c r="H35" s="29">
        <v>120</v>
      </c>
      <c r="I35" s="30">
        <f t="shared" ref="I35:I50" si="4">((C35+D35)/2-(G35+H35)/2)/((G35+H35)/2)*100</f>
        <v>9.0909090909090917</v>
      </c>
      <c r="J35" s="29">
        <v>95</v>
      </c>
      <c r="K35" s="29">
        <v>130</v>
      </c>
      <c r="L35" s="31">
        <f t="shared" ref="L35:L50" si="5">((C35+D35)/2-(J35+K35)/2)/((J35+K35)/2)*100</f>
        <v>6.666666666666667</v>
      </c>
    </row>
    <row r="36" spans="1:12" ht="21" x14ac:dyDescent="0.3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" x14ac:dyDescent="0.3">
      <c r="A37" s="69" t="s">
        <v>44</v>
      </c>
      <c r="B37" s="6" t="s">
        <v>18</v>
      </c>
      <c r="C37" s="29">
        <v>60</v>
      </c>
      <c r="D37" s="29">
        <v>140</v>
      </c>
      <c r="E37" s="29">
        <v>60</v>
      </c>
      <c r="F37" s="29">
        <v>140</v>
      </c>
      <c r="G37" s="29">
        <v>80</v>
      </c>
      <c r="H37" s="29">
        <v>150</v>
      </c>
      <c r="I37" s="30">
        <f t="shared" si="4"/>
        <v>-13.043478260869565</v>
      </c>
      <c r="J37" s="29">
        <v>230</v>
      </c>
      <c r="K37" s="29">
        <v>280</v>
      </c>
      <c r="L37" s="31">
        <f t="shared" si="5"/>
        <v>-60.784313725490193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220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0</v>
      </c>
      <c r="J38" s="29">
        <v>220</v>
      </c>
      <c r="K38" s="29">
        <v>240</v>
      </c>
      <c r="L38" s="31">
        <f t="shared" si="5"/>
        <v>-17.391304347826086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" x14ac:dyDescent="0.3">
      <c r="A43" s="69" t="s">
        <v>50</v>
      </c>
      <c r="B43" s="6" t="s">
        <v>18</v>
      </c>
      <c r="C43" s="29">
        <v>0</v>
      </c>
      <c r="D43" s="29">
        <v>0</v>
      </c>
      <c r="E43" s="29">
        <v>140</v>
      </c>
      <c r="F43" s="29">
        <v>170</v>
      </c>
      <c r="G43" s="29">
        <v>150</v>
      </c>
      <c r="H43" s="29">
        <v>180</v>
      </c>
      <c r="I43" s="30">
        <f t="shared" si="4"/>
        <v>-100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54</v>
      </c>
      <c r="B47" s="6" t="s">
        <v>18</v>
      </c>
      <c r="C47" s="29">
        <v>1300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-1.6949152542372881</v>
      </c>
      <c r="J47" s="29">
        <v>1400</v>
      </c>
      <c r="K47" s="29">
        <v>1600</v>
      </c>
      <c r="L47" s="31">
        <f t="shared" si="5"/>
        <v>-3.3333333333333335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61</v>
      </c>
      <c r="B56" s="6" t="s">
        <v>18</v>
      </c>
      <c r="C56" s="29">
        <v>145</v>
      </c>
      <c r="D56" s="29">
        <v>170</v>
      </c>
      <c r="E56" s="29">
        <v>150</v>
      </c>
      <c r="F56" s="29">
        <v>180</v>
      </c>
      <c r="G56" s="29">
        <v>170</v>
      </c>
      <c r="H56" s="29">
        <v>185</v>
      </c>
      <c r="I56" s="30">
        <f t="shared" si="6"/>
        <v>-11.267605633802818</v>
      </c>
      <c r="J56" s="29">
        <v>175</v>
      </c>
      <c r="K56" s="29">
        <v>200</v>
      </c>
      <c r="L56" s="31">
        <f t="shared" si="7"/>
        <v>-16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9" t="s">
        <v>6</v>
      </c>
      <c r="D66" s="90"/>
      <c r="E66" s="89" t="s">
        <v>7</v>
      </c>
      <c r="F66" s="90"/>
      <c r="G66" s="89" t="s">
        <v>8</v>
      </c>
      <c r="H66" s="90"/>
      <c r="I66" s="26" t="s">
        <v>9</v>
      </c>
      <c r="J66" s="89" t="s">
        <v>10</v>
      </c>
      <c r="K66" s="90"/>
      <c r="L66" s="26" t="s">
        <v>11</v>
      </c>
    </row>
    <row r="67" spans="1:12" ht="18" customHeight="1" x14ac:dyDescent="0.25">
      <c r="A67" s="73"/>
      <c r="B67" s="64"/>
      <c r="C67" s="91">
        <v>46004</v>
      </c>
      <c r="D67" s="90"/>
      <c r="E67" s="91">
        <v>45997</v>
      </c>
      <c r="F67" s="90"/>
      <c r="G67" s="91">
        <v>45974</v>
      </c>
      <c r="H67" s="90"/>
      <c r="I67" s="26" t="s">
        <v>12</v>
      </c>
      <c r="J67" s="91">
        <v>45639</v>
      </c>
      <c r="K67" s="90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95</v>
      </c>
      <c r="D69" s="29">
        <v>110</v>
      </c>
      <c r="E69" s="29">
        <v>90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43</v>
      </c>
      <c r="H72" s="37">
        <v>50</v>
      </c>
      <c r="I72" s="30">
        <f t="shared" si="9"/>
        <v>-12.903225806451612</v>
      </c>
      <c r="J72" s="37">
        <v>47</v>
      </c>
      <c r="K72" s="37">
        <v>50</v>
      </c>
      <c r="L72" s="31">
        <f t="shared" si="8"/>
        <v>-16.494845360824741</v>
      </c>
    </row>
    <row r="73" spans="1:12" ht="21" x14ac:dyDescent="0.3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92" t="s">
        <v>126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80</v>
      </c>
      <c r="B82" s="6" t="s">
        <v>81</v>
      </c>
      <c r="C82" s="94" t="s">
        <v>6</v>
      </c>
      <c r="D82" s="95"/>
      <c r="E82" s="96" t="s">
        <v>82</v>
      </c>
      <c r="F82" s="97"/>
      <c r="G82" s="77" t="s">
        <v>12</v>
      </c>
      <c r="H82" s="94" t="s">
        <v>83</v>
      </c>
      <c r="I82" s="98"/>
      <c r="J82" s="95"/>
      <c r="K82" s="50"/>
      <c r="L82" s="17"/>
    </row>
    <row r="83" spans="1:12" ht="21" x14ac:dyDescent="0.3">
      <c r="A83" s="69" t="s">
        <v>29</v>
      </c>
      <c r="B83" s="6" t="s">
        <v>31</v>
      </c>
      <c r="C83" s="29">
        <v>378</v>
      </c>
      <c r="D83" s="29">
        <v>395</v>
      </c>
      <c r="E83" s="29">
        <v>375</v>
      </c>
      <c r="F83" s="29">
        <v>396</v>
      </c>
      <c r="G83" s="84">
        <f t="shared" ref="G83:G84" si="10">((C83+D83)/2-(E83+F83)/2)/((E83+F83)/2)*100</f>
        <v>0.25940337224383914</v>
      </c>
      <c r="H83" s="5" t="s">
        <v>123</v>
      </c>
      <c r="I83" s="6"/>
      <c r="J83" s="6"/>
      <c r="K83" s="83"/>
      <c r="L83" s="17"/>
    </row>
    <row r="84" spans="1:12" ht="21" x14ac:dyDescent="0.3">
      <c r="A84" s="69" t="s">
        <v>37</v>
      </c>
      <c r="B84" s="6" t="s">
        <v>18</v>
      </c>
      <c r="C84" s="29">
        <v>90</v>
      </c>
      <c r="D84" s="29">
        <v>100</v>
      </c>
      <c r="E84" s="29">
        <v>85</v>
      </c>
      <c r="F84" s="29">
        <v>110</v>
      </c>
      <c r="G84" s="7">
        <f t="shared" si="10"/>
        <v>-2.5641025641025639</v>
      </c>
      <c r="H84" s="5" t="s">
        <v>124</v>
      </c>
      <c r="I84" s="6"/>
      <c r="J84" s="6"/>
      <c r="K84" s="50"/>
      <c r="L84" s="17"/>
    </row>
    <row r="85" spans="1:12" ht="21" x14ac:dyDescent="0.3">
      <c r="A85" s="69" t="s">
        <v>117</v>
      </c>
      <c r="B85" s="6" t="s">
        <v>18</v>
      </c>
      <c r="C85" s="29">
        <v>20</v>
      </c>
      <c r="D85" s="29">
        <v>30</v>
      </c>
      <c r="E85" s="29">
        <v>25</v>
      </c>
      <c r="F85" s="29">
        <v>30</v>
      </c>
      <c r="G85" s="7">
        <f t="shared" ref="G85:G90" si="11">((C85+D85)/2-(E85+F85)/2)/((E85+F85)/2)*100</f>
        <v>-9.0909090909090917</v>
      </c>
      <c r="H85" s="5" t="s">
        <v>124</v>
      </c>
      <c r="I85" s="6"/>
      <c r="J85" s="6"/>
      <c r="K85" s="50"/>
      <c r="L85" s="17"/>
    </row>
    <row r="86" spans="1:12" ht="21" x14ac:dyDescent="0.3">
      <c r="A86" s="85" t="s">
        <v>120</v>
      </c>
      <c r="B86" s="6" t="s">
        <v>18</v>
      </c>
      <c r="C86" s="29">
        <v>100</v>
      </c>
      <c r="D86" s="29">
        <v>140</v>
      </c>
      <c r="E86" s="29">
        <v>130</v>
      </c>
      <c r="F86" s="29">
        <v>150</v>
      </c>
      <c r="G86" s="7">
        <f t="shared" si="11"/>
        <v>-14.285714285714285</v>
      </c>
      <c r="H86" s="5" t="s">
        <v>124</v>
      </c>
      <c r="I86" s="6"/>
      <c r="J86" s="6"/>
      <c r="K86" s="50"/>
      <c r="L86" s="17"/>
    </row>
    <row r="87" spans="1:12" ht="21" x14ac:dyDescent="0.3">
      <c r="A87" s="69" t="s">
        <v>45</v>
      </c>
      <c r="B87" s="6" t="s">
        <v>18</v>
      </c>
      <c r="C87" s="29">
        <v>160</v>
      </c>
      <c r="D87" s="29">
        <v>220</v>
      </c>
      <c r="E87" s="29">
        <v>160</v>
      </c>
      <c r="F87" s="29">
        <v>200</v>
      </c>
      <c r="G87" s="7">
        <f t="shared" si="11"/>
        <v>5.5555555555555554</v>
      </c>
      <c r="H87" s="5" t="s">
        <v>123</v>
      </c>
      <c r="I87" s="6"/>
      <c r="J87" s="6"/>
      <c r="K87" s="50"/>
      <c r="L87" s="17"/>
    </row>
    <row r="88" spans="1:12" ht="21" x14ac:dyDescent="0.3">
      <c r="A88" s="69" t="s">
        <v>54</v>
      </c>
      <c r="B88" s="6" t="s">
        <v>18</v>
      </c>
      <c r="C88" s="29">
        <v>1300</v>
      </c>
      <c r="D88" s="29">
        <v>1600</v>
      </c>
      <c r="E88" s="29">
        <v>1350</v>
      </c>
      <c r="F88" s="29">
        <v>1600</v>
      </c>
      <c r="G88" s="7">
        <f t="shared" si="11"/>
        <v>-1.6949152542372881</v>
      </c>
      <c r="H88" s="5" t="s">
        <v>121</v>
      </c>
      <c r="I88" s="6"/>
      <c r="J88" s="6"/>
      <c r="K88" s="50"/>
      <c r="L88" s="17"/>
    </row>
    <row r="89" spans="1:12" ht="21" x14ac:dyDescent="0.3">
      <c r="A89" s="69" t="s">
        <v>61</v>
      </c>
      <c r="B89" s="6" t="s">
        <v>18</v>
      </c>
      <c r="C89" s="29">
        <v>145</v>
      </c>
      <c r="D89" s="29">
        <v>170</v>
      </c>
      <c r="E89" s="29">
        <v>150</v>
      </c>
      <c r="F89" s="29">
        <v>180</v>
      </c>
      <c r="G89" s="7">
        <f t="shared" si="11"/>
        <v>-4.5454545454545459</v>
      </c>
      <c r="H89" s="5" t="s">
        <v>121</v>
      </c>
      <c r="I89" s="6"/>
      <c r="J89" s="6"/>
      <c r="K89" s="50"/>
      <c r="L89" s="17"/>
    </row>
    <row r="90" spans="1:12" ht="23.25" x14ac:dyDescent="0.3">
      <c r="A90" s="69" t="s">
        <v>70</v>
      </c>
      <c r="B90" s="6" t="s">
        <v>18</v>
      </c>
      <c r="C90" s="29">
        <v>95</v>
      </c>
      <c r="D90" s="29">
        <v>110</v>
      </c>
      <c r="E90" s="29">
        <v>90</v>
      </c>
      <c r="F90" s="29">
        <v>110</v>
      </c>
      <c r="G90" s="7">
        <f t="shared" si="11"/>
        <v>2.5</v>
      </c>
      <c r="H90" s="5" t="s">
        <v>122</v>
      </c>
      <c r="I90" s="6"/>
      <c r="J90" s="6"/>
      <c r="K90" s="40"/>
      <c r="L90" s="11"/>
    </row>
    <row r="91" spans="1:12" ht="23.25" x14ac:dyDescent="0.3">
      <c r="A91" s="72"/>
      <c r="B91" s="3"/>
      <c r="C91" s="78"/>
      <c r="D91" s="78"/>
      <c r="E91" s="78"/>
      <c r="F91" s="78"/>
      <c r="G91" s="38"/>
      <c r="H91" s="39"/>
      <c r="I91" s="40"/>
      <c r="J91" s="40"/>
      <c r="K91" s="40"/>
      <c r="L91" s="11"/>
    </row>
    <row r="92" spans="1:12" ht="23.25" x14ac:dyDescent="0.3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3.25" x14ac:dyDescent="0.3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3.25" x14ac:dyDescent="0.3">
      <c r="A94" s="41"/>
      <c r="B94" s="42" t="s">
        <v>112</v>
      </c>
      <c r="C94" s="10"/>
      <c r="E94" s="86"/>
      <c r="F94" s="87" t="s">
        <v>115</v>
      </c>
      <c r="G94" s="88"/>
      <c r="I94" s="12"/>
      <c r="J94" s="13" t="s">
        <v>118</v>
      </c>
      <c r="K94" s="10"/>
    </row>
    <row r="95" spans="1:12" ht="23.25" x14ac:dyDescent="0.3">
      <c r="A95" s="43"/>
      <c r="B95" s="42" t="s">
        <v>113</v>
      </c>
      <c r="C95" s="13"/>
      <c r="E95" s="43"/>
      <c r="F95" s="87" t="s">
        <v>116</v>
      </c>
      <c r="G95" s="88"/>
      <c r="I95" s="76"/>
      <c r="J95" s="13" t="s">
        <v>119</v>
      </c>
    </row>
    <row r="96" spans="1:12" ht="23.25" x14ac:dyDescent="0.3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8.75" x14ac:dyDescent="0.2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8.75" x14ac:dyDescent="0.2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2025-12-11T10:28:55Z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