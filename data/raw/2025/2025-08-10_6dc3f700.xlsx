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6C57E7B0-1D37-41A5-9D7C-F28322CF530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5" i="4" l="1"/>
  <c r="G87" i="4"/>
  <c r="G95" i="4"/>
  <c r="G84" i="4"/>
  <c r="G86" i="4"/>
  <c r="G99" i="4"/>
  <c r="G98" i="4"/>
  <c r="G88" i="4"/>
  <c r="G92" i="4"/>
  <c r="G93" i="4"/>
  <c r="G94" i="4"/>
  <c r="G90" i="4"/>
  <c r="G89" i="4"/>
  <c r="G97" i="4"/>
  <c r="G91" i="4"/>
  <c r="G9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<sst xmlns="http://schemas.openxmlformats.org/spreadsheetml/2006/main" count="259" uniqueCount="133">
  <si>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</si>
  <si>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</si>
  <si>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</si>
  <si>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</si>
  <si>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</si>
  <si>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</si>
  <si>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</si>
  <si>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</si>
  <si>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</si>
  <si>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</si>
  <si>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</si>
  <si>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</si>
  <si>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</si>
  <si>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</si>
  <si>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</si>
  <si>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</si>
  <si>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</si>
  <si>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</si>
  <si>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</si>
  <si>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</si>
  <si>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</si>
  <si>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</si>
  <si>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</si>
  <si>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</si>
  <si>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</si>
  <si>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</si>
  <si>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</si>
  <si>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</si>
  <si>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</si>
  <si>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</si>
  <si>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</si>
  <si>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</si>
  <si>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</si>
  <si>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</si>
  <si>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</si>
  <si>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</si>
  <si>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</si>
  <si>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</si>
  <si>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</si>
  <si>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</si>
  <si>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</si>
  <si>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</si>
  <si>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</si>
  <si>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</si>
  <si>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</si>
  <si>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</si>
  <si>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</si>
  <si>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</si>
  <si>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</si>
  <si>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</si>
  <si>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</si>
  <si>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</si>
  <si>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</si>
  <si>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</si>
  <si>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</si>
  <si>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</si>
  <si>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</si>
  <si>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</si>
  <si>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</si>
  <si>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</si>
  <si>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</si>
  <si>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</si>
  <si>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</si>
  <si>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</si>
  <si>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</si>
  <si>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</si>
  <si>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</si>
  <si>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</si>
  <si>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</si>
  <si>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</si>
  <si>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</si>
  <si>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</si>
  <si>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</si>
  <si>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</si>
  <si>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</si>
  <si>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</si>
  <si>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</si>
  <si>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</si>
  <si>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</si>
  <si>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</si>
  <si>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</si>
  <si>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</si>
  <si>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</si>
  <si>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</si>
  <si>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</si>
  <si>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</si>
  <si>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</si>
  <si>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</si>
  <si>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</si>
  <si>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</si>
  <si>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</si>
  <si>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</si>
  <si>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</si>
  <si>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</si>
  <si>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</si>
  <si>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</si>
  <si>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</si>
  <si>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</si>
  <si>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</si>
  <si>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</si>
  <si>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</si>
  <si>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</si>
  <si>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</si>
  <si>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</si>
  <si>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</si>
  <si>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</si>
  <si>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</si>
  <si>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</si>
  <si>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</si>
  <si>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</si>
  <si>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</si>
  <si>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</si>
  <si>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</si>
  <si>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(মো: হুমায়ুন কবির)</t>
  </si>
  <si>
    <t>যুগ্ম পরিচালক (বাজার তথ্য)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</si>
  <si>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</si>
  <si>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</si>
  <si>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০৩-০৮-২০২৫ তারিখে মূল্য বৃদ্ধি পেয়েছে।</t>
  </si>
  <si>
    <t>০৪-০৮-২০২৫ তারিখে মূল্য বৃদ্ধি পেয়েছে।</t>
  </si>
  <si>
    <t>০৪-০৮-২০২৫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</si>
  <si>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</si>
  <si>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</si>
  <si>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০৬-০৮-২০২৫ তারিখে মূল্য বৃদ্ধি পেয়েছে।</t>
  </si>
  <si>
    <t>০৭-০৮-২০২৫ তারিখে মূল্য বৃদ্ধি পেয়েছে।</t>
  </si>
  <si>
    <t>০৯-০৮-২০২৫ তারিখে মূল্য বৃদ্ধি পেয়েছে।</t>
  </si>
  <si>
    <t>স্মারক নং-২৬.০৫.০০০০.০১৭.৩১.০১.২৫-৫৫৯</t>
  </si>
  <si>
    <t xml:space="preserve">রবিবার ১০ আগষ্ট ২০২৫ খ্রিঃ, ২৬ শ্রাবণ ১৪৩২ বাংলা, ১৭ সফর ১৪৪৭ হিজরি </t>
  </si>
  <si>
    <t xml:space="preserve">   সিরিয়াল নংঃ     ১৯৭</t>
  </si>
  <si>
    <t>১০-০৮-২০২৫ তারিখে মূল্য বৃদ্ধি পেয়েছে।</t>
  </si>
  <si>
    <t>১০-০৮-২০২৫ তারিখে মূল্য হ্রাস পেয়েছে।</t>
  </si>
  <si>
    <t>(১)   ময়দা (খোলা, প্যা:), সয়াবিন তেল (লুজ), পাম অয়েল লুজ, সুপার পাম অয়েল লুজ, মসুর ডাল (ছোট), মুরগী ব্রয়লার,</t>
  </si>
  <si>
    <t xml:space="preserve">       পেঁয়াজ (দেশী), আলু, আদা (আম), ডিম  এর মূল্য বৃদ্ধি পেয়েছে।</t>
  </si>
  <si>
    <t>(২ )   চাল (মাঝারী), সয়াবিন তেল (২লি: বোতল), রশুন (আম), এম এস রড (৬০,৪০ গ্রেড)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</si>
</sst>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10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166" fontId="23" fillId="0" borderId="1" xfId="1" applyNumberFormat="1" applyFont="1" applyFill="1" applyBorder="1" applyAlignment="1">
      <alignment horizontal="center"/>
    </xf>
    <xf numFmtId="166" fontId="23" fillId="0" borderId="1" xfId="1" applyNumberFormat="1" applyFont="1" applyBorder="1" applyAlignment="1">
      <alignment horizontal="right"/>
    </xf>
    <xf numFmtId="0" fontId="23" fillId="2" borderId="1" xfId="3" applyFont="1" applyFill="1" applyBorder="1" applyAlignment="1">
      <alignment horizontal="center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166" fontId="23" fillId="2" borderId="1" xfId="3" applyNumberFormat="1" applyFont="1" applyFill="1" applyBorder="1" applyAlignment="1">
      <alignment horizontal="center"/>
    </xf>
    <xf numFmtId="166" fontId="23" fillId="2" borderId="1" xfId="1" applyNumberFormat="1" applyFont="1" applyFill="1" applyBorder="1" applyAlignment="1">
      <alignment horizontal="center"/>
    </xf>
    <xf numFmtId="0" fontId="23" fillId="3" borderId="1" xfId="3" applyFont="1" applyFill="1" applyBorder="1" applyAlignment="1">
      <alignment horizontal="center"/>
    </xf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  <xf numFmtId="164" fontId="23" fillId="0" borderId="2" xfId="3" applyNumberFormat="1" applyFont="1" applyBorder="1" applyAlignment="1">
      <alignment horizontal="center" vertical="center"/>
    </xf>
    <xf numFmtId="0" fontId="23" fillId="0" borderId="3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8"/>
  <sheetViews>
    <sheetView tabSelected="1" topLeftCell="A76" zoomScale="98" zoomScaleNormal="98" workbookViewId="0">
      <selection activeCell="B80" sqref="B80"/>
    </sheetView>
  </sheetViews>
  <sheetFormatPr defaultRowHeight="15.75"/>
  <cols>
    <col min="1" max="1" width="17.296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8984375" customWidth="1"/>
    <col min="11" max="11" width="9.3984375" customWidth="1"/>
    <col min="12" max="12" width="10.39843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91" t="s">
        <v>127</v>
      </c>
      <c r="L4" s="92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45879</v>
      </c>
    </row>
    <row r="7" spans="1:12" ht="21.75">
      <c r="A7" s="26" t="s">
        <v>4</v>
      </c>
      <c r="B7" s="27" t="s">
        <v>5</v>
      </c>
      <c r="C7" s="91" t="s">
        <v>6</v>
      </c>
      <c r="D7" s="92"/>
      <c r="E7" s="91" t="s">
        <v>7</v>
      </c>
      <c r="F7" s="92"/>
      <c r="G7" s="91" t="s">
        <v>8</v>
      </c>
      <c r="H7" s="92"/>
      <c r="I7" s="27" t="s">
        <v>9</v>
      </c>
      <c r="J7" s="91" t="s">
        <v>10</v>
      </c>
      <c r="K7" s="92"/>
      <c r="L7" s="28" t="s">
        <v>11</v>
      </c>
    </row>
    <row r="8" spans="1:12" ht="21.75">
      <c r="A8" s="26"/>
      <c r="B8" s="27"/>
      <c r="C8" s="93">
        <v>45879</v>
      </c>
      <c r="D8" s="92"/>
      <c r="E8" s="93">
        <v>45872</v>
      </c>
      <c r="F8" s="92"/>
      <c r="G8" s="93">
        <v>45848</v>
      </c>
      <c r="H8" s="92"/>
      <c r="I8" s="27" t="s">
        <v>12</v>
      </c>
      <c r="J8" s="101">
        <v>45514</v>
      </c>
      <c r="K8" s="102"/>
      <c r="L8" s="27" t="s">
        <v>12</v>
      </c>
    </row>
    <row r="9" spans="1:12" ht="21.75">
      <c r="A9" s="74" t="s">
        <v>13</v>
      </c>
      <c r="B9" s="75"/>
      <c r="C9" s="75" t="s">
        <v>14</v>
      </c>
      <c r="D9" s="75" t="s">
        <v>15</v>
      </c>
      <c r="E9" s="75" t="s">
        <v>14</v>
      </c>
      <c r="F9" s="75" t="s">
        <v>15</v>
      </c>
      <c r="G9" s="75" t="s">
        <v>14</v>
      </c>
      <c r="H9" s="75" t="s">
        <v>15</v>
      </c>
      <c r="I9" s="75" t="s">
        <v>16</v>
      </c>
      <c r="J9" s="64" t="s">
        <v>14</v>
      </c>
      <c r="K9" s="64" t="s">
        <v>15</v>
      </c>
      <c r="L9" s="75" t="s">
        <v>16</v>
      </c>
    </row>
    <row r="10" spans="1:12" ht="21.75">
      <c r="A10" s="76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62">
        <v>60</v>
      </c>
      <c r="K10" s="62">
        <v>78</v>
      </c>
      <c r="L10" s="32">
        <f>((C10+D10)/2-(J10+K10)/2)/((J10+K10)/2)*100</f>
        <v>15.942028985507244</v>
      </c>
    </row>
    <row r="11" spans="1:12" ht="21.75">
      <c r="A11" s="76" t="s">
        <v>107</v>
      </c>
      <c r="B11" s="6" t="s">
        <v>18</v>
      </c>
      <c r="C11" s="30">
        <v>60</v>
      </c>
      <c r="D11" s="30">
        <v>70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0</v>
      </c>
      <c r="J11" s="62">
        <v>54</v>
      </c>
      <c r="K11" s="62">
        <v>58</v>
      </c>
      <c r="L11" s="32">
        <f>((C11+D11)/2-(J11+K11)/2)/((J11+K11)/2)*100</f>
        <v>16.071428571428573</v>
      </c>
    </row>
    <row r="12" spans="1:12" ht="21.75">
      <c r="A12" s="76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62">
        <v>50</v>
      </c>
      <c r="K12" s="62">
        <v>54</v>
      </c>
      <c r="L12" s="32">
        <f>((C12+D12)/2-(J12+K12)/2)/((J12+K12)/2)*100</f>
        <v>10.576923076923077</v>
      </c>
    </row>
    <row r="13" spans="1:12" ht="18" customHeight="1">
      <c r="A13" s="77" t="s">
        <v>20</v>
      </c>
      <c r="B13" s="65"/>
      <c r="C13" s="33"/>
      <c r="D13" s="33"/>
      <c r="E13" s="33"/>
      <c r="F13" s="33"/>
      <c r="G13" s="33"/>
      <c r="H13" s="33"/>
      <c r="I13" s="29" t="s">
        <v>0</v>
      </c>
      <c r="J13" s="83"/>
      <c r="K13" s="83"/>
      <c r="L13" s="34"/>
    </row>
    <row r="14" spans="1:12" ht="21.75">
      <c r="A14" s="76" t="s">
        <v>21</v>
      </c>
      <c r="B14" s="6" t="s">
        <v>18</v>
      </c>
      <c r="C14" s="30">
        <v>40</v>
      </c>
      <c r="D14" s="30">
        <v>45</v>
      </c>
      <c r="E14" s="30">
        <v>40</v>
      </c>
      <c r="F14" s="30">
        <v>45</v>
      </c>
      <c r="G14" s="30">
        <v>40</v>
      </c>
      <c r="H14" s="30">
        <v>45</v>
      </c>
      <c r="I14" s="31">
        <f>((C14+D14)/2-(G14+H14)/2)/((G14+H14)/2)*100</f>
        <v>0</v>
      </c>
      <c r="J14" s="62">
        <v>40</v>
      </c>
      <c r="K14" s="62">
        <v>45</v>
      </c>
      <c r="L14" s="32">
        <f>((C14+D14)/2-(J14+K14)/2)/((J14+K14)/2)*100</f>
        <v>0</v>
      </c>
    </row>
    <row r="15" spans="1:12" ht="21.75">
      <c r="A15" s="76" t="s">
        <v>22</v>
      </c>
      <c r="B15" s="6" t="s">
        <v>23</v>
      </c>
      <c r="C15" s="30">
        <v>50</v>
      </c>
      <c r="D15" s="30">
        <v>55</v>
      </c>
      <c r="E15" s="30">
        <v>50</v>
      </c>
      <c r="F15" s="30">
        <v>55</v>
      </c>
      <c r="G15" s="30">
        <v>50</v>
      </c>
      <c r="H15" s="30">
        <v>55</v>
      </c>
      <c r="I15" s="31">
        <f>((C15+D15)/2-(G15+H15)/2)/((G15+H15)/2)*100</f>
        <v>0</v>
      </c>
      <c r="J15" s="62">
        <v>50</v>
      </c>
      <c r="K15" s="62">
        <v>55</v>
      </c>
      <c r="L15" s="32">
        <f>((C15+D15)/2-(J15+K15)/2)/((J15+K15)/2)*100</f>
        <v>0</v>
      </c>
    </row>
    <row r="16" spans="1:12" ht="21.75">
      <c r="A16" s="76" t="s">
        <v>24</v>
      </c>
      <c r="B16" s="6" t="s">
        <v>18</v>
      </c>
      <c r="C16" s="30">
        <v>55</v>
      </c>
      <c r="D16" s="30">
        <v>65</v>
      </c>
      <c r="E16" s="30">
        <v>50</v>
      </c>
      <c r="F16" s="30">
        <v>60</v>
      </c>
      <c r="G16" s="30">
        <v>56</v>
      </c>
      <c r="H16" s="30">
        <v>60</v>
      </c>
      <c r="I16" s="31">
        <f>((C16+D16)/2-(G16+H16)/2)/((G16+H16)/2)*100</f>
        <v>3.4482758620689653</v>
      </c>
      <c r="J16" s="62">
        <v>55</v>
      </c>
      <c r="K16" s="62">
        <v>60</v>
      </c>
      <c r="L16" s="32">
        <f>((C16+D16)/2-(J16+K16)/2)/((J16+K16)/2)*100</f>
        <v>4.3478260869565215</v>
      </c>
    </row>
    <row r="17" spans="1:12" ht="21.75">
      <c r="A17" s="76" t="s">
        <v>25</v>
      </c>
      <c r="B17" s="6" t="s">
        <v>23</v>
      </c>
      <c r="C17" s="30">
        <v>65</v>
      </c>
      <c r="D17" s="30">
        <v>70</v>
      </c>
      <c r="E17" s="30">
        <v>60</v>
      </c>
      <c r="F17" s="30">
        <v>70</v>
      </c>
      <c r="G17" s="30">
        <v>65</v>
      </c>
      <c r="H17" s="30">
        <v>70</v>
      </c>
      <c r="I17" s="31">
        <f>((C17+D17)/2-(G17+H17)/2)/((G17+H17)/2)*100</f>
        <v>0</v>
      </c>
      <c r="J17" s="62">
        <v>65</v>
      </c>
      <c r="K17" s="62">
        <v>70</v>
      </c>
      <c r="L17" s="32">
        <f>((C17+D17)/2-(J17+K17)/2)/((J17+K17)/2)*100</f>
        <v>0</v>
      </c>
    </row>
    <row r="18" spans="1:12" ht="18" customHeight="1">
      <c r="A18" s="77" t="s">
        <v>26</v>
      </c>
      <c r="B18" s="65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83" t="s">
        <v>0</v>
      </c>
      <c r="K18" s="83"/>
      <c r="L18" s="29"/>
    </row>
    <row r="19" spans="1:12" ht="21.75">
      <c r="A19" s="76" t="s">
        <v>27</v>
      </c>
      <c r="B19" s="6" t="s">
        <v>28</v>
      </c>
      <c r="C19" s="30">
        <v>162</v>
      </c>
      <c r="D19" s="30">
        <v>172</v>
      </c>
      <c r="E19" s="30">
        <v>162</v>
      </c>
      <c r="F19" s="30">
        <v>170</v>
      </c>
      <c r="G19" s="30">
        <v>160</v>
      </c>
      <c r="H19" s="30">
        <v>170</v>
      </c>
      <c r="I19" s="31">
        <f t="shared" ref="I19:I25" si="0">((C19+D19)/2-(G19+H19)/2)/((G19+H19)/2)*100</f>
        <v>1.2121212121212122</v>
      </c>
      <c r="J19" s="62">
        <v>145</v>
      </c>
      <c r="K19" s="62">
        <v>155</v>
      </c>
      <c r="L19" s="32">
        <f t="shared" ref="L19:L25" si="1">((C19+D19)/2-(J19+K19)/2)/((J19+K19)/2)*100</f>
        <v>11.333333333333332</v>
      </c>
    </row>
    <row r="20" spans="1:12" ht="21.75">
      <c r="A20" s="76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910</v>
      </c>
      <c r="H20" s="30">
        <v>920</v>
      </c>
      <c r="I20" s="31">
        <f t="shared" si="0"/>
        <v>-1.0928961748633881</v>
      </c>
      <c r="J20" s="62">
        <v>780</v>
      </c>
      <c r="K20" s="62">
        <v>800</v>
      </c>
      <c r="L20" s="32">
        <f t="shared" si="1"/>
        <v>14.556962025316455</v>
      </c>
    </row>
    <row r="21" spans="1:12" ht="21.75">
      <c r="A21" s="76" t="s">
        <v>29</v>
      </c>
      <c r="B21" s="6" t="s">
        <v>31</v>
      </c>
      <c r="C21" s="30">
        <v>370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</v>
      </c>
      <c r="J21" s="62">
        <v>322</v>
      </c>
      <c r="K21" s="62">
        <v>325</v>
      </c>
      <c r="L21" s="32">
        <f t="shared" si="1"/>
        <v>15.610510046367851</v>
      </c>
    </row>
    <row r="22" spans="1:12" ht="21.75">
      <c r="A22" s="76" t="s">
        <v>29</v>
      </c>
      <c r="B22" s="6" t="s">
        <v>32</v>
      </c>
      <c r="C22" s="30">
        <v>185</v>
      </c>
      <c r="D22" s="30">
        <v>190</v>
      </c>
      <c r="E22" s="30">
        <v>185</v>
      </c>
      <c r="F22" s="30">
        <v>190</v>
      </c>
      <c r="G22" s="30">
        <v>185</v>
      </c>
      <c r="H22" s="30">
        <v>190</v>
      </c>
      <c r="I22" s="31">
        <f t="shared" si="0"/>
        <v>0</v>
      </c>
      <c r="J22" s="62">
        <v>165</v>
      </c>
      <c r="K22" s="62">
        <v>167</v>
      </c>
      <c r="L22" s="32">
        <f t="shared" si="1"/>
        <v>12.951807228915662</v>
      </c>
    </row>
    <row r="23" spans="1:12" ht="21.75">
      <c r="A23" s="76" t="s">
        <v>33</v>
      </c>
      <c r="B23" s="6" t="s">
        <v>28</v>
      </c>
      <c r="C23" s="30">
        <v>150</v>
      </c>
      <c r="D23" s="30">
        <v>160</v>
      </c>
      <c r="E23" s="30">
        <v>150</v>
      </c>
      <c r="F23" s="30">
        <v>155</v>
      </c>
      <c r="G23" s="30">
        <v>148</v>
      </c>
      <c r="H23" s="30">
        <v>155</v>
      </c>
      <c r="I23" s="31">
        <f t="shared" si="0"/>
        <v>2.3102310231023102</v>
      </c>
      <c r="J23" s="62">
        <v>125</v>
      </c>
      <c r="K23" s="62">
        <v>135</v>
      </c>
      <c r="L23" s="32">
        <f t="shared" si="1"/>
        <v>19.230769230769234</v>
      </c>
    </row>
    <row r="24" spans="1:12" ht="21.75">
      <c r="A24" s="76" t="s">
        <v>108</v>
      </c>
      <c r="B24" s="6" t="s">
        <v>28</v>
      </c>
      <c r="C24" s="30">
        <v>152</v>
      </c>
      <c r="D24" s="30">
        <v>163</v>
      </c>
      <c r="E24" s="30">
        <v>152</v>
      </c>
      <c r="F24" s="30">
        <v>162</v>
      </c>
      <c r="G24" s="30">
        <v>152</v>
      </c>
      <c r="H24" s="30">
        <v>160</v>
      </c>
      <c r="I24" s="31">
        <f t="shared" si="0"/>
        <v>0.96153846153846156</v>
      </c>
      <c r="J24" s="62">
        <v>135</v>
      </c>
      <c r="K24" s="62">
        <v>140</v>
      </c>
      <c r="L24" s="32">
        <f t="shared" si="1"/>
        <v>14.545454545454545</v>
      </c>
    </row>
    <row r="25" spans="1:12" ht="21.75">
      <c r="A25" s="76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62">
        <v>880</v>
      </c>
      <c r="K25" s="62">
        <v>900</v>
      </c>
      <c r="L25" s="32">
        <f t="shared" si="1"/>
        <v>18.539325842696631</v>
      </c>
    </row>
    <row r="26" spans="1:12" ht="21.75">
      <c r="A26" s="77" t="s">
        <v>35</v>
      </c>
      <c r="B26" s="65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84"/>
      <c r="K26" s="84" t="s">
        <v>36</v>
      </c>
      <c r="L26" s="34"/>
    </row>
    <row r="27" spans="1:12" ht="21.75">
      <c r="A27" s="76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100</v>
      </c>
      <c r="H27" s="30">
        <v>110</v>
      </c>
      <c r="I27" s="31">
        <f t="shared" ref="I27:I33" si="2">((C27+D27)/2-(G27+H27)/2)/((G27+H27)/2)*100</f>
        <v>-2.3809523809523809</v>
      </c>
      <c r="J27" s="62">
        <v>105</v>
      </c>
      <c r="K27" s="62">
        <v>110</v>
      </c>
      <c r="L27" s="32">
        <f t="shared" ref="L27:L33" si="3">((C27+D27)/2-(J27+K27)/2)/((J27+K27)/2)*100</f>
        <v>-4.6511627906976747</v>
      </c>
    </row>
    <row r="28" spans="1:12" ht="21.75">
      <c r="A28" s="76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110</v>
      </c>
      <c r="H28" s="30">
        <v>120</v>
      </c>
      <c r="I28" s="31">
        <f t="shared" si="2"/>
        <v>6.5217391304347823</v>
      </c>
      <c r="J28" s="62">
        <v>120</v>
      </c>
      <c r="K28" s="62">
        <v>125</v>
      </c>
      <c r="L28" s="32">
        <f t="shared" si="3"/>
        <v>0</v>
      </c>
    </row>
    <row r="29" spans="1:12" ht="21.75">
      <c r="A29" s="76" t="s">
        <v>38</v>
      </c>
      <c r="B29" s="6" t="s">
        <v>18</v>
      </c>
      <c r="C29" s="30">
        <v>150</v>
      </c>
      <c r="D29" s="30">
        <v>155</v>
      </c>
      <c r="E29" s="30">
        <v>140</v>
      </c>
      <c r="F29" s="30">
        <v>150</v>
      </c>
      <c r="G29" s="30">
        <v>125</v>
      </c>
      <c r="H29" s="30">
        <v>135</v>
      </c>
      <c r="I29" s="31">
        <f t="shared" si="2"/>
        <v>17.307692307692307</v>
      </c>
      <c r="J29" s="62">
        <v>130</v>
      </c>
      <c r="K29" s="62">
        <v>135</v>
      </c>
      <c r="L29" s="32">
        <f t="shared" si="3"/>
        <v>15.09433962264151</v>
      </c>
    </row>
    <row r="30" spans="1:12" ht="21.75">
      <c r="A30" s="76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125</v>
      </c>
      <c r="H30" s="30">
        <v>180</v>
      </c>
      <c r="I30" s="31">
        <f t="shared" si="2"/>
        <v>-1.639344262295082</v>
      </c>
      <c r="J30" s="62">
        <v>160</v>
      </c>
      <c r="K30" s="62">
        <v>185</v>
      </c>
      <c r="L30" s="32">
        <f t="shared" si="3"/>
        <v>-13.043478260869565</v>
      </c>
    </row>
    <row r="31" spans="1:12" ht="21.75">
      <c r="A31" s="76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70</v>
      </c>
      <c r="H31" s="30">
        <v>80</v>
      </c>
      <c r="I31" s="31">
        <f t="shared" si="2"/>
        <v>-6.666666666666667</v>
      </c>
      <c r="J31" s="62">
        <v>80</v>
      </c>
      <c r="K31" s="62">
        <v>90</v>
      </c>
      <c r="L31" s="32">
        <f t="shared" si="3"/>
        <v>-17.647058823529413</v>
      </c>
    </row>
    <row r="32" spans="1:12" ht="21.75">
      <c r="A32" s="76" t="s">
        <v>41</v>
      </c>
      <c r="B32" s="6" t="s">
        <v>18</v>
      </c>
      <c r="C32" s="30">
        <v>90</v>
      </c>
      <c r="D32" s="30">
        <v>110</v>
      </c>
      <c r="E32" s="30">
        <v>90</v>
      </c>
      <c r="F32" s="30">
        <v>110</v>
      </c>
      <c r="G32" s="30">
        <v>90</v>
      </c>
      <c r="H32" s="30">
        <v>110</v>
      </c>
      <c r="I32" s="31">
        <f t="shared" si="2"/>
        <v>0</v>
      </c>
      <c r="J32" s="62">
        <v>110</v>
      </c>
      <c r="K32" s="62">
        <v>120</v>
      </c>
      <c r="L32" s="32">
        <f t="shared" si="3"/>
        <v>-13.043478260869565</v>
      </c>
    </row>
    <row r="33" spans="1:12" ht="21.75">
      <c r="A33" s="76" t="s">
        <v>42</v>
      </c>
      <c r="B33" s="6" t="s">
        <v>18</v>
      </c>
      <c r="C33" s="30">
        <v>25</v>
      </c>
      <c r="D33" s="30">
        <v>30</v>
      </c>
      <c r="E33" s="30">
        <v>20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62">
        <v>55</v>
      </c>
      <c r="K33" s="62">
        <v>60</v>
      </c>
      <c r="L33" s="32">
        <f t="shared" si="3"/>
        <v>-52.173913043478258</v>
      </c>
    </row>
    <row r="34" spans="1:12" ht="21.75">
      <c r="A34" s="77" t="s">
        <v>43</v>
      </c>
      <c r="B34" s="65"/>
      <c r="C34" s="35"/>
      <c r="D34" s="35"/>
      <c r="E34" s="35"/>
      <c r="F34" s="35"/>
      <c r="G34" s="35"/>
      <c r="H34" s="35"/>
      <c r="I34" s="34"/>
      <c r="J34" s="84"/>
      <c r="K34" s="84"/>
      <c r="L34" s="34"/>
    </row>
    <row r="35" spans="1:12" ht="21.75">
      <c r="A35" s="76" t="s">
        <v>92</v>
      </c>
      <c r="B35" s="6" t="s">
        <v>18</v>
      </c>
      <c r="C35" s="30">
        <v>75</v>
      </c>
      <c r="D35" s="30">
        <v>85</v>
      </c>
      <c r="E35" s="30">
        <v>70</v>
      </c>
      <c r="F35" s="30">
        <v>80</v>
      </c>
      <c r="G35" s="30">
        <v>55</v>
      </c>
      <c r="H35" s="30">
        <v>65</v>
      </c>
      <c r="I35" s="31">
        <f t="shared" ref="I35:I50" si="4">((C35+D35)/2-(G35+H35)/2)/((G35+H35)/2)*100</f>
        <v>33.333333333333329</v>
      </c>
      <c r="J35" s="62">
        <v>110</v>
      </c>
      <c r="K35" s="62">
        <v>120</v>
      </c>
      <c r="L35" s="32">
        <f t="shared" ref="L35:L50" si="5">((C35+D35)/2-(J35+K35)/2)/((J35+K35)/2)*100</f>
        <v>-30.434782608695656</v>
      </c>
    </row>
    <row r="36" spans="1:12" ht="21.75">
      <c r="A36" s="76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62">
        <v>100</v>
      </c>
      <c r="K36" s="62">
        <v>110</v>
      </c>
      <c r="L36" s="32">
        <f t="shared" si="5"/>
        <v>-100</v>
      </c>
    </row>
    <row r="37" spans="1:12" ht="21.75">
      <c r="A37" s="76" t="s">
        <v>45</v>
      </c>
      <c r="B37" s="6" t="s">
        <v>18</v>
      </c>
      <c r="C37" s="30">
        <v>80</v>
      </c>
      <c r="D37" s="30">
        <v>160</v>
      </c>
      <c r="E37" s="30">
        <v>80</v>
      </c>
      <c r="F37" s="30">
        <v>160</v>
      </c>
      <c r="G37" s="30">
        <v>110</v>
      </c>
      <c r="H37" s="30">
        <v>150</v>
      </c>
      <c r="I37" s="31">
        <f t="shared" si="4"/>
        <v>-7.6923076923076925</v>
      </c>
      <c r="J37" s="62">
        <v>200</v>
      </c>
      <c r="K37" s="62">
        <v>220</v>
      </c>
      <c r="L37" s="32">
        <f t="shared" si="5"/>
        <v>-42.857142857142854</v>
      </c>
    </row>
    <row r="38" spans="1:12" ht="21.75">
      <c r="A38" s="76" t="s">
        <v>46</v>
      </c>
      <c r="B38" s="6" t="s">
        <v>18</v>
      </c>
      <c r="C38" s="30">
        <v>160</v>
      </c>
      <c r="D38" s="30">
        <v>200</v>
      </c>
      <c r="E38" s="30">
        <v>160</v>
      </c>
      <c r="F38" s="30">
        <v>210</v>
      </c>
      <c r="G38" s="30">
        <v>150</v>
      </c>
      <c r="H38" s="30">
        <v>200</v>
      </c>
      <c r="I38" s="31">
        <f t="shared" si="4"/>
        <v>2.8571428571428572</v>
      </c>
      <c r="J38" s="62">
        <v>200</v>
      </c>
      <c r="K38" s="62">
        <v>230</v>
      </c>
      <c r="L38" s="32">
        <f t="shared" si="5"/>
        <v>-16.279069767441861</v>
      </c>
    </row>
    <row r="39" spans="1:12" ht="21.75">
      <c r="A39" s="76" t="s">
        <v>47</v>
      </c>
      <c r="B39" s="6" t="s">
        <v>18</v>
      </c>
      <c r="C39" s="30">
        <v>240</v>
      </c>
      <c r="D39" s="30">
        <v>350</v>
      </c>
      <c r="E39" s="30">
        <v>240</v>
      </c>
      <c r="F39" s="30">
        <v>350</v>
      </c>
      <c r="G39" s="30">
        <v>300</v>
      </c>
      <c r="H39" s="30">
        <v>350</v>
      </c>
      <c r="I39" s="31">
        <f t="shared" si="4"/>
        <v>-9.2307692307692317</v>
      </c>
      <c r="J39" s="62">
        <v>320</v>
      </c>
      <c r="K39" s="62">
        <v>400</v>
      </c>
      <c r="L39" s="32">
        <f t="shared" si="5"/>
        <v>-18.055555555555554</v>
      </c>
    </row>
    <row r="40" spans="1:12" ht="21.75">
      <c r="A40" s="76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400</v>
      </c>
      <c r="H40" s="30">
        <v>450</v>
      </c>
      <c r="I40" s="31">
        <f t="shared" si="4"/>
        <v>-11.76470588235294</v>
      </c>
      <c r="J40" s="62">
        <v>420</v>
      </c>
      <c r="K40" s="62">
        <v>500</v>
      </c>
      <c r="L40" s="32">
        <f t="shared" si="5"/>
        <v>-18.478260869565215</v>
      </c>
    </row>
    <row r="41" spans="1:12" ht="21.75">
      <c r="A41" s="76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62">
        <v>350</v>
      </c>
      <c r="K41" s="62">
        <v>400</v>
      </c>
      <c r="L41" s="32">
        <f t="shared" si="5"/>
        <v>-6.666666666666667</v>
      </c>
    </row>
    <row r="42" spans="1:12" ht="21.75">
      <c r="A42" s="76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280</v>
      </c>
      <c r="H42" s="30">
        <v>420</v>
      </c>
      <c r="I42" s="31">
        <f t="shared" si="4"/>
        <v>2.8571428571428572</v>
      </c>
      <c r="J42" s="62">
        <v>300</v>
      </c>
      <c r="K42" s="62">
        <v>350</v>
      </c>
      <c r="L42" s="32">
        <f t="shared" si="5"/>
        <v>10.76923076923077</v>
      </c>
    </row>
    <row r="43" spans="1:12" ht="21.75">
      <c r="A43" s="76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62">
        <v>450</v>
      </c>
      <c r="K43" s="62">
        <v>500</v>
      </c>
      <c r="L43" s="32">
        <f t="shared" si="5"/>
        <v>-100</v>
      </c>
    </row>
    <row r="44" spans="1:12" ht="21.75">
      <c r="A44" s="76" t="s">
        <v>52</v>
      </c>
      <c r="B44" s="6" t="s">
        <v>18</v>
      </c>
      <c r="C44" s="30">
        <v>200</v>
      </c>
      <c r="D44" s="30">
        <v>280</v>
      </c>
      <c r="E44" s="30">
        <v>180</v>
      </c>
      <c r="F44" s="30">
        <v>280</v>
      </c>
      <c r="G44" s="30">
        <v>120</v>
      </c>
      <c r="H44" s="30">
        <v>200</v>
      </c>
      <c r="I44" s="31">
        <f t="shared" si="4"/>
        <v>50</v>
      </c>
      <c r="J44" s="62">
        <v>220</v>
      </c>
      <c r="K44" s="62">
        <v>280</v>
      </c>
      <c r="L44" s="32">
        <f t="shared" si="5"/>
        <v>-4</v>
      </c>
    </row>
    <row r="45" spans="1:12" ht="21.75">
      <c r="A45" s="76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640</v>
      </c>
      <c r="H45" s="30">
        <v>750</v>
      </c>
      <c r="I45" s="31">
        <f t="shared" si="4"/>
        <v>-2.877697841726619</v>
      </c>
      <c r="J45" s="62">
        <v>680</v>
      </c>
      <c r="K45" s="62">
        <v>800</v>
      </c>
      <c r="L45" s="32">
        <f t="shared" si="5"/>
        <v>-8.7837837837837842</v>
      </c>
    </row>
    <row r="46" spans="1:12" ht="21.75">
      <c r="A46" s="76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62">
        <v>520</v>
      </c>
      <c r="K46" s="62">
        <v>600</v>
      </c>
      <c r="L46" s="32">
        <f t="shared" si="5"/>
        <v>-1.7857142857142856</v>
      </c>
    </row>
    <row r="47" spans="1:12" ht="21.75">
      <c r="A47" s="76" t="s">
        <v>55</v>
      </c>
      <c r="B47" s="6" t="s">
        <v>18</v>
      </c>
      <c r="C47" s="30">
        <v>1400</v>
      </c>
      <c r="D47" s="30">
        <v>1600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0</v>
      </c>
      <c r="J47" s="62">
        <v>1450</v>
      </c>
      <c r="K47" s="62">
        <v>1700</v>
      </c>
      <c r="L47" s="32">
        <f t="shared" si="5"/>
        <v>-4.7619047619047619</v>
      </c>
    </row>
    <row r="48" spans="1:12" ht="21.75">
      <c r="A48" s="76" t="s">
        <v>56</v>
      </c>
      <c r="B48" s="6" t="s">
        <v>18</v>
      </c>
      <c r="C48" s="30">
        <v>4500</v>
      </c>
      <c r="D48" s="30">
        <v>5200</v>
      </c>
      <c r="E48" s="30">
        <v>4500</v>
      </c>
      <c r="F48" s="30">
        <v>5200</v>
      </c>
      <c r="G48" s="30">
        <v>4400</v>
      </c>
      <c r="H48" s="30">
        <v>5200</v>
      </c>
      <c r="I48" s="31">
        <f t="shared" si="4"/>
        <v>1.0416666666666665</v>
      </c>
      <c r="J48" s="62">
        <v>3200</v>
      </c>
      <c r="K48" s="62">
        <v>3600</v>
      </c>
      <c r="L48" s="32">
        <f t="shared" si="5"/>
        <v>42.647058823529413</v>
      </c>
    </row>
    <row r="49" spans="1:12" ht="21.75">
      <c r="A49" s="76" t="s">
        <v>57</v>
      </c>
      <c r="B49" s="6" t="s">
        <v>18</v>
      </c>
      <c r="C49" s="30">
        <v>180</v>
      </c>
      <c r="D49" s="30">
        <v>280</v>
      </c>
      <c r="E49" s="30">
        <v>180</v>
      </c>
      <c r="F49" s="30">
        <v>280</v>
      </c>
      <c r="G49" s="30">
        <v>180</v>
      </c>
      <c r="H49" s="30">
        <v>280</v>
      </c>
      <c r="I49" s="31">
        <f t="shared" si="4"/>
        <v>0</v>
      </c>
      <c r="J49" s="62">
        <v>220</v>
      </c>
      <c r="K49" s="62">
        <v>260</v>
      </c>
      <c r="L49" s="32">
        <f t="shared" si="5"/>
        <v>-4.1666666666666661</v>
      </c>
    </row>
    <row r="50" spans="1:12" ht="21.75">
      <c r="A50" s="76" t="s">
        <v>58</v>
      </c>
      <c r="B50" s="6" t="s">
        <v>18</v>
      </c>
      <c r="C50" s="30">
        <v>180</v>
      </c>
      <c r="D50" s="30">
        <v>220</v>
      </c>
      <c r="E50" s="30">
        <v>180</v>
      </c>
      <c r="F50" s="30">
        <v>220</v>
      </c>
      <c r="G50" s="30">
        <v>150</v>
      </c>
      <c r="H50" s="30">
        <v>220</v>
      </c>
      <c r="I50" s="31">
        <f t="shared" si="4"/>
        <v>8.1081081081081088</v>
      </c>
      <c r="J50" s="62">
        <v>150</v>
      </c>
      <c r="K50" s="62">
        <v>200</v>
      </c>
      <c r="L50" s="32">
        <f t="shared" si="5"/>
        <v>14.285714285714285</v>
      </c>
    </row>
    <row r="51" spans="1:12" ht="21.75">
      <c r="A51" s="74" t="s">
        <v>59</v>
      </c>
      <c r="B51" s="65"/>
      <c r="C51" s="35"/>
      <c r="D51" s="35"/>
      <c r="E51" s="35"/>
      <c r="F51" s="35"/>
      <c r="G51" s="35"/>
      <c r="H51" s="35"/>
      <c r="I51" s="34"/>
      <c r="J51" s="84"/>
      <c r="K51" s="84"/>
      <c r="L51" s="34"/>
    </row>
    <row r="52" spans="1:12" ht="21.75">
      <c r="A52" s="76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280</v>
      </c>
      <c r="H52" s="30">
        <v>400</v>
      </c>
      <c r="I52" s="31">
        <f t="shared" ref="I52:I57" si="6">((C52+D52)/2-(G52+H52)/2)/((G52+H52)/2)*100</f>
        <v>10.294117647058822</v>
      </c>
      <c r="J52" s="62">
        <v>300</v>
      </c>
      <c r="K52" s="62">
        <v>400</v>
      </c>
      <c r="L52" s="32">
        <f t="shared" ref="L52:L57" si="7">((C52+D52)/2-(J52+K52)/2)/((J52+K52)/2)*100</f>
        <v>7.1428571428571423</v>
      </c>
    </row>
    <row r="53" spans="1:12" ht="21.75">
      <c r="A53" s="76" t="s">
        <v>61</v>
      </c>
      <c r="B53" s="6" t="s">
        <v>18</v>
      </c>
      <c r="C53" s="30">
        <v>800</v>
      </c>
      <c r="D53" s="30">
        <v>2000</v>
      </c>
      <c r="E53" s="30">
        <v>800</v>
      </c>
      <c r="F53" s="30">
        <v>2000</v>
      </c>
      <c r="G53" s="30">
        <v>900</v>
      </c>
      <c r="H53" s="30">
        <v>2000</v>
      </c>
      <c r="I53" s="31">
        <f t="shared" si="6"/>
        <v>-3.4482758620689653</v>
      </c>
      <c r="J53" s="62">
        <v>800</v>
      </c>
      <c r="K53" s="62">
        <v>1600</v>
      </c>
      <c r="L53" s="32">
        <f t="shared" si="7"/>
        <v>16.666666666666664</v>
      </c>
    </row>
    <row r="54" spans="1:12" ht="21.75">
      <c r="A54" s="76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62">
        <v>760</v>
      </c>
      <c r="K54" s="62">
        <v>780</v>
      </c>
      <c r="L54" s="32">
        <f t="shared" si="7"/>
        <v>0.64935064935064934</v>
      </c>
    </row>
    <row r="55" spans="1:12" ht="21.75">
      <c r="A55" s="76" t="s">
        <v>94</v>
      </c>
      <c r="B55" s="6" t="s">
        <v>18</v>
      </c>
      <c r="C55" s="30">
        <v>1100</v>
      </c>
      <c r="D55" s="30">
        <v>1250</v>
      </c>
      <c r="E55" s="30">
        <v>1100</v>
      </c>
      <c r="F55" s="30">
        <v>1250</v>
      </c>
      <c r="G55" s="30">
        <v>1100</v>
      </c>
      <c r="H55" s="30">
        <v>1250</v>
      </c>
      <c r="I55" s="31">
        <f t="shared" si="6"/>
        <v>0</v>
      </c>
      <c r="J55" s="62">
        <v>1000</v>
      </c>
      <c r="K55" s="62">
        <v>1100</v>
      </c>
      <c r="L55" s="32">
        <f t="shared" si="7"/>
        <v>11.904761904761903</v>
      </c>
    </row>
    <row r="56" spans="1:12" ht="21.75">
      <c r="A56" s="76" t="s">
        <v>62</v>
      </c>
      <c r="B56" s="6" t="s">
        <v>18</v>
      </c>
      <c r="C56" s="30">
        <v>160</v>
      </c>
      <c r="D56" s="30">
        <v>170</v>
      </c>
      <c r="E56" s="30">
        <v>145</v>
      </c>
      <c r="F56" s="30">
        <v>170</v>
      </c>
      <c r="G56" s="30">
        <v>160</v>
      </c>
      <c r="H56" s="30">
        <v>170</v>
      </c>
      <c r="I56" s="31">
        <f t="shared" si="6"/>
        <v>0</v>
      </c>
      <c r="J56" s="62">
        <v>160</v>
      </c>
      <c r="K56" s="62">
        <v>180</v>
      </c>
      <c r="L56" s="32">
        <f t="shared" si="7"/>
        <v>-2.9411764705882351</v>
      </c>
    </row>
    <row r="57" spans="1:12" ht="21.75">
      <c r="A57" s="76" t="s">
        <v>63</v>
      </c>
      <c r="B57" s="6" t="s">
        <v>18</v>
      </c>
      <c r="C57" s="30">
        <v>580</v>
      </c>
      <c r="D57" s="30">
        <v>700</v>
      </c>
      <c r="E57" s="30">
        <v>580</v>
      </c>
      <c r="F57" s="30">
        <v>700</v>
      </c>
      <c r="G57" s="30">
        <v>580</v>
      </c>
      <c r="H57" s="30">
        <v>700</v>
      </c>
      <c r="I57" s="31">
        <f t="shared" si="6"/>
        <v>0</v>
      </c>
      <c r="J57" s="62">
        <v>560</v>
      </c>
      <c r="K57" s="62">
        <v>700</v>
      </c>
      <c r="L57" s="32">
        <f t="shared" si="7"/>
        <v>1.5873015873015872</v>
      </c>
    </row>
    <row r="58" spans="1:12" ht="21.75">
      <c r="A58" s="78" t="s">
        <v>64</v>
      </c>
      <c r="B58" s="66"/>
      <c r="C58" s="37"/>
      <c r="D58" s="37"/>
      <c r="E58" s="37"/>
      <c r="F58" s="37"/>
      <c r="G58" s="37"/>
      <c r="H58" s="37"/>
      <c r="I58" s="36"/>
      <c r="J58" s="85"/>
      <c r="K58" s="85"/>
      <c r="L58" s="36"/>
    </row>
    <row r="59" spans="1:12" ht="23.25" customHeight="1">
      <c r="A59" s="76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62">
        <v>800</v>
      </c>
      <c r="K59" s="62">
        <v>820</v>
      </c>
      <c r="L59" s="32">
        <f>((C59+D59)/2-(J59+K59)/2)/((J59+K59)/2)*100</f>
        <v>-2.4691358024691357</v>
      </c>
    </row>
    <row r="60" spans="1:12" ht="20.25" customHeight="1">
      <c r="A60" s="76" t="s">
        <v>67</v>
      </c>
      <c r="B60" s="6" t="s">
        <v>66</v>
      </c>
      <c r="C60" s="30">
        <v>840</v>
      </c>
      <c r="D60" s="30">
        <v>910</v>
      </c>
      <c r="E60" s="30">
        <v>840</v>
      </c>
      <c r="F60" s="30">
        <v>910</v>
      </c>
      <c r="G60" s="30">
        <v>840</v>
      </c>
      <c r="H60" s="30">
        <v>910</v>
      </c>
      <c r="I60" s="31">
        <f>((C60+D60)/2-(G60+H60)/2)/((G60+H60)/2)*100</f>
        <v>0</v>
      </c>
      <c r="J60" s="62">
        <v>790</v>
      </c>
      <c r="K60" s="62">
        <v>820</v>
      </c>
      <c r="L60" s="32">
        <f>((C60+D60)/2-(J60+K60)/2)/((J60+K60)/2)*100</f>
        <v>8.695652173913043</v>
      </c>
    </row>
    <row r="61" spans="1:12" ht="22.5" customHeight="1">
      <c r="A61" s="76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62">
        <v>780</v>
      </c>
      <c r="K61" s="62">
        <v>800</v>
      </c>
      <c r="L61" s="32">
        <f>((C61+D61)/2-(J61+K61)/2)/((J61+K61)/2)*100</f>
        <v>8.8607594936708853</v>
      </c>
    </row>
    <row r="62" spans="1:12" ht="24" customHeight="1">
      <c r="A62" s="76" t="s">
        <v>69</v>
      </c>
      <c r="B62" s="67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62">
        <v>790</v>
      </c>
      <c r="K62" s="62">
        <v>800</v>
      </c>
      <c r="L62" s="32">
        <f>((C62+D62)/2-(J62+K62)/2)/((J62+K62)/2)*100</f>
        <v>8.8050314465408803</v>
      </c>
    </row>
    <row r="63" spans="1:12" ht="20.25" customHeight="1">
      <c r="A63" s="79"/>
      <c r="B63" s="68"/>
      <c r="C63" s="69"/>
      <c r="D63" s="69"/>
      <c r="E63" s="69"/>
      <c r="F63" s="69"/>
      <c r="G63" s="69"/>
      <c r="H63" s="69"/>
      <c r="I63" s="10"/>
      <c r="J63" s="88"/>
      <c r="K63" s="88"/>
      <c r="L63" s="89"/>
    </row>
    <row r="64" spans="1:12" ht="20.25" customHeight="1">
      <c r="A64" s="79"/>
      <c r="B64" s="3"/>
      <c r="C64" s="69"/>
      <c r="D64" s="69"/>
      <c r="E64" s="69"/>
      <c r="F64" s="69"/>
      <c r="G64" s="69"/>
      <c r="H64" s="69"/>
      <c r="I64" s="10"/>
      <c r="J64" s="82"/>
      <c r="K64" s="82"/>
      <c r="L64" s="70"/>
    </row>
    <row r="65" spans="1:12" ht="20.25" customHeight="1">
      <c r="A65" s="79"/>
      <c r="B65" s="3"/>
      <c r="C65" s="69"/>
      <c r="D65" s="69"/>
      <c r="E65" s="69"/>
      <c r="F65" s="69"/>
      <c r="G65" s="69"/>
      <c r="H65" s="69"/>
      <c r="I65" s="10"/>
      <c r="J65" s="82"/>
      <c r="K65" s="82"/>
      <c r="L65" s="70"/>
    </row>
    <row r="66" spans="1:12" ht="21.75">
      <c r="A66" s="76" t="s">
        <v>4</v>
      </c>
      <c r="B66" s="6" t="s">
        <v>5</v>
      </c>
      <c r="C66" s="91" t="s">
        <v>6</v>
      </c>
      <c r="D66" s="92"/>
      <c r="E66" s="91" t="s">
        <v>7</v>
      </c>
      <c r="F66" s="92"/>
      <c r="G66" s="91" t="s">
        <v>8</v>
      </c>
      <c r="H66" s="92"/>
      <c r="I66" s="27" t="s">
        <v>9</v>
      </c>
      <c r="J66" s="91" t="s">
        <v>10</v>
      </c>
      <c r="K66" s="92"/>
      <c r="L66" s="27" t="s">
        <v>11</v>
      </c>
    </row>
    <row r="67" spans="1:12" ht="18" customHeight="1">
      <c r="A67" s="80"/>
      <c r="B67" s="71"/>
      <c r="C67" s="93">
        <v>45879</v>
      </c>
      <c r="D67" s="92"/>
      <c r="E67" s="93">
        <v>45872</v>
      </c>
      <c r="F67" s="92"/>
      <c r="G67" s="93">
        <v>45848</v>
      </c>
      <c r="H67" s="92"/>
      <c r="I67" s="27" t="s">
        <v>12</v>
      </c>
      <c r="J67" s="101">
        <v>45514</v>
      </c>
      <c r="K67" s="102"/>
      <c r="L67" s="27" t="s">
        <v>12</v>
      </c>
    </row>
    <row r="68" spans="1:12" ht="21.75">
      <c r="A68" s="81" t="s">
        <v>70</v>
      </c>
      <c r="B68" s="72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64" t="s">
        <v>14</v>
      </c>
      <c r="K68" s="64" t="s">
        <v>15</v>
      </c>
      <c r="L68" s="29" t="s">
        <v>16</v>
      </c>
    </row>
    <row r="69" spans="1:12" ht="18.75" customHeight="1">
      <c r="A69" s="76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110</v>
      </c>
      <c r="H69" s="30">
        <v>120</v>
      </c>
      <c r="I69" s="31">
        <f>((C69+D69)/2-(G69+H69)/2)/((G69+H69)/2)*100</f>
        <v>-4.3478260869565215</v>
      </c>
      <c r="J69" s="62">
        <v>125</v>
      </c>
      <c r="K69" s="62">
        <v>135</v>
      </c>
      <c r="L69" s="32">
        <f t="shared" ref="L69:L75" si="8">((C69+D69)/2-(J69+K69)/2)/((J69+K69)/2)*100</f>
        <v>-15.384615384615385</v>
      </c>
    </row>
    <row r="70" spans="1:12" ht="21.75">
      <c r="A70" s="76" t="s">
        <v>72</v>
      </c>
      <c r="B70" s="73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62">
        <v>200</v>
      </c>
      <c r="K70" s="62">
        <v>350</v>
      </c>
      <c r="L70" s="32">
        <f t="shared" si="8"/>
        <v>40</v>
      </c>
    </row>
    <row r="71" spans="1:12" ht="21.75">
      <c r="A71" s="76" t="s">
        <v>110</v>
      </c>
      <c r="B71" s="73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62">
        <v>38</v>
      </c>
      <c r="K71" s="62">
        <v>42</v>
      </c>
      <c r="L71" s="32">
        <f t="shared" si="8"/>
        <v>0</v>
      </c>
    </row>
    <row r="72" spans="1:12" ht="18.75" customHeight="1">
      <c r="A72" s="76" t="s">
        <v>73</v>
      </c>
      <c r="B72" s="6" t="s">
        <v>74</v>
      </c>
      <c r="C72" s="38">
        <v>40</v>
      </c>
      <c r="D72" s="38">
        <v>48</v>
      </c>
      <c r="E72" s="38">
        <v>38</v>
      </c>
      <c r="F72" s="38">
        <v>48</v>
      </c>
      <c r="G72" s="38">
        <v>40</v>
      </c>
      <c r="H72" s="38">
        <v>46</v>
      </c>
      <c r="I72" s="31">
        <f t="shared" si="9"/>
        <v>2.3255813953488373</v>
      </c>
      <c r="J72" s="63">
        <v>48</v>
      </c>
      <c r="K72" s="63">
        <v>52</v>
      </c>
      <c r="L72" s="32">
        <f t="shared" si="8"/>
        <v>-12</v>
      </c>
    </row>
    <row r="73" spans="1:12" ht="21.75">
      <c r="A73" s="76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63">
        <v>30</v>
      </c>
      <c r="K73" s="63">
        <v>35</v>
      </c>
      <c r="L73" s="32">
        <f t="shared" si="8"/>
        <v>7.6923076923076925</v>
      </c>
    </row>
    <row r="74" spans="1:12" ht="21.75">
      <c r="A74" s="76" t="s">
        <v>77</v>
      </c>
      <c r="B74" s="6" t="s">
        <v>78</v>
      </c>
      <c r="C74" s="30">
        <v>83500</v>
      </c>
      <c r="D74" s="30">
        <v>87000</v>
      </c>
      <c r="E74" s="30">
        <v>85000</v>
      </c>
      <c r="F74" s="30">
        <v>89000</v>
      </c>
      <c r="G74" s="30">
        <v>85000</v>
      </c>
      <c r="H74" s="30">
        <v>91500</v>
      </c>
      <c r="I74" s="31">
        <f t="shared" si="9"/>
        <v>-3.3994334277620402</v>
      </c>
      <c r="J74" s="62">
        <v>97500</v>
      </c>
      <c r="K74" s="62">
        <v>99500</v>
      </c>
      <c r="L74" s="32">
        <f t="shared" si="8"/>
        <v>-13.451776649746192</v>
      </c>
    </row>
    <row r="75" spans="1:12" ht="21.75">
      <c r="A75" s="76" t="s">
        <v>79</v>
      </c>
      <c r="B75" s="6" t="s">
        <v>78</v>
      </c>
      <c r="C75" s="30">
        <v>78500</v>
      </c>
      <c r="D75" s="38">
        <v>80000</v>
      </c>
      <c r="E75" s="30">
        <v>78500</v>
      </c>
      <c r="F75" s="38">
        <v>82000</v>
      </c>
      <c r="G75" s="30">
        <v>78000</v>
      </c>
      <c r="H75" s="38">
        <v>82500</v>
      </c>
      <c r="I75" s="31">
        <f t="shared" si="9"/>
        <v>-1.2461059190031152</v>
      </c>
      <c r="J75" s="63">
        <v>87500</v>
      </c>
      <c r="K75" s="63">
        <v>89000</v>
      </c>
      <c r="L75" s="32">
        <f t="shared" si="8"/>
        <v>-10.198300283286118</v>
      </c>
    </row>
    <row r="76" spans="1:12" ht="21.75" customHeight="1">
      <c r="A76" s="94" t="s">
        <v>116</v>
      </c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132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115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6" t="s">
        <v>6</v>
      </c>
      <c r="D83" s="97"/>
      <c r="E83" s="98" t="s">
        <v>83</v>
      </c>
      <c r="F83" s="99"/>
      <c r="G83" s="87" t="s">
        <v>12</v>
      </c>
      <c r="H83" s="96" t="s">
        <v>84</v>
      </c>
      <c r="I83" s="100"/>
      <c r="J83" s="97"/>
      <c r="K83" s="51"/>
      <c r="L83" s="18"/>
    </row>
    <row r="84" spans="1:12" ht="21.75">
      <c r="A84" s="5" t="s">
        <v>107</v>
      </c>
      <c r="B84" s="6" t="s">
        <v>18</v>
      </c>
      <c r="C84" s="30">
        <v>60</v>
      </c>
      <c r="D84" s="30">
        <v>70</v>
      </c>
      <c r="E84" s="30">
        <v>60</v>
      </c>
      <c r="F84" s="30">
        <v>75</v>
      </c>
      <c r="G84" s="7">
        <f t="shared" ref="G84:G99" si="10">((C84+D84)/2-(E84+F84)/2)/((E84+F84)/2)*100</f>
        <v>-3.7037037037037033</v>
      </c>
      <c r="H84" s="5" t="s">
        <v>129</v>
      </c>
      <c r="I84" s="6"/>
      <c r="J84" s="6"/>
      <c r="K84" s="51"/>
      <c r="L84" s="18"/>
    </row>
    <row r="85" spans="1:12" ht="21.75">
      <c r="A85" s="5" t="s">
        <v>24</v>
      </c>
      <c r="B85" s="6" t="s">
        <v>18</v>
      </c>
      <c r="C85" s="30">
        <v>55</v>
      </c>
      <c r="D85" s="30">
        <v>65</v>
      </c>
      <c r="E85" s="30">
        <v>50</v>
      </c>
      <c r="F85" s="30">
        <v>60</v>
      </c>
      <c r="G85" s="7">
        <f t="shared" si="10"/>
        <v>9.0909090909090917</v>
      </c>
      <c r="H85" s="5" t="s">
        <v>122</v>
      </c>
      <c r="I85" s="6"/>
      <c r="J85" s="6"/>
      <c r="K85" s="51"/>
      <c r="L85" s="18"/>
    </row>
    <row r="86" spans="1:12" ht="21.75">
      <c r="A86" s="76" t="s">
        <v>25</v>
      </c>
      <c r="B86" s="6" t="s">
        <v>23</v>
      </c>
      <c r="C86" s="30">
        <v>65</v>
      </c>
      <c r="D86" s="30">
        <v>70</v>
      </c>
      <c r="E86" s="30">
        <v>60</v>
      </c>
      <c r="F86" s="30">
        <v>70</v>
      </c>
      <c r="G86" s="7">
        <f t="shared" si="10"/>
        <v>3.8461538461538463</v>
      </c>
      <c r="H86" s="5" t="s">
        <v>128</v>
      </c>
      <c r="I86" s="6"/>
      <c r="J86" s="6"/>
      <c r="K86" s="51"/>
      <c r="L86" s="18"/>
    </row>
    <row r="87" spans="1:12" ht="21.75">
      <c r="A87" s="76" t="s">
        <v>27</v>
      </c>
      <c r="B87" s="6" t="s">
        <v>28</v>
      </c>
      <c r="C87" s="30">
        <v>162</v>
      </c>
      <c r="D87" s="30">
        <v>172</v>
      </c>
      <c r="E87" s="30">
        <v>162</v>
      </c>
      <c r="F87" s="30">
        <v>170</v>
      </c>
      <c r="G87" s="7">
        <f t="shared" si="10"/>
        <v>0.60240963855421692</v>
      </c>
      <c r="H87" s="5" t="s">
        <v>122</v>
      </c>
      <c r="I87" s="6"/>
      <c r="J87" s="6"/>
      <c r="K87" s="51"/>
      <c r="L87" s="18"/>
    </row>
    <row r="88" spans="1:12" ht="21.75">
      <c r="A88" s="76" t="s">
        <v>29</v>
      </c>
      <c r="B88" s="6" t="s">
        <v>31</v>
      </c>
      <c r="C88" s="30">
        <v>370</v>
      </c>
      <c r="D88" s="30">
        <v>378</v>
      </c>
      <c r="E88" s="30">
        <v>375</v>
      </c>
      <c r="F88" s="30">
        <v>378</v>
      </c>
      <c r="G88" s="7">
        <f t="shared" si="10"/>
        <v>-0.66401062416998669</v>
      </c>
      <c r="H88" s="5" t="s">
        <v>129</v>
      </c>
      <c r="I88" s="6"/>
      <c r="J88" s="6"/>
      <c r="K88" s="51"/>
      <c r="L88" s="18"/>
    </row>
    <row r="89" spans="1:12" ht="21.75">
      <c r="A89" s="76" t="s">
        <v>33</v>
      </c>
      <c r="B89" s="6" t="s">
        <v>28</v>
      </c>
      <c r="C89" s="30">
        <v>150</v>
      </c>
      <c r="D89" s="30">
        <v>160</v>
      </c>
      <c r="E89" s="30">
        <v>150</v>
      </c>
      <c r="F89" s="30">
        <v>155</v>
      </c>
      <c r="G89" s="7">
        <f t="shared" si="10"/>
        <v>1.639344262295082</v>
      </c>
      <c r="H89" s="5" t="s">
        <v>118</v>
      </c>
      <c r="I89" s="6"/>
      <c r="J89" s="6"/>
      <c r="K89" s="51"/>
      <c r="L89" s="18"/>
    </row>
    <row r="90" spans="1:12" ht="21.75">
      <c r="A90" s="76" t="s">
        <v>108</v>
      </c>
      <c r="B90" s="6" t="s">
        <v>28</v>
      </c>
      <c r="C90" s="30">
        <v>152</v>
      </c>
      <c r="D90" s="30">
        <v>163</v>
      </c>
      <c r="E90" s="30">
        <v>152</v>
      </c>
      <c r="F90" s="30">
        <v>162</v>
      </c>
      <c r="G90" s="7">
        <f t="shared" si="10"/>
        <v>0.31847133757961787</v>
      </c>
      <c r="H90" s="5" t="s">
        <v>117</v>
      </c>
      <c r="I90" s="6"/>
      <c r="J90" s="6"/>
      <c r="K90" s="51"/>
      <c r="L90" s="18"/>
    </row>
    <row r="91" spans="1:12" ht="21.75">
      <c r="A91" s="76" t="s">
        <v>38</v>
      </c>
      <c r="B91" s="6" t="s">
        <v>18</v>
      </c>
      <c r="C91" s="30">
        <v>150</v>
      </c>
      <c r="D91" s="30">
        <v>155</v>
      </c>
      <c r="E91" s="30">
        <v>140</v>
      </c>
      <c r="F91" s="30">
        <v>150</v>
      </c>
      <c r="G91" s="7">
        <f t="shared" si="10"/>
        <v>5.1724137931034484</v>
      </c>
      <c r="H91" s="5" t="s">
        <v>124</v>
      </c>
      <c r="I91" s="6"/>
      <c r="J91" s="6"/>
      <c r="K91" s="51"/>
      <c r="L91" s="18"/>
    </row>
    <row r="92" spans="1:12" ht="21.75">
      <c r="A92" s="76" t="s">
        <v>42</v>
      </c>
      <c r="B92" s="6" t="s">
        <v>18</v>
      </c>
      <c r="C92" s="30">
        <v>25</v>
      </c>
      <c r="D92" s="30">
        <v>30</v>
      </c>
      <c r="E92" s="30">
        <v>20</v>
      </c>
      <c r="F92" s="30">
        <v>30</v>
      </c>
      <c r="G92" s="7">
        <f t="shared" si="10"/>
        <v>10</v>
      </c>
      <c r="H92" s="5" t="s">
        <v>128</v>
      </c>
      <c r="I92" s="6"/>
      <c r="J92" s="6"/>
      <c r="K92" s="51"/>
      <c r="L92" s="18"/>
    </row>
    <row r="93" spans="1:12" ht="21.75">
      <c r="A93" s="76" t="s">
        <v>92</v>
      </c>
      <c r="B93" s="6" t="s">
        <v>18</v>
      </c>
      <c r="C93" s="30">
        <v>75</v>
      </c>
      <c r="D93" s="30">
        <v>85</v>
      </c>
      <c r="E93" s="30">
        <v>70</v>
      </c>
      <c r="F93" s="30">
        <v>80</v>
      </c>
      <c r="G93" s="7">
        <f t="shared" si="10"/>
        <v>6.666666666666667</v>
      </c>
      <c r="H93" s="5" t="s">
        <v>123</v>
      </c>
      <c r="I93" s="6"/>
      <c r="J93" s="6"/>
      <c r="K93" s="51"/>
      <c r="L93" s="18"/>
    </row>
    <row r="94" spans="1:12" ht="21.75">
      <c r="A94" s="76" t="s">
        <v>46</v>
      </c>
      <c r="B94" s="6" t="s">
        <v>18</v>
      </c>
      <c r="C94" s="30">
        <v>160</v>
      </c>
      <c r="D94" s="30">
        <v>200</v>
      </c>
      <c r="E94" s="30">
        <v>160</v>
      </c>
      <c r="F94" s="30">
        <v>210</v>
      </c>
      <c r="G94" s="7">
        <f t="shared" si="10"/>
        <v>-2.7027027027027026</v>
      </c>
      <c r="H94" s="5" t="s">
        <v>129</v>
      </c>
      <c r="I94" s="6"/>
      <c r="J94" s="6"/>
      <c r="K94" s="51"/>
      <c r="L94" s="18"/>
    </row>
    <row r="95" spans="1:12" ht="21.75">
      <c r="A95" s="76" t="s">
        <v>52</v>
      </c>
      <c r="B95" s="6" t="s">
        <v>18</v>
      </c>
      <c r="C95" s="30">
        <v>200</v>
      </c>
      <c r="D95" s="30">
        <v>280</v>
      </c>
      <c r="E95" s="30">
        <v>180</v>
      </c>
      <c r="F95" s="30">
        <v>280</v>
      </c>
      <c r="G95" s="7">
        <f t="shared" si="10"/>
        <v>4.3478260869565215</v>
      </c>
      <c r="H95" s="5" t="s">
        <v>128</v>
      </c>
      <c r="I95" s="6"/>
      <c r="J95" s="6"/>
      <c r="K95" s="51"/>
      <c r="L95" s="18"/>
    </row>
    <row r="96" spans="1:12" ht="21.75">
      <c r="A96" s="76" t="s">
        <v>62</v>
      </c>
      <c r="B96" s="6" t="s">
        <v>18</v>
      </c>
      <c r="C96" s="30">
        <v>160</v>
      </c>
      <c r="D96" s="30">
        <v>170</v>
      </c>
      <c r="E96" s="30">
        <v>145</v>
      </c>
      <c r="F96" s="30">
        <v>170</v>
      </c>
      <c r="G96" s="7">
        <f t="shared" si="10"/>
        <v>4.7619047619047619</v>
      </c>
      <c r="H96" s="5" t="s">
        <v>123</v>
      </c>
      <c r="I96" s="6"/>
      <c r="J96" s="6"/>
      <c r="K96" s="51"/>
      <c r="L96" s="18"/>
    </row>
    <row r="97" spans="1:12" ht="21.75">
      <c r="A97" s="76" t="s">
        <v>73</v>
      </c>
      <c r="B97" s="6" t="s">
        <v>74</v>
      </c>
      <c r="C97" s="38">
        <v>40</v>
      </c>
      <c r="D97" s="38">
        <v>48</v>
      </c>
      <c r="E97" s="38">
        <v>38</v>
      </c>
      <c r="F97" s="38">
        <v>48</v>
      </c>
      <c r="G97" s="7">
        <f t="shared" si="10"/>
        <v>2.3255813953488373</v>
      </c>
      <c r="H97" s="5" t="s">
        <v>123</v>
      </c>
      <c r="I97" s="6"/>
      <c r="J97" s="6"/>
      <c r="K97" s="51"/>
      <c r="L97" s="18"/>
    </row>
    <row r="98" spans="1:12" ht="21.75">
      <c r="A98" s="76" t="s">
        <v>77</v>
      </c>
      <c r="B98" s="6" t="s">
        <v>78</v>
      </c>
      <c r="C98" s="30">
        <v>83500</v>
      </c>
      <c r="D98" s="30">
        <v>87000</v>
      </c>
      <c r="E98" s="30">
        <v>85000</v>
      </c>
      <c r="F98" s="30">
        <v>89000</v>
      </c>
      <c r="G98" s="7">
        <f t="shared" si="10"/>
        <v>-2.0114942528735633</v>
      </c>
      <c r="H98" s="5" t="s">
        <v>119</v>
      </c>
      <c r="I98" s="6"/>
      <c r="J98" s="6"/>
      <c r="K98" s="51"/>
      <c r="L98" s="18"/>
    </row>
    <row r="99" spans="1:12" ht="21.75">
      <c r="A99" s="76" t="s">
        <v>79</v>
      </c>
      <c r="B99" s="6" t="s">
        <v>78</v>
      </c>
      <c r="C99" s="30">
        <v>78500</v>
      </c>
      <c r="D99" s="38">
        <v>80000</v>
      </c>
      <c r="E99" s="30">
        <v>78500</v>
      </c>
      <c r="F99" s="38">
        <v>82000</v>
      </c>
      <c r="G99" s="7">
        <f t="shared" si="10"/>
        <v>-1.2461059190031152</v>
      </c>
      <c r="H99" s="5" t="s">
        <v>119</v>
      </c>
      <c r="I99" s="6"/>
      <c r="J99" s="6"/>
      <c r="K99" s="51"/>
      <c r="L99" s="18"/>
    </row>
    <row r="100" spans="1:12" ht="21.75">
      <c r="A100" s="79"/>
      <c r="B100" s="3"/>
      <c r="C100" s="90"/>
      <c r="D100" s="90"/>
      <c r="E100" s="90"/>
      <c r="F100" s="90"/>
      <c r="G100" s="10"/>
      <c r="H100" s="1"/>
      <c r="I100" s="3"/>
      <c r="J100" s="3"/>
      <c r="K100" s="51"/>
      <c r="L100" s="18"/>
    </row>
    <row r="101" spans="1:12" ht="21.75">
      <c r="A101" s="79"/>
      <c r="B101" s="3"/>
      <c r="C101" s="90"/>
      <c r="D101" s="90"/>
      <c r="E101" s="90"/>
      <c r="F101" s="90"/>
      <c r="G101" s="10"/>
      <c r="H101" s="1"/>
      <c r="I101" s="3"/>
      <c r="J101" s="3"/>
      <c r="K101" s="51"/>
      <c r="L101" s="18"/>
    </row>
    <row r="102" spans="1:12" ht="24.75">
      <c r="A102" s="1"/>
      <c r="B102" s="3"/>
      <c r="C102" s="9"/>
      <c r="D102" s="9"/>
      <c r="E102" s="9"/>
      <c r="F102" s="9"/>
      <c r="G102" s="10"/>
      <c r="H102" s="1"/>
      <c r="I102" s="3"/>
      <c r="J102" s="3"/>
      <c r="K102" s="12"/>
      <c r="L102" s="12"/>
    </row>
    <row r="103" spans="1:12" ht="24.75">
      <c r="A103" s="1"/>
      <c r="B103" s="3"/>
      <c r="C103" s="9"/>
      <c r="D103" s="9"/>
      <c r="E103" s="9"/>
      <c r="F103" s="9"/>
      <c r="G103" s="10"/>
      <c r="H103" s="1"/>
      <c r="I103" s="3"/>
      <c r="J103" s="3"/>
      <c r="K103" s="12"/>
      <c r="L103" s="12"/>
    </row>
    <row r="104" spans="1:12" ht="24.75">
      <c r="A104" s="1"/>
      <c r="B104" s="14"/>
      <c r="C104" s="15"/>
      <c r="D104" s="15"/>
      <c r="E104" s="14"/>
      <c r="F104" s="15"/>
      <c r="G104" s="39"/>
      <c r="H104" s="40"/>
      <c r="I104" s="41"/>
      <c r="J104" s="41"/>
      <c r="K104" s="41"/>
      <c r="L104" s="12"/>
    </row>
    <row r="105" spans="1:12" ht="24.75">
      <c r="A105" s="1"/>
      <c r="B105" s="42"/>
      <c r="C105" s="43" t="s">
        <v>113</v>
      </c>
      <c r="D105" s="11"/>
      <c r="E105" s="42"/>
      <c r="F105" s="14"/>
      <c r="G105" s="11"/>
      <c r="H105" s="40"/>
      <c r="I105" s="13"/>
      <c r="J105" s="14" t="s">
        <v>120</v>
      </c>
      <c r="K105" s="11"/>
      <c r="L105" s="11"/>
    </row>
    <row r="106" spans="1:12" ht="24.75">
      <c r="A106" s="1"/>
      <c r="B106" s="44"/>
      <c r="C106" s="43" t="s">
        <v>114</v>
      </c>
      <c r="D106" s="14"/>
      <c r="E106" s="42"/>
      <c r="F106" s="45"/>
      <c r="G106" s="47"/>
      <c r="H106" s="47"/>
      <c r="I106" s="86"/>
      <c r="J106" s="14" t="s">
        <v>121</v>
      </c>
      <c r="K106" s="14"/>
      <c r="L106" s="14"/>
    </row>
    <row r="107" spans="1:12" ht="24.75">
      <c r="A107" s="1"/>
      <c r="B107" s="14"/>
      <c r="C107" s="15"/>
      <c r="D107" s="14"/>
      <c r="E107" s="15"/>
      <c r="F107" s="45"/>
      <c r="G107" s="47"/>
      <c r="H107" s="47"/>
      <c r="I107" s="46"/>
      <c r="J107" s="11"/>
      <c r="K107" s="11"/>
      <c r="L107" s="2"/>
    </row>
    <row r="108" spans="1:12" ht="19.5">
      <c r="A108" s="56" t="s">
        <v>95</v>
      </c>
      <c r="B108" s="54"/>
      <c r="C108" s="52"/>
      <c r="D108" s="54"/>
      <c r="E108" s="52"/>
      <c r="F108" s="52"/>
      <c r="G108" s="52"/>
      <c r="H108" s="53"/>
      <c r="I108" s="58"/>
      <c r="J108" s="2"/>
      <c r="K108" s="2"/>
      <c r="L108" s="2"/>
    </row>
    <row r="109" spans="1:12" ht="19.5">
      <c r="A109" s="55" t="s">
        <v>101</v>
      </c>
      <c r="B109" s="54"/>
      <c r="C109" s="52"/>
      <c r="D109" s="54"/>
      <c r="E109" s="52"/>
      <c r="F109" s="52"/>
      <c r="G109" s="54"/>
      <c r="H109" s="53"/>
      <c r="I109" s="58"/>
      <c r="J109" s="2"/>
      <c r="K109" s="2"/>
      <c r="L109" s="2"/>
    </row>
    <row r="110" spans="1:12" ht="19.5">
      <c r="A110" s="55" t="s">
        <v>100</v>
      </c>
      <c r="B110" s="54"/>
      <c r="C110" s="54"/>
      <c r="D110" s="54"/>
      <c r="E110" s="54"/>
      <c r="F110" s="52"/>
      <c r="G110" s="54"/>
      <c r="H110" s="53"/>
      <c r="I110" s="58"/>
      <c r="J110" s="2"/>
      <c r="K110" s="2"/>
      <c r="L110" s="2"/>
    </row>
    <row r="111" spans="1:12" ht="19.5">
      <c r="A111" s="55" t="s">
        <v>85</v>
      </c>
      <c r="B111" s="54"/>
      <c r="C111" s="54"/>
      <c r="D111" s="54"/>
      <c r="E111" s="54"/>
      <c r="F111" s="53"/>
      <c r="G111" s="53"/>
      <c r="H111" s="53"/>
      <c r="I111" s="58"/>
      <c r="J111" s="2"/>
      <c r="K111" s="2"/>
      <c r="L111" s="2"/>
    </row>
    <row r="112" spans="1:12" ht="19.5">
      <c r="A112" s="55" t="s">
        <v>99</v>
      </c>
      <c r="B112" s="54"/>
      <c r="C112" s="54"/>
      <c r="D112" s="54"/>
      <c r="E112" s="54"/>
      <c r="F112" s="54"/>
      <c r="G112" s="53"/>
      <c r="H112" s="53"/>
      <c r="I112" s="58"/>
      <c r="J112" s="2"/>
      <c r="K112" s="2"/>
      <c r="L112" s="2"/>
    </row>
    <row r="113" spans="1:12" ht="19.5">
      <c r="A113" s="55" t="s">
        <v>98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109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97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96</v>
      </c>
      <c r="B116" s="54"/>
      <c r="C116" s="54"/>
      <c r="D116" s="54"/>
      <c r="E116" s="54"/>
      <c r="F116" s="54"/>
      <c r="G116" s="54"/>
      <c r="H116" s="53"/>
      <c r="I116" s="58"/>
      <c r="J116" s="2"/>
      <c r="K116" s="2"/>
      <c r="L116" s="2"/>
    </row>
    <row r="117" spans="1:12" ht="19.5">
      <c r="A117" s="55" t="s">
        <v>86</v>
      </c>
      <c r="B117" s="54"/>
      <c r="C117" s="54"/>
      <c r="D117" s="54"/>
      <c r="E117" s="54"/>
      <c r="F117" s="54"/>
      <c r="G117" s="54"/>
      <c r="H117" s="53"/>
      <c r="I117" s="58"/>
      <c r="J117" s="2"/>
      <c r="K117" s="2"/>
      <c r="L117" s="2"/>
    </row>
    <row r="118" spans="1:12" ht="19.5">
      <c r="A118" s="55" t="s">
        <v>103</v>
      </c>
      <c r="B118" s="54"/>
      <c r="C118" s="54"/>
      <c r="D118" s="54"/>
      <c r="E118" s="54"/>
      <c r="F118" s="54"/>
      <c r="G118" s="54"/>
      <c r="H118" s="53"/>
      <c r="I118" s="58"/>
      <c r="J118" s="2"/>
      <c r="K118" s="2"/>
      <c r="L118" s="2"/>
    </row>
    <row r="119" spans="1:12" ht="19.5">
      <c r="A119" s="55" t="s">
        <v>102</v>
      </c>
      <c r="B119" s="54"/>
      <c r="C119" s="54"/>
      <c r="D119" s="54"/>
      <c r="E119" s="54"/>
      <c r="F119" s="54"/>
      <c r="G119" s="54"/>
      <c r="H119" s="53"/>
      <c r="I119" s="58"/>
      <c r="J119" s="2"/>
      <c r="K119" s="2"/>
      <c r="L119" s="2"/>
    </row>
    <row r="120" spans="1:12" ht="19.5">
      <c r="A120" s="55" t="s">
        <v>104</v>
      </c>
      <c r="B120" s="54"/>
      <c r="C120" s="54"/>
      <c r="D120" s="54"/>
      <c r="E120" s="54"/>
      <c r="F120" s="54"/>
      <c r="G120" s="54"/>
      <c r="H120" s="53"/>
      <c r="I120" s="58"/>
      <c r="J120" s="2"/>
      <c r="K120" s="2"/>
      <c r="L120" s="2"/>
    </row>
    <row r="121" spans="1:12" ht="19.5">
      <c r="A121" s="55" t="s">
        <v>105</v>
      </c>
      <c r="B121" s="54"/>
      <c r="C121" s="54"/>
      <c r="D121" s="54"/>
      <c r="E121" s="54"/>
      <c r="F121" s="54"/>
      <c r="G121" s="54"/>
      <c r="H121" s="53"/>
      <c r="I121" s="58"/>
      <c r="J121" s="2"/>
      <c r="K121" s="2"/>
      <c r="L121" s="2"/>
    </row>
    <row r="122" spans="1:12" ht="19.5">
      <c r="A122" s="55" t="s">
        <v>87</v>
      </c>
      <c r="B122" s="54"/>
      <c r="C122" s="54"/>
      <c r="D122" s="54"/>
      <c r="E122" s="54"/>
      <c r="F122" s="54"/>
      <c r="G122" s="54"/>
      <c r="H122" s="57"/>
      <c r="I122" s="59"/>
      <c r="J122" s="12"/>
      <c r="K122" s="12"/>
      <c r="L122" s="12"/>
    </row>
    <row r="123" spans="1:12" ht="19.5">
      <c r="A123" s="55"/>
      <c r="B123" s="54"/>
      <c r="C123" s="54"/>
      <c r="D123" s="54"/>
      <c r="E123" s="54"/>
      <c r="F123" s="54"/>
      <c r="G123" s="54"/>
      <c r="H123" s="57"/>
      <c r="I123" s="59"/>
      <c r="J123" s="12"/>
      <c r="K123" s="12"/>
      <c r="L123" s="12"/>
    </row>
    <row r="124" spans="1:12" ht="19.5">
      <c r="A124" s="56" t="s">
        <v>88</v>
      </c>
      <c r="B124" s="54"/>
      <c r="C124" s="54"/>
      <c r="D124" s="54"/>
      <c r="E124" s="54"/>
      <c r="F124" s="54"/>
      <c r="G124" s="54"/>
      <c r="H124" s="57"/>
      <c r="I124" s="59"/>
      <c r="J124" s="12"/>
      <c r="K124" s="12"/>
      <c r="L124" s="12"/>
    </row>
    <row r="125" spans="1:12" ht="19.5">
      <c r="A125" s="55" t="s">
        <v>89</v>
      </c>
      <c r="B125" s="54"/>
      <c r="C125" s="54"/>
      <c r="D125" s="54"/>
      <c r="E125" s="54"/>
      <c r="F125" s="54"/>
      <c r="G125" s="54"/>
      <c r="H125" s="57"/>
      <c r="I125" s="59"/>
      <c r="J125" s="12"/>
      <c r="K125" s="12"/>
      <c r="L125" s="12"/>
    </row>
    <row r="126" spans="1:12" ht="19.5">
      <c r="A126" s="55" t="s">
        <v>90</v>
      </c>
      <c r="B126" s="54"/>
      <c r="C126" s="54"/>
      <c r="D126" s="54"/>
      <c r="E126" s="54"/>
      <c r="F126" s="54"/>
      <c r="G126" s="54"/>
      <c r="H126" s="57"/>
      <c r="I126" s="59"/>
      <c r="J126" s="12"/>
      <c r="K126" s="12"/>
      <c r="L126" s="12"/>
    </row>
    <row r="127" spans="1:12" ht="19.5">
      <c r="A127" s="55" t="s">
        <v>91</v>
      </c>
      <c r="B127" s="54"/>
      <c r="C127" s="54"/>
      <c r="D127" s="54"/>
      <c r="E127" s="54"/>
      <c r="F127" s="54"/>
      <c r="G127" s="54"/>
      <c r="H127" s="57"/>
      <c r="I127" s="59"/>
      <c r="J127" s="12"/>
      <c r="K127" s="12"/>
      <c r="L127" s="12"/>
    </row>
    <row r="128" spans="1:12" ht="18">
      <c r="A128" s="60"/>
      <c r="B128" s="58"/>
      <c r="C128" s="58"/>
      <c r="D128" s="58"/>
      <c r="E128" s="58"/>
      <c r="F128" s="58"/>
      <c r="G128" s="58"/>
      <c r="H128" s="61"/>
      <c r="I128" s="59"/>
      <c r="J128" s="12"/>
      <c r="K128" s="12"/>
      <c r="L128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2025-05-14T08:39:10Z</cp:lastPrinted>
  <dcterms:created xsi:type="dcterms:W3CDTF">2021-06-05T07:13:00Z</dcterms:created>
  <dcterms:modified xsi:type="dcterms:W3CDTF">2025-08-10T08:25:41Z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