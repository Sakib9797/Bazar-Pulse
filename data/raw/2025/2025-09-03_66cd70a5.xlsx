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6CD4CD51-69E7-4402-BDAA-D9AAD39A0AB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7" i="4"/>
  <c r="G83" i="4"/>
  <c r="G89" i="4"/>
  <c r="G88" i="4"/>
  <c r="G84" i="4"/>
  <c r="G85" i="4"/>
  <c r="G92" i="4"/>
  <c r="G91" i="4"/>
  <c r="G90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<sst xmlns="http://schemas.openxmlformats.org/spreadsheetml/2006/main" count="240" uniqueCount="132">
  <si>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</si>
  <si>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</si>
  <si>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</si>
  <si>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</si>
  <si>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</si>
  <si>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</si>
  <si>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</si>
  <si>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</si>
  <si>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</si>
  <si>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</si>
  <si>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</si>
  <si>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</si>
  <si>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</si>
  <si>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</si>
  <si>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</si>
  <si>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</si>
  <si>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</si>
  <si>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</si>
  <si>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</si>
  <si>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</si>
  <si>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</si>
  <si>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</si>
  <si>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</si>
  <si>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</si>
  <si>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</si>
  <si>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</si>
  <si>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</si>
  <si>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</si>
  <si>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</si>
  <si>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</si>
  <si>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</si>
  <si>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</si>
  <si>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</si>
  <si>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</si>
  <si>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</si>
  <si>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</si>
  <si>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</si>
  <si>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</si>
  <si>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</si>
  <si>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</si>
  <si>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</si>
  <si>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</si>
  <si>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</si>
  <si>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</si>
  <si>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</si>
  <si>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</si>
  <si>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</si>
  <si>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</si>
  <si>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</si>
  <si>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</si>
  <si>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</si>
  <si>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</si>
  <si>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</si>
  <si>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</si>
  <si>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</si>
  <si>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</si>
  <si>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</si>
  <si>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</si>
  <si>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</si>
  <si>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</si>
  <si>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</si>
  <si>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</si>
  <si>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</si>
  <si>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</si>
  <si>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</si>
  <si>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</si>
  <si>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</si>
  <si>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</si>
  <si>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</si>
  <si>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</si>
  <si>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</si>
  <si>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</si>
  <si>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</si>
  <si>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</si>
  <si>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</si>
  <si>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</si>
  <si>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</si>
  <si>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</si>
  <si>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</si>
  <si>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</si>
  <si>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</si>
  <si>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</si>
  <si>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</si>
  <si>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</si>
  <si>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</si>
  <si>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</si>
  <si>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</si>
  <si>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</si>
  <si>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</si>
  <si>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</si>
  <si>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</si>
  <si>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</si>
  <si>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</si>
  <si>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</si>
  <si>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</si>
  <si>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</si>
  <si>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</si>
  <si>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</si>
  <si>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</si>
  <si>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</si>
  <si>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</si>
  <si>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</si>
  <si>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</si>
  <si>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</si>
  <si>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</si>
  <si>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</si>
  <si>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</si>
  <si>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</si>
  <si>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</si>
  <si>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</si>
  <si>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</si>
  <si>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</si>
  <si>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</si>
  <si>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</si>
  <si>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</si>
  <si>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</si>
  <si>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</si>
  <si>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(মোঃ হুমায়ুন কবির)</t>
  </si>
  <si>
    <t>যুগ্ম পরিচালক (বাজার তথ্য)</t>
  </si>
  <si>
    <t>২৮-০৮-২০২৫ তারিখে মূল্য হ্রাস পেয়েছে।</t>
  </si>
  <si>
    <t>২৮-০৮-২০২৫ তারিখে মূল্য বৃদ্ধি পেয়েছে।</t>
  </si>
  <si>
    <t>৩০-০৮-২০২৫ তারিখে মূল্য বৃদ্ধি পেয়েছে।</t>
  </si>
  <si>
    <t>৩১-০৮-২০২৫ তারিখে মূল্য বৃদ্ধি পেয়েছে।</t>
  </si>
  <si>
    <t>৩১-০৮-২০২৫ তারিখে মূল্য হ্রাস পেয়েছে।</t>
  </si>
  <si>
    <t>০১-০৯-২০২৫ তারিখে মূল্য বৃদ্ধি পেয়েছে।</t>
  </si>
  <si>
    <t>স্মারক নং-২৬.০৫.০০০০.০১৭.৩১.০১.২৫-৬১৮</t>
  </si>
  <si>
    <t xml:space="preserve">বুধবার ০৩ সেপ্টেম্বর ২০২৫ খ্রিঃ, ১৯ ভাদ্র ১৪৩২ বাংলা, ০৯ রবিউল আউয়াল ১৪৪৭ হিজরি </t>
  </si>
  <si>
    <t xml:space="preserve">   সিরিয়াল নংঃ     ২২০</t>
  </si>
  <si>
    <t>০৩-০৯-২০২৫ তারিখে মূল্য হ্রাস পেয়েছে।</t>
  </si>
  <si>
    <t>০৩-০৯-২০২৫ তারিখে মূল্য বৃদ্ধি পেয়েছে।</t>
  </si>
  <si>
    <t>(২ )    রশুন (দেশী), মুরগী ব্রয়লার,  এস রড (৬০,৪০ গ্রেড)   এর মূল্য হ্রাস পেয়েছে।</t>
  </si>
  <si>
    <t>(১)     আটা (খোলা), সয়াবিন তেল (লুজ), রশুন (আম), আদা (আম), তেজপাতা, চিনি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</si>
</sst>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0"/>
  <sheetViews>
    <sheetView tabSelected="1" topLeftCell="A76" zoomScale="98" zoomScaleNormal="98" workbookViewId="0">
      <selection activeCell="B78" sqref="B78"/>
    </sheetView>
  </sheetViews>
  <sheetFormatPr defaultRowHeight="15.75"/>
  <cols>
    <col min="1" max="1" width="16.0976562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127</v>
      </c>
      <c r="L4" s="86"/>
    </row>
    <row r="5" spans="1:12" ht="19.5" customHeight="1">
      <c r="A5" s="18"/>
      <c r="B5" s="8"/>
      <c r="C5" s="8"/>
      <c r="D5" s="18"/>
      <c r="E5" s="8"/>
      <c r="F5" s="8" t="s">
        <v>126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45903</v>
      </c>
    </row>
    <row r="7" spans="1:12" ht="21.75">
      <c r="A7" s="26" t="s">
        <v>4</v>
      </c>
      <c r="B7" s="27" t="s">
        <v>5</v>
      </c>
      <c r="C7" s="85" t="s">
        <v>6</v>
      </c>
      <c r="D7" s="86"/>
      <c r="E7" s="85" t="s">
        <v>7</v>
      </c>
      <c r="F7" s="86"/>
      <c r="G7" s="85" t="s">
        <v>8</v>
      </c>
      <c r="H7" s="86"/>
      <c r="I7" s="27" t="s">
        <v>9</v>
      </c>
      <c r="J7" s="85" t="s">
        <v>10</v>
      </c>
      <c r="K7" s="86"/>
      <c r="L7" s="28" t="s">
        <v>11</v>
      </c>
    </row>
    <row r="8" spans="1:12" ht="21.75">
      <c r="A8" s="26"/>
      <c r="B8" s="27"/>
      <c r="C8" s="87">
        <v>45903</v>
      </c>
      <c r="D8" s="86"/>
      <c r="E8" s="87">
        <v>45896</v>
      </c>
      <c r="F8" s="86"/>
      <c r="G8" s="87">
        <v>45872</v>
      </c>
      <c r="H8" s="86"/>
      <c r="I8" s="27" t="s">
        <v>12</v>
      </c>
      <c r="J8" s="87">
        <v>45538</v>
      </c>
      <c r="K8" s="86"/>
      <c r="L8" s="27" t="s">
        <v>12</v>
      </c>
    </row>
    <row r="9" spans="1:12" ht="21.75">
      <c r="A9" s="71" t="s">
        <v>13</v>
      </c>
      <c r="B9" s="72"/>
      <c r="C9" s="72" t="s">
        <v>14</v>
      </c>
      <c r="D9" s="72" t="s">
        <v>15</v>
      </c>
      <c r="E9" s="72" t="s">
        <v>14</v>
      </c>
      <c r="F9" s="72" t="s">
        <v>15</v>
      </c>
      <c r="G9" s="72" t="s">
        <v>14</v>
      </c>
      <c r="H9" s="72" t="s">
        <v>15</v>
      </c>
      <c r="I9" s="72" t="s">
        <v>16</v>
      </c>
      <c r="J9" s="29" t="s">
        <v>14</v>
      </c>
      <c r="K9" s="29" t="s">
        <v>15</v>
      </c>
      <c r="L9" s="72" t="s">
        <v>16</v>
      </c>
    </row>
    <row r="10" spans="1:12" ht="21.75">
      <c r="A10" s="73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3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0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3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4" t="s">
        <v>20</v>
      </c>
      <c r="B13" s="62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3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50</v>
      </c>
      <c r="G14" s="30">
        <v>40</v>
      </c>
      <c r="H14" s="30">
        <v>45</v>
      </c>
      <c r="I14" s="31">
        <f>((C14+D14)/2-(G14+H14)/2)/((G14+H14)/2)*100</f>
        <v>14.117647058823529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3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3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3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60</v>
      </c>
      <c r="H17" s="30">
        <v>70</v>
      </c>
      <c r="I17" s="31">
        <f>((C17+D17)/2-(G17+H17)/2)/((G17+H17)/2)*100</f>
        <v>7.6923076923076925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4" t="s">
        <v>26</v>
      </c>
      <c r="B18" s="62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3" t="s">
        <v>27</v>
      </c>
      <c r="B19" s="6" t="s">
        <v>28</v>
      </c>
      <c r="C19" s="30">
        <v>166</v>
      </c>
      <c r="D19" s="30">
        <v>172</v>
      </c>
      <c r="E19" s="30">
        <v>165</v>
      </c>
      <c r="F19" s="30">
        <v>172</v>
      </c>
      <c r="G19" s="30">
        <v>162</v>
      </c>
      <c r="H19" s="30">
        <v>170</v>
      </c>
      <c r="I19" s="31">
        <f t="shared" ref="I19:I25" si="0">((C19+D19)/2-(G19+H19)/2)/((G19+H19)/2)*100</f>
        <v>1.8072289156626504</v>
      </c>
      <c r="J19" s="30">
        <v>145</v>
      </c>
      <c r="K19" s="30">
        <v>152</v>
      </c>
      <c r="L19" s="32">
        <f t="shared" ref="L19:L25" si="1">((C19+D19)/2-(J19+K19)/2)/((J19+K19)/2)*100</f>
        <v>13.804713804713806</v>
      </c>
    </row>
    <row r="20" spans="1:12" ht="21.75">
      <c r="A20" s="73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3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3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3" t="s">
        <v>33</v>
      </c>
      <c r="B23" s="6" t="s">
        <v>28</v>
      </c>
      <c r="C23" s="30">
        <v>153</v>
      </c>
      <c r="D23" s="30">
        <v>158</v>
      </c>
      <c r="E23" s="30">
        <v>153</v>
      </c>
      <c r="F23" s="30">
        <v>158</v>
      </c>
      <c r="G23" s="30">
        <v>150</v>
      </c>
      <c r="H23" s="30">
        <v>155</v>
      </c>
      <c r="I23" s="31">
        <f t="shared" si="0"/>
        <v>1.9672131147540985</v>
      </c>
      <c r="J23" s="30">
        <v>130</v>
      </c>
      <c r="K23" s="30">
        <v>135</v>
      </c>
      <c r="L23" s="32">
        <f t="shared" si="1"/>
        <v>17.358490566037734</v>
      </c>
    </row>
    <row r="24" spans="1:12" ht="21.75">
      <c r="A24" s="73" t="s">
        <v>108</v>
      </c>
      <c r="B24" s="6" t="s">
        <v>28</v>
      </c>
      <c r="C24" s="30">
        <v>155</v>
      </c>
      <c r="D24" s="30">
        <v>164</v>
      </c>
      <c r="E24" s="30">
        <v>155</v>
      </c>
      <c r="F24" s="30">
        <v>164</v>
      </c>
      <c r="G24" s="30">
        <v>152</v>
      </c>
      <c r="H24" s="30">
        <v>162</v>
      </c>
      <c r="I24" s="31">
        <f t="shared" si="0"/>
        <v>1.5923566878980893</v>
      </c>
      <c r="J24" s="30">
        <v>135</v>
      </c>
      <c r="K24" s="30">
        <v>140</v>
      </c>
      <c r="L24" s="32">
        <f t="shared" si="1"/>
        <v>16</v>
      </c>
    </row>
    <row r="25" spans="1:12" ht="21.75">
      <c r="A25" s="73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4" t="s">
        <v>35</v>
      </c>
      <c r="B26" s="62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3" t="s">
        <v>37</v>
      </c>
      <c r="B27" s="6" t="s">
        <v>18</v>
      </c>
      <c r="C27" s="30">
        <v>95</v>
      </c>
      <c r="D27" s="30">
        <v>110</v>
      </c>
      <c r="E27" s="30">
        <v>100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3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110</v>
      </c>
      <c r="H28" s="30">
        <v>135</v>
      </c>
      <c r="I28" s="31">
        <f t="shared" si="2"/>
        <v>0</v>
      </c>
      <c r="J28" s="30">
        <v>115</v>
      </c>
      <c r="K28" s="30">
        <v>120</v>
      </c>
      <c r="L28" s="32">
        <f t="shared" si="3"/>
        <v>4.2553191489361701</v>
      </c>
    </row>
    <row r="29" spans="1:12" ht="21.75">
      <c r="A29" s="73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140</v>
      </c>
      <c r="H29" s="30">
        <v>150</v>
      </c>
      <c r="I29" s="31">
        <f t="shared" si="2"/>
        <v>6.8965517241379306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3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3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3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110</v>
      </c>
      <c r="K32" s="30">
        <v>120</v>
      </c>
      <c r="L32" s="32">
        <f t="shared" si="3"/>
        <v>-10.869565217391305</v>
      </c>
    </row>
    <row r="33" spans="1:12" ht="21.75">
      <c r="A33" s="73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30</v>
      </c>
      <c r="I33" s="31">
        <f t="shared" si="2"/>
        <v>10</v>
      </c>
      <c r="J33" s="30">
        <v>52</v>
      </c>
      <c r="K33" s="30">
        <v>60</v>
      </c>
      <c r="L33" s="32">
        <f t="shared" si="3"/>
        <v>-50.892857142857139</v>
      </c>
    </row>
    <row r="34" spans="1:12" ht="21.75">
      <c r="A34" s="74" t="s">
        <v>43</v>
      </c>
      <c r="B34" s="62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3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70</v>
      </c>
      <c r="H35" s="30">
        <v>80</v>
      </c>
      <c r="I35" s="31">
        <f t="shared" ref="I35:I50" si="4">((C35+D35)/2-(G35+H35)/2)/((G35+H35)/2)*100</f>
        <v>6.666666666666667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.75">
      <c r="A36" s="73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-100</v>
      </c>
    </row>
    <row r="37" spans="1:12" ht="21.75">
      <c r="A37" s="73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150</v>
      </c>
      <c r="G37" s="30">
        <v>80</v>
      </c>
      <c r="H37" s="30">
        <v>160</v>
      </c>
      <c r="I37" s="31">
        <f t="shared" si="4"/>
        <v>0</v>
      </c>
      <c r="J37" s="30">
        <v>200</v>
      </c>
      <c r="K37" s="30">
        <v>230</v>
      </c>
      <c r="L37" s="32">
        <f t="shared" si="5"/>
        <v>-44.186046511627907</v>
      </c>
    </row>
    <row r="38" spans="1:12" ht="21.75">
      <c r="A38" s="73" t="s">
        <v>46</v>
      </c>
      <c r="B38" s="6" t="s">
        <v>18</v>
      </c>
      <c r="C38" s="30">
        <v>140</v>
      </c>
      <c r="D38" s="30">
        <v>200</v>
      </c>
      <c r="E38" s="30">
        <v>130</v>
      </c>
      <c r="F38" s="30">
        <v>200</v>
      </c>
      <c r="G38" s="30">
        <v>160</v>
      </c>
      <c r="H38" s="30">
        <v>210</v>
      </c>
      <c r="I38" s="31">
        <f t="shared" si="4"/>
        <v>-8.1081081081081088</v>
      </c>
      <c r="J38" s="30">
        <v>200</v>
      </c>
      <c r="K38" s="30">
        <v>220</v>
      </c>
      <c r="L38" s="32">
        <f t="shared" si="5"/>
        <v>-19.047619047619047</v>
      </c>
    </row>
    <row r="39" spans="1:12" ht="21.75">
      <c r="A39" s="73" t="s">
        <v>47</v>
      </c>
      <c r="B39" s="6" t="s">
        <v>18</v>
      </c>
      <c r="C39" s="30">
        <v>270</v>
      </c>
      <c r="D39" s="30">
        <v>350</v>
      </c>
      <c r="E39" s="30">
        <v>250</v>
      </c>
      <c r="F39" s="30">
        <v>350</v>
      </c>
      <c r="G39" s="30">
        <v>240</v>
      </c>
      <c r="H39" s="30">
        <v>350</v>
      </c>
      <c r="I39" s="31">
        <f t="shared" si="4"/>
        <v>5.0847457627118651</v>
      </c>
      <c r="J39" s="30">
        <v>320</v>
      </c>
      <c r="K39" s="30">
        <v>400</v>
      </c>
      <c r="L39" s="32">
        <f t="shared" si="5"/>
        <v>-13.888888888888889</v>
      </c>
    </row>
    <row r="40" spans="1:12" ht="21.75">
      <c r="A40" s="73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420</v>
      </c>
      <c r="K40" s="30">
        <v>500</v>
      </c>
      <c r="L40" s="32">
        <f t="shared" si="5"/>
        <v>-18.478260869565215</v>
      </c>
    </row>
    <row r="41" spans="1:12" ht="21.75">
      <c r="A41" s="73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3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3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3" t="s">
        <v>52</v>
      </c>
      <c r="B44" s="6" t="s">
        <v>18</v>
      </c>
      <c r="C44" s="30">
        <v>180</v>
      </c>
      <c r="D44" s="30">
        <v>260</v>
      </c>
      <c r="E44" s="30">
        <v>150</v>
      </c>
      <c r="F44" s="30">
        <v>270</v>
      </c>
      <c r="G44" s="30">
        <v>180</v>
      </c>
      <c r="H44" s="30">
        <v>280</v>
      </c>
      <c r="I44" s="31">
        <f t="shared" si="4"/>
        <v>-4.3478260869565215</v>
      </c>
      <c r="J44" s="30">
        <v>200</v>
      </c>
      <c r="K44" s="30">
        <v>270</v>
      </c>
      <c r="L44" s="32">
        <f t="shared" si="5"/>
        <v>-6.3829787234042552</v>
      </c>
    </row>
    <row r="45" spans="1:12" ht="21.75">
      <c r="A45" s="73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630</v>
      </c>
      <c r="K45" s="30">
        <v>750</v>
      </c>
      <c r="L45" s="32">
        <f t="shared" si="5"/>
        <v>-2.1739130434782608</v>
      </c>
    </row>
    <row r="46" spans="1:12" ht="21.75">
      <c r="A46" s="73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550</v>
      </c>
      <c r="L46" s="32">
        <f t="shared" si="5"/>
        <v>6.7961165048543686</v>
      </c>
    </row>
    <row r="47" spans="1:12" ht="21.75">
      <c r="A47" s="73" t="s">
        <v>55</v>
      </c>
      <c r="B47" s="6" t="s">
        <v>18</v>
      </c>
      <c r="C47" s="30">
        <v>1350</v>
      </c>
      <c r="D47" s="30">
        <v>1700</v>
      </c>
      <c r="E47" s="30">
        <v>1350</v>
      </c>
      <c r="F47" s="30">
        <v>1700</v>
      </c>
      <c r="G47" s="30">
        <v>1400</v>
      </c>
      <c r="H47" s="30">
        <v>1600</v>
      </c>
      <c r="I47" s="31">
        <f t="shared" si="4"/>
        <v>1.6666666666666667</v>
      </c>
      <c r="J47" s="30">
        <v>1300</v>
      </c>
      <c r="K47" s="30">
        <v>1500</v>
      </c>
      <c r="L47" s="32">
        <f t="shared" si="5"/>
        <v>8.9285714285714288</v>
      </c>
    </row>
    <row r="48" spans="1:12" ht="21.75">
      <c r="A48" s="73" t="s">
        <v>56</v>
      </c>
      <c r="B48" s="6" t="s">
        <v>18</v>
      </c>
      <c r="C48" s="30">
        <v>4600</v>
      </c>
      <c r="D48" s="30">
        <v>5500</v>
      </c>
      <c r="E48" s="30">
        <v>4600</v>
      </c>
      <c r="F48" s="30">
        <v>5500</v>
      </c>
      <c r="G48" s="30">
        <v>4500</v>
      </c>
      <c r="H48" s="30">
        <v>5200</v>
      </c>
      <c r="I48" s="31">
        <f t="shared" si="4"/>
        <v>4.1237113402061851</v>
      </c>
      <c r="J48" s="30">
        <v>3200</v>
      </c>
      <c r="K48" s="30">
        <v>3600</v>
      </c>
      <c r="L48" s="32">
        <f t="shared" si="5"/>
        <v>48.529411764705884</v>
      </c>
    </row>
    <row r="49" spans="1:12" ht="21.75">
      <c r="A49" s="73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30">
        <v>180</v>
      </c>
      <c r="K49" s="30">
        <v>260</v>
      </c>
      <c r="L49" s="32">
        <f t="shared" si="5"/>
        <v>9.0909090909090917</v>
      </c>
    </row>
    <row r="50" spans="1:12" ht="21.75">
      <c r="A50" s="73" t="s">
        <v>58</v>
      </c>
      <c r="B50" s="6" t="s">
        <v>18</v>
      </c>
      <c r="C50" s="30">
        <v>200</v>
      </c>
      <c r="D50" s="30">
        <v>225</v>
      </c>
      <c r="E50" s="30">
        <v>200</v>
      </c>
      <c r="F50" s="30">
        <v>220</v>
      </c>
      <c r="G50" s="30">
        <v>180</v>
      </c>
      <c r="H50" s="30">
        <v>220</v>
      </c>
      <c r="I50" s="31">
        <f t="shared" si="4"/>
        <v>6.25</v>
      </c>
      <c r="J50" s="30">
        <v>120</v>
      </c>
      <c r="K50" s="30">
        <v>200</v>
      </c>
      <c r="L50" s="32">
        <f t="shared" si="5"/>
        <v>32.8125</v>
      </c>
    </row>
    <row r="51" spans="1:12" ht="21.75">
      <c r="A51" s="71" t="s">
        <v>59</v>
      </c>
      <c r="B51" s="62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3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3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3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3" t="s">
        <v>94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3" t="s">
        <v>62</v>
      </c>
      <c r="B56" s="6" t="s">
        <v>18</v>
      </c>
      <c r="C56" s="30">
        <v>160</v>
      </c>
      <c r="D56" s="30">
        <v>185</v>
      </c>
      <c r="E56" s="30">
        <v>170</v>
      </c>
      <c r="F56" s="30">
        <v>185</v>
      </c>
      <c r="G56" s="30">
        <v>145</v>
      </c>
      <c r="H56" s="30">
        <v>170</v>
      </c>
      <c r="I56" s="31">
        <f t="shared" si="6"/>
        <v>9.5238095238095237</v>
      </c>
      <c r="J56" s="30">
        <v>160</v>
      </c>
      <c r="K56" s="30">
        <v>170</v>
      </c>
      <c r="L56" s="32">
        <f t="shared" si="7"/>
        <v>4.5454545454545459</v>
      </c>
    </row>
    <row r="57" spans="1:12" ht="21.75">
      <c r="A57" s="73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5" t="s">
        <v>64</v>
      </c>
      <c r="B58" s="63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3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3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3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>
      <c r="A62" s="73" t="s">
        <v>69</v>
      </c>
      <c r="B62" s="64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0.25" customHeight="1">
      <c r="A63" s="76"/>
      <c r="B63" s="65"/>
      <c r="C63" s="66"/>
      <c r="D63" s="66"/>
      <c r="E63" s="66"/>
      <c r="F63" s="66"/>
      <c r="G63" s="66"/>
      <c r="H63" s="66"/>
      <c r="I63" s="10"/>
      <c r="J63" s="82"/>
      <c r="K63" s="82"/>
      <c r="L63" s="83"/>
    </row>
    <row r="64" spans="1:12" ht="20.25" customHeight="1">
      <c r="A64" s="76"/>
      <c r="B64" s="3"/>
      <c r="C64" s="66"/>
      <c r="D64" s="66"/>
      <c r="E64" s="66"/>
      <c r="F64" s="66"/>
      <c r="G64" s="66"/>
      <c r="H64" s="66"/>
      <c r="I64" s="10"/>
      <c r="J64" s="79"/>
      <c r="K64" s="79"/>
      <c r="L64" s="67"/>
    </row>
    <row r="65" spans="1:12" ht="20.25" customHeight="1">
      <c r="A65" s="76"/>
      <c r="B65" s="3"/>
      <c r="C65" s="66"/>
      <c r="D65" s="66"/>
      <c r="E65" s="66"/>
      <c r="F65" s="66"/>
      <c r="G65" s="66"/>
      <c r="H65" s="66"/>
      <c r="I65" s="10"/>
      <c r="J65" s="79"/>
      <c r="K65" s="79"/>
      <c r="L65" s="67"/>
    </row>
    <row r="66" spans="1:12" ht="21.75">
      <c r="A66" s="73" t="s">
        <v>4</v>
      </c>
      <c r="B66" s="6" t="s">
        <v>5</v>
      </c>
      <c r="C66" s="85" t="s">
        <v>6</v>
      </c>
      <c r="D66" s="86"/>
      <c r="E66" s="85" t="s">
        <v>7</v>
      </c>
      <c r="F66" s="86"/>
      <c r="G66" s="85" t="s">
        <v>8</v>
      </c>
      <c r="H66" s="86"/>
      <c r="I66" s="27" t="s">
        <v>9</v>
      </c>
      <c r="J66" s="85" t="s">
        <v>10</v>
      </c>
      <c r="K66" s="86"/>
      <c r="L66" s="27" t="s">
        <v>11</v>
      </c>
    </row>
    <row r="67" spans="1:12" ht="18" customHeight="1">
      <c r="A67" s="77"/>
      <c r="B67" s="68"/>
      <c r="C67" s="87">
        <v>45903</v>
      </c>
      <c r="D67" s="86"/>
      <c r="E67" s="87">
        <v>45896</v>
      </c>
      <c r="F67" s="86"/>
      <c r="G67" s="87">
        <v>45872</v>
      </c>
      <c r="H67" s="86"/>
      <c r="I67" s="27" t="s">
        <v>12</v>
      </c>
      <c r="J67" s="87">
        <v>45538</v>
      </c>
      <c r="K67" s="86"/>
      <c r="L67" s="27" t="s">
        <v>12</v>
      </c>
    </row>
    <row r="68" spans="1:12" ht="21.75">
      <c r="A68" s="78" t="s">
        <v>70</v>
      </c>
      <c r="B68" s="69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3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110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3" t="s">
        <v>72</v>
      </c>
      <c r="B70" s="70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3" t="s">
        <v>110</v>
      </c>
      <c r="B71" s="70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3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38</v>
      </c>
      <c r="H72" s="38">
        <v>48</v>
      </c>
      <c r="I72" s="31">
        <f t="shared" si="9"/>
        <v>10.465116279069768</v>
      </c>
      <c r="J72" s="38">
        <v>50</v>
      </c>
      <c r="K72" s="38">
        <v>53</v>
      </c>
      <c r="L72" s="32">
        <f t="shared" si="8"/>
        <v>-7.7669902912621351</v>
      </c>
    </row>
    <row r="73" spans="1:12" ht="21.75">
      <c r="A73" s="73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3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87000</v>
      </c>
      <c r="G74" s="30">
        <v>85000</v>
      </c>
      <c r="H74" s="30">
        <v>89000</v>
      </c>
      <c r="I74" s="31">
        <f t="shared" si="9"/>
        <v>-2.5862068965517242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3" t="s">
        <v>79</v>
      </c>
      <c r="B75" s="6" t="s">
        <v>78</v>
      </c>
      <c r="C75" s="30">
        <v>75000</v>
      </c>
      <c r="D75" s="38">
        <v>79000</v>
      </c>
      <c r="E75" s="30">
        <v>78500</v>
      </c>
      <c r="F75" s="38">
        <v>80000</v>
      </c>
      <c r="G75" s="30">
        <v>78500</v>
      </c>
      <c r="H75" s="38">
        <v>82000</v>
      </c>
      <c r="I75" s="31">
        <f t="shared" si="9"/>
        <v>-4.0498442367601246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8" t="s">
        <v>114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0" t="s">
        <v>6</v>
      </c>
      <c r="D82" s="91"/>
      <c r="E82" s="92" t="s">
        <v>83</v>
      </c>
      <c r="F82" s="93"/>
      <c r="G82" s="81" t="s">
        <v>12</v>
      </c>
      <c r="H82" s="90" t="s">
        <v>84</v>
      </c>
      <c r="I82" s="94"/>
      <c r="J82" s="91"/>
      <c r="K82" s="51"/>
      <c r="L82" s="18"/>
    </row>
    <row r="83" spans="1:12" ht="21.75">
      <c r="A83" s="5" t="s">
        <v>21</v>
      </c>
      <c r="B83" s="6" t="s">
        <v>18</v>
      </c>
      <c r="C83" s="30">
        <v>45</v>
      </c>
      <c r="D83" s="30">
        <v>52</v>
      </c>
      <c r="E83" s="30">
        <v>45</v>
      </c>
      <c r="F83" s="30">
        <v>50</v>
      </c>
      <c r="G83" s="7">
        <f t="shared" ref="G83" si="10">((C83+D83)/2-(E83+F83)/2)/((E83+F83)/2)*100</f>
        <v>2.1052631578947367</v>
      </c>
      <c r="H83" s="5" t="s">
        <v>122</v>
      </c>
      <c r="I83" s="6"/>
      <c r="J83" s="6"/>
      <c r="K83" s="51"/>
      <c r="L83" s="18"/>
    </row>
    <row r="84" spans="1:12" ht="21.75">
      <c r="A84" s="73" t="s">
        <v>27</v>
      </c>
      <c r="B84" s="6" t="s">
        <v>28</v>
      </c>
      <c r="C84" s="30">
        <v>166</v>
      </c>
      <c r="D84" s="30">
        <v>172</v>
      </c>
      <c r="E84" s="30">
        <v>165</v>
      </c>
      <c r="F84" s="30">
        <v>172</v>
      </c>
      <c r="G84" s="7">
        <f t="shared" ref="G84:G87" si="11">((C84+D84)/2-(E84+F84)/2)/((E84+F84)/2)*100</f>
        <v>0.29673590504451042</v>
      </c>
      <c r="H84" s="5" t="s">
        <v>121</v>
      </c>
      <c r="I84" s="6"/>
      <c r="J84" s="6"/>
      <c r="K84" s="51"/>
      <c r="L84" s="18"/>
    </row>
    <row r="85" spans="1:12" ht="21.75">
      <c r="A85" s="73" t="s">
        <v>45</v>
      </c>
      <c r="B85" s="6" t="s">
        <v>18</v>
      </c>
      <c r="C85" s="30">
        <v>100</v>
      </c>
      <c r="D85" s="30">
        <v>140</v>
      </c>
      <c r="E85" s="30">
        <v>100</v>
      </c>
      <c r="F85" s="30">
        <v>150</v>
      </c>
      <c r="G85" s="7">
        <f t="shared" si="11"/>
        <v>-4</v>
      </c>
      <c r="H85" s="5" t="s">
        <v>128</v>
      </c>
      <c r="I85" s="6"/>
      <c r="J85" s="6"/>
      <c r="K85" s="51"/>
      <c r="L85" s="18"/>
    </row>
    <row r="86" spans="1:12" ht="21.75">
      <c r="A86" s="73" t="s">
        <v>46</v>
      </c>
      <c r="B86" s="6" t="s">
        <v>18</v>
      </c>
      <c r="C86" s="30">
        <v>140</v>
      </c>
      <c r="D86" s="30">
        <v>200</v>
      </c>
      <c r="E86" s="30">
        <v>130</v>
      </c>
      <c r="F86" s="30">
        <v>200</v>
      </c>
      <c r="G86" s="7">
        <f t="shared" ref="G86:G92" si="12">((C86+D86)/2-(E86+F86)/2)/((E86+F86)/2)*100</f>
        <v>3.0303030303030303</v>
      </c>
      <c r="H86" s="5" t="s">
        <v>124</v>
      </c>
      <c r="I86" s="6"/>
      <c r="J86" s="6"/>
      <c r="K86" s="51"/>
      <c r="L86" s="18"/>
    </row>
    <row r="87" spans="1:12" ht="21.75">
      <c r="A87" s="73" t="s">
        <v>52</v>
      </c>
      <c r="B87" s="6" t="s">
        <v>18</v>
      </c>
      <c r="C87" s="30">
        <v>180</v>
      </c>
      <c r="D87" s="30">
        <v>260</v>
      </c>
      <c r="E87" s="30">
        <v>150</v>
      </c>
      <c r="F87" s="30">
        <v>270</v>
      </c>
      <c r="G87" s="7">
        <f t="shared" si="11"/>
        <v>4.7619047619047619</v>
      </c>
      <c r="H87" s="5" t="s">
        <v>129</v>
      </c>
      <c r="I87" s="6"/>
      <c r="J87" s="6"/>
      <c r="K87" s="51"/>
      <c r="L87" s="18"/>
    </row>
    <row r="88" spans="1:12" ht="21.75">
      <c r="A88" s="73" t="s">
        <v>58</v>
      </c>
      <c r="B88" s="6" t="s">
        <v>18</v>
      </c>
      <c r="C88" s="30">
        <v>200</v>
      </c>
      <c r="D88" s="30">
        <v>225</v>
      </c>
      <c r="E88" s="30">
        <v>200</v>
      </c>
      <c r="F88" s="30">
        <v>220</v>
      </c>
      <c r="G88" s="7">
        <f t="shared" si="12"/>
        <v>1.1904761904761905</v>
      </c>
      <c r="H88" s="5" t="s">
        <v>122</v>
      </c>
      <c r="I88" s="6"/>
      <c r="J88" s="6"/>
      <c r="K88" s="51"/>
      <c r="L88" s="18"/>
    </row>
    <row r="89" spans="1:12" ht="21.75">
      <c r="A89" s="73" t="s">
        <v>62</v>
      </c>
      <c r="B89" s="6" t="s">
        <v>18</v>
      </c>
      <c r="C89" s="30">
        <v>160</v>
      </c>
      <c r="D89" s="30">
        <v>185</v>
      </c>
      <c r="E89" s="30">
        <v>170</v>
      </c>
      <c r="F89" s="30">
        <v>185</v>
      </c>
      <c r="G89" s="7">
        <f t="shared" si="12"/>
        <v>-2.8169014084507045</v>
      </c>
      <c r="H89" s="5" t="s">
        <v>123</v>
      </c>
      <c r="I89" s="6"/>
      <c r="J89" s="6"/>
      <c r="K89" s="51"/>
      <c r="L89" s="18"/>
    </row>
    <row r="90" spans="1:12" ht="21.75">
      <c r="A90" s="73" t="s">
        <v>71</v>
      </c>
      <c r="B90" s="6" t="s">
        <v>18</v>
      </c>
      <c r="C90" s="30">
        <v>105</v>
      </c>
      <c r="D90" s="30">
        <v>115</v>
      </c>
      <c r="E90" s="30">
        <v>105</v>
      </c>
      <c r="F90" s="30">
        <v>110</v>
      </c>
      <c r="G90" s="7">
        <f t="shared" si="12"/>
        <v>2.3255813953488373</v>
      </c>
      <c r="H90" s="5" t="s">
        <v>120</v>
      </c>
      <c r="I90" s="6"/>
      <c r="J90" s="6"/>
      <c r="K90" s="51"/>
      <c r="L90" s="18"/>
    </row>
    <row r="91" spans="1:12" ht="21.75">
      <c r="A91" s="73" t="s">
        <v>77</v>
      </c>
      <c r="B91" s="6" t="s">
        <v>78</v>
      </c>
      <c r="C91" s="30">
        <v>83500</v>
      </c>
      <c r="D91" s="30">
        <v>86000</v>
      </c>
      <c r="E91" s="30">
        <v>83500</v>
      </c>
      <c r="F91" s="30">
        <v>87000</v>
      </c>
      <c r="G91" s="7">
        <f t="shared" si="12"/>
        <v>-0.5865102639296188</v>
      </c>
      <c r="H91" s="5" t="s">
        <v>119</v>
      </c>
      <c r="I91" s="6"/>
      <c r="J91" s="6"/>
      <c r="K91" s="51"/>
      <c r="L91" s="18"/>
    </row>
    <row r="92" spans="1:12" ht="21.75">
      <c r="A92" s="73" t="s">
        <v>79</v>
      </c>
      <c r="B92" s="6" t="s">
        <v>78</v>
      </c>
      <c r="C92" s="30">
        <v>75000</v>
      </c>
      <c r="D92" s="38">
        <v>79000</v>
      </c>
      <c r="E92" s="30">
        <v>78500</v>
      </c>
      <c r="F92" s="38">
        <v>80000</v>
      </c>
      <c r="G92" s="7">
        <f t="shared" si="12"/>
        <v>-2.8391167192429023</v>
      </c>
      <c r="H92" s="5" t="s">
        <v>119</v>
      </c>
      <c r="I92" s="6"/>
      <c r="J92" s="6"/>
      <c r="K92" s="51"/>
      <c r="L92" s="18"/>
    </row>
    <row r="93" spans="1:12" ht="21.75">
      <c r="A93" s="76"/>
      <c r="B93" s="3"/>
      <c r="C93" s="84"/>
      <c r="D93" s="84"/>
      <c r="E93" s="84"/>
      <c r="F93" s="84"/>
      <c r="G93" s="10"/>
      <c r="H93" s="1"/>
      <c r="I93" s="3"/>
      <c r="J93" s="3"/>
      <c r="K93" s="51"/>
      <c r="L93" s="18"/>
    </row>
    <row r="94" spans="1:12" ht="24.75">
      <c r="A94" s="1"/>
      <c r="B94" s="3"/>
      <c r="C94" s="9"/>
      <c r="D94" s="9"/>
      <c r="E94" s="9"/>
      <c r="F94" s="9"/>
      <c r="G94" s="10"/>
      <c r="H94" s="1"/>
      <c r="I94" s="3"/>
      <c r="J94" s="3"/>
      <c r="K94" s="12"/>
      <c r="L94" s="12"/>
    </row>
    <row r="95" spans="1:12" ht="24.75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4.75">
      <c r="A96" s="1"/>
      <c r="B96" s="14"/>
      <c r="C96" s="15"/>
      <c r="D96" s="15"/>
      <c r="E96" s="14"/>
      <c r="F96" s="15"/>
      <c r="G96" s="39"/>
      <c r="H96" s="40"/>
      <c r="I96" s="41"/>
      <c r="J96" s="41"/>
      <c r="K96" s="41"/>
      <c r="L96" s="12"/>
    </row>
    <row r="97" spans="1:12" ht="24.75">
      <c r="A97" s="1"/>
      <c r="B97" s="42"/>
      <c r="C97" s="43" t="s">
        <v>117</v>
      </c>
      <c r="D97" s="11"/>
      <c r="E97" s="42"/>
      <c r="F97" s="14"/>
      <c r="G97" s="11"/>
      <c r="H97" s="40"/>
      <c r="I97" s="13"/>
      <c r="J97" s="14" t="s">
        <v>115</v>
      </c>
      <c r="K97" s="11"/>
      <c r="L97" s="11"/>
    </row>
    <row r="98" spans="1:12" ht="24.75">
      <c r="A98" s="1"/>
      <c r="B98" s="44"/>
      <c r="C98" s="43" t="s">
        <v>118</v>
      </c>
      <c r="D98" s="14"/>
      <c r="E98" s="42"/>
      <c r="F98" s="45"/>
      <c r="G98" s="47"/>
      <c r="H98" s="47"/>
      <c r="I98" s="80"/>
      <c r="J98" s="14" t="s">
        <v>116</v>
      </c>
      <c r="K98" s="14"/>
      <c r="L98" s="14"/>
    </row>
    <row r="99" spans="1:12" ht="24.75">
      <c r="A99" s="1"/>
      <c r="B99" s="14"/>
      <c r="C99" s="15"/>
      <c r="D99" s="14"/>
      <c r="E99" s="15"/>
      <c r="F99" s="45"/>
      <c r="G99" s="47"/>
      <c r="H99" s="47"/>
      <c r="I99" s="46"/>
      <c r="J99" s="11"/>
      <c r="K99" s="11"/>
      <c r="L99" s="2"/>
    </row>
    <row r="100" spans="1:12" ht="19.5">
      <c r="A100" s="56" t="s">
        <v>95</v>
      </c>
      <c r="B100" s="54"/>
      <c r="C100" s="52"/>
      <c r="D100" s="54"/>
      <c r="E100" s="52"/>
      <c r="F100" s="52"/>
      <c r="G100" s="52"/>
      <c r="H100" s="53"/>
      <c r="I100" s="58"/>
      <c r="J100" s="2"/>
      <c r="K100" s="2"/>
      <c r="L100" s="2"/>
    </row>
    <row r="101" spans="1:12" ht="19.5">
      <c r="A101" s="55" t="s">
        <v>101</v>
      </c>
      <c r="B101" s="54"/>
      <c r="C101" s="52"/>
      <c r="D101" s="54"/>
      <c r="E101" s="52"/>
      <c r="F101" s="52"/>
      <c r="G101" s="54"/>
      <c r="H101" s="53"/>
      <c r="I101" s="58"/>
      <c r="J101" s="2"/>
      <c r="K101" s="2"/>
      <c r="L101" s="2"/>
    </row>
    <row r="102" spans="1:12" ht="19.5">
      <c r="A102" s="55" t="s">
        <v>100</v>
      </c>
      <c r="B102" s="54"/>
      <c r="C102" s="54"/>
      <c r="D102" s="54"/>
      <c r="E102" s="54"/>
      <c r="F102" s="52"/>
      <c r="G102" s="54"/>
      <c r="H102" s="53"/>
      <c r="I102" s="58"/>
      <c r="J102" s="2"/>
      <c r="K102" s="2"/>
      <c r="L102" s="2"/>
    </row>
    <row r="103" spans="1:12" ht="19.5">
      <c r="A103" s="55" t="s">
        <v>85</v>
      </c>
      <c r="B103" s="54"/>
      <c r="C103" s="54"/>
      <c r="D103" s="54"/>
      <c r="E103" s="54"/>
      <c r="F103" s="53"/>
      <c r="G103" s="53"/>
      <c r="H103" s="53"/>
      <c r="I103" s="58"/>
      <c r="J103" s="2"/>
      <c r="K103" s="2"/>
      <c r="L103" s="2"/>
    </row>
    <row r="104" spans="1:12" ht="19.5">
      <c r="A104" s="55" t="s">
        <v>99</v>
      </c>
      <c r="B104" s="54"/>
      <c r="C104" s="54"/>
      <c r="D104" s="54"/>
      <c r="E104" s="54"/>
      <c r="F104" s="54"/>
      <c r="G104" s="53"/>
      <c r="H104" s="53"/>
      <c r="I104" s="58"/>
      <c r="J104" s="2"/>
      <c r="K104" s="2"/>
      <c r="L104" s="2"/>
    </row>
    <row r="105" spans="1:12" ht="19.5">
      <c r="A105" s="55" t="s">
        <v>98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109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97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96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86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103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102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104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105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87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/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6" t="s">
        <v>88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89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90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91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">
      <c r="A120" s="60"/>
      <c r="B120" s="58"/>
      <c r="C120" s="58"/>
      <c r="D120" s="58"/>
      <c r="E120" s="58"/>
      <c r="F120" s="58"/>
      <c r="G120" s="58"/>
      <c r="H120" s="61"/>
      <c r="I120" s="59"/>
      <c r="J120" s="12"/>
      <c r="K120" s="12"/>
      <c r="L120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2025-08-27T09:17:51Z</cp:lastPrinted>
  <dcterms:created xsi:type="dcterms:W3CDTF">2021-06-05T07:13:00Z</dcterms:created>
  <dcterms:modified xsi:type="dcterms:W3CDTF">2025-09-03T08:00:58Z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