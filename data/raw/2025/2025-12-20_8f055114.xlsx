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3D3D129D-FB23-8A4C-94DF-E3DC0EB104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6" i="4"/>
  <c r="G83" i="4"/>
  <c r="G85" i="4"/>
  <c r="G90" i="4"/>
  <c r="G84" i="4"/>
  <c r="G89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<sst xmlns="http://schemas.openxmlformats.org/spreadsheetml/2006/main" count="237" uniqueCount="134">
  <si>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</si>
  <si>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</si>
  <si>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</si>
  <si>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</si>
  <si>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</si>
  <si>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</si>
  <si>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</si>
  <si>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</si>
  <si>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</si>
  <si>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</si>
  <si>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</si>
  <si>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</si>
  <si>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</si>
  <si>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</si>
  <si>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</si>
  <si>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</si>
  <si>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</si>
  <si>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</si>
  <si>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</si>
  <si>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</si>
  <si>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</si>
  <si>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</si>
  <si>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</si>
  <si>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</si>
  <si>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</si>
  <si>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</si>
  <si>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</si>
  <si>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</si>
  <si>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</si>
  <si>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</si>
  <si>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</si>
  <si>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</si>
  <si>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</si>
  <si>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</si>
  <si>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</si>
  <si>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</si>
  <si>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</si>
  <si>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</si>
  <si>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</si>
  <si>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</si>
  <si>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</si>
  <si>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</si>
  <si>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</si>
  <si>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</si>
  <si>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</si>
  <si>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</si>
  <si>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</si>
  <si>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</si>
  <si>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</si>
  <si>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</si>
  <si>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</si>
  <si>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</si>
  <si>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</si>
  <si>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</si>
  <si>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</si>
  <si>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</si>
  <si>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</si>
  <si>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</si>
  <si>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</si>
  <si>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</si>
  <si>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</si>
  <si>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</si>
  <si>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</si>
  <si>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</si>
  <si>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</si>
  <si>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</si>
  <si>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</si>
  <si>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</si>
  <si>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</si>
  <si>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</si>
  <si>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</si>
  <si>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</si>
  <si>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</si>
  <si>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</si>
  <si>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</si>
  <si>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</si>
  <si>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</si>
  <si>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</si>
  <si>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</si>
  <si>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</si>
  <si>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</si>
  <si>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</si>
  <si>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</si>
  <si>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</si>
  <si>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</si>
  <si>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</si>
  <si>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</si>
  <si>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</si>
  <si>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</si>
  <si>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</si>
  <si>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</si>
  <si>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</si>
  <si>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</si>
  <si>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</si>
  <si>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</si>
  <si>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</si>
  <si>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</si>
  <si>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</si>
  <si>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</si>
  <si>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</si>
  <si>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</si>
  <si>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</si>
  <si>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</si>
  <si>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</si>
  <si>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</si>
  <si>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</si>
  <si>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</si>
  <si>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</si>
  <si>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</si>
  <si>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</si>
  <si>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</si>
  <si>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</si>
  <si>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</si>
  <si>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</si>
  <si>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</si>
  <si>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</si>
  <si>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</si>
  <si>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</si>
  <si>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</si>
  <si>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</si>
  <si>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>১৪-১২-২০২৫ তারিখে মূল্য হ্রাস পেয়েছে।</t>
  </si>
  <si>
    <t>১৫-১২-২০২৫ তারিখে মূল্য বৃদ্ধি পেয়েছে।</t>
  </si>
  <si>
    <t>১৫-১২-২০২৫ তারিখে মূল্য হ্রাস পেয়েছে।</t>
  </si>
  <si>
    <t>১৭-১২-২০২৫ তারিখে মূল্য হ্রাস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</si>
  <si>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</si>
  <si>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</si>
  <si>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(১ )    পাম অয়েল লুজ, ছোলা, পেঁয়াজ (দেশী), এম এস রড (৬০ গ্রেড)    এর মূল্য হ্রাস পেয়েছে।</t>
  </si>
  <si>
    <t>স্মারক নং-২৬.০৫.০০০০.০১৭.৩১.০১.২৫-৯৩৫</t>
  </si>
  <si>
    <t xml:space="preserve">শনিবার ২০ ডিসেম্বর ২০২৫ খ্রিঃ, ০৫ পৌষ ১৪৩২ বাংলা, ২৮ জমা-সানি ১৪৪৭ হিজরি </t>
  </si>
  <si>
    <t xml:space="preserve">   সিরিয়াল নংঃ     ৩১৬</t>
  </si>
  <si>
    <t>১৯-১২-২০২৫ তারিখে মূল্য বৃদ্ধি পেয়েছে।</t>
  </si>
  <si>
    <t>২০-১২-২০২৫ তারিখে মূল্য বৃদ্ধি পেয়েছে।</t>
  </si>
  <si>
    <t>(২)     সয়াবিন তেল লুজ,  আলু, রশুন (দেশী), মুরগী ব্রয়লার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</si>
</sst>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F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129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128</v>
      </c>
      <c r="G5" s="8"/>
      <c r="H5" s="8"/>
      <c r="I5" s="8"/>
      <c r="J5" s="8"/>
      <c r="K5" s="8"/>
      <c r="L5" s="49"/>
    </row>
    <row r="6" spans="1:12" ht="21" x14ac:dyDescent="0.2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46011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46011</v>
      </c>
      <c r="D8" s="88"/>
      <c r="E8" s="89">
        <v>46004</v>
      </c>
      <c r="F8" s="88"/>
      <c r="G8" s="89">
        <v>45981</v>
      </c>
      <c r="H8" s="88"/>
      <c r="I8" s="26" t="s">
        <v>12</v>
      </c>
      <c r="J8" s="89">
        <v>45646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1.4285714285714286</v>
      </c>
      <c r="J19" s="29">
        <v>163</v>
      </c>
      <c r="K19" s="29">
        <v>165</v>
      </c>
      <c r="L19" s="31">
        <f t="shared" ref="L19:L25" si="1">((C19+D19)/2-(J19+K19)/2)/((J19+K19)/2)*100</f>
        <v>8.2317073170731714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815</v>
      </c>
      <c r="K20" s="29">
        <v>850</v>
      </c>
      <c r="L20" s="31">
        <f t="shared" si="1"/>
        <v>13.213213213213212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167</v>
      </c>
      <c r="K22" s="29">
        <v>175</v>
      </c>
      <c r="L22" s="31">
        <f t="shared" si="1"/>
        <v>13.157894736842104</v>
      </c>
    </row>
    <row r="23" spans="1:12" ht="21" x14ac:dyDescent="0.3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150</v>
      </c>
      <c r="H23" s="29">
        <v>162</v>
      </c>
      <c r="I23" s="30">
        <f t="shared" si="0"/>
        <v>0</v>
      </c>
      <c r="J23" s="29">
        <v>156</v>
      </c>
      <c r="K23" s="29">
        <v>157</v>
      </c>
      <c r="L23" s="31">
        <f t="shared" si="1"/>
        <v>-0.31948881789137379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" x14ac:dyDescent="0.3">
      <c r="A32" s="69" t="s">
        <v>41</v>
      </c>
      <c r="B32" s="6" t="s">
        <v>18</v>
      </c>
      <c r="C32" s="29">
        <v>90</v>
      </c>
      <c r="D32" s="29">
        <v>110</v>
      </c>
      <c r="E32" s="29">
        <v>95</v>
      </c>
      <c r="F32" s="29">
        <v>110</v>
      </c>
      <c r="G32" s="29">
        <v>100</v>
      </c>
      <c r="H32" s="29">
        <v>110</v>
      </c>
      <c r="I32" s="30">
        <f t="shared" si="2"/>
        <v>-4.7619047619047619</v>
      </c>
      <c r="J32" s="29">
        <v>125</v>
      </c>
      <c r="K32" s="29">
        <v>135</v>
      </c>
      <c r="L32" s="31">
        <f t="shared" si="3"/>
        <v>-23.076923076923077</v>
      </c>
    </row>
    <row r="33" spans="1:12" ht="21" x14ac:dyDescent="0.3">
      <c r="A33" s="69" t="s">
        <v>117</v>
      </c>
      <c r="B33" s="6" t="s">
        <v>18</v>
      </c>
      <c r="C33" s="29">
        <v>20</v>
      </c>
      <c r="D33" s="29">
        <v>40</v>
      </c>
      <c r="E33" s="29">
        <v>20</v>
      </c>
      <c r="F33" s="29">
        <v>30</v>
      </c>
      <c r="G33" s="29">
        <v>20</v>
      </c>
      <c r="H33" s="29">
        <v>25</v>
      </c>
      <c r="I33" s="30">
        <f t="shared" si="2"/>
        <v>33.333333333333329</v>
      </c>
      <c r="J33" s="29">
        <v>60</v>
      </c>
      <c r="K33" s="29">
        <v>80</v>
      </c>
      <c r="L33" s="31">
        <f t="shared" si="3"/>
        <v>-57.142857142857139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118</v>
      </c>
      <c r="B35" s="6" t="s">
        <v>18</v>
      </c>
      <c r="C35" s="29">
        <v>80</v>
      </c>
      <c r="D35" s="29">
        <v>140</v>
      </c>
      <c r="E35" s="29">
        <v>100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0</v>
      </c>
      <c r="J35" s="29">
        <v>80</v>
      </c>
      <c r="K35" s="29">
        <v>120</v>
      </c>
      <c r="L35" s="31">
        <f t="shared" ref="L35:L50" si="5">((C35+D35)/2-(J35+K35)/2)/((J35+K35)/2)*100</f>
        <v>10</v>
      </c>
    </row>
    <row r="36" spans="1:12" ht="21" x14ac:dyDescent="0.3">
      <c r="A36" s="69" t="s">
        <v>43</v>
      </c>
      <c r="B36" s="6" t="s">
        <v>18</v>
      </c>
      <c r="C36" s="29">
        <v>100</v>
      </c>
      <c r="D36" s="29">
        <v>110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70</v>
      </c>
      <c r="K36" s="29">
        <v>90</v>
      </c>
      <c r="L36" s="31">
        <f t="shared" si="5"/>
        <v>31.25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60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150</v>
      </c>
      <c r="D43" s="29">
        <v>200</v>
      </c>
      <c r="E43" s="29">
        <v>0</v>
      </c>
      <c r="F43" s="29">
        <v>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270</v>
      </c>
      <c r="L44" s="31">
        <f t="shared" si="5"/>
        <v>-2.6315789473684208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1300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4800</v>
      </c>
      <c r="H48" s="29">
        <v>5500</v>
      </c>
      <c r="I48" s="30">
        <f t="shared" si="4"/>
        <v>-2.912621359223301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150</v>
      </c>
      <c r="D56" s="29">
        <v>170</v>
      </c>
      <c r="E56" s="29">
        <v>145</v>
      </c>
      <c r="F56" s="29">
        <v>170</v>
      </c>
      <c r="G56" s="29">
        <v>160</v>
      </c>
      <c r="H56" s="29">
        <v>190</v>
      </c>
      <c r="I56" s="30">
        <f t="shared" si="6"/>
        <v>-8.5714285714285712</v>
      </c>
      <c r="J56" s="29">
        <v>170</v>
      </c>
      <c r="K56" s="29">
        <v>200</v>
      </c>
      <c r="L56" s="31">
        <f t="shared" si="7"/>
        <v>-13.513513513513514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46011</v>
      </c>
      <c r="D67" s="88"/>
      <c r="E67" s="89">
        <v>46004</v>
      </c>
      <c r="F67" s="88"/>
      <c r="G67" s="89">
        <v>45981</v>
      </c>
      <c r="H67" s="88"/>
      <c r="I67" s="26" t="s">
        <v>12</v>
      </c>
      <c r="J67" s="89">
        <v>45646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0</v>
      </c>
      <c r="J69" s="29">
        <v>125</v>
      </c>
      <c r="K69" s="29">
        <v>127</v>
      </c>
      <c r="L69" s="31">
        <f t="shared" ref="L69:L75" si="8">((C69+D69)/2-(J69+K69)/2)/((J69+K69)/2)*100</f>
        <v>-18.650793650793652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80000</v>
      </c>
      <c r="D74" s="29">
        <v>85000</v>
      </c>
      <c r="E74" s="29">
        <v>81000</v>
      </c>
      <c r="F74" s="29">
        <v>86000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132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27</v>
      </c>
      <c r="B83" s="6" t="s">
        <v>28</v>
      </c>
      <c r="C83" s="29">
        <v>170</v>
      </c>
      <c r="D83" s="29">
        <v>185</v>
      </c>
      <c r="E83" s="29">
        <v>170</v>
      </c>
      <c r="F83" s="29">
        <v>180</v>
      </c>
      <c r="G83" s="7">
        <f t="shared" ref="G83:G88" si="10">((C83+D83)/2-(E83+F83)/2)/((E83+F83)/2)*100</f>
        <v>1.4285714285714286</v>
      </c>
      <c r="H83" s="5" t="s">
        <v>131</v>
      </c>
      <c r="I83" s="6"/>
      <c r="J83" s="6"/>
      <c r="K83" s="50"/>
      <c r="L83" s="17"/>
    </row>
    <row r="84" spans="1:12" ht="21" x14ac:dyDescent="0.3">
      <c r="A84" s="69" t="s">
        <v>33</v>
      </c>
      <c r="B84" s="6" t="s">
        <v>28</v>
      </c>
      <c r="C84" s="29">
        <v>150</v>
      </c>
      <c r="D84" s="29">
        <v>162</v>
      </c>
      <c r="E84" s="29">
        <v>152</v>
      </c>
      <c r="F84" s="29">
        <v>162</v>
      </c>
      <c r="G84" s="7">
        <f t="shared" si="10"/>
        <v>-0.63694267515923575</v>
      </c>
      <c r="H84" s="5" t="s">
        <v>120</v>
      </c>
      <c r="I84" s="6"/>
      <c r="J84" s="6"/>
      <c r="K84" s="50"/>
      <c r="L84" s="17"/>
    </row>
    <row r="85" spans="1:12" ht="21" x14ac:dyDescent="0.3">
      <c r="A85" s="69" t="s">
        <v>41</v>
      </c>
      <c r="B85" s="6" t="s">
        <v>18</v>
      </c>
      <c r="C85" s="29">
        <v>90</v>
      </c>
      <c r="D85" s="29">
        <v>110</v>
      </c>
      <c r="E85" s="29">
        <v>95</v>
      </c>
      <c r="F85" s="29">
        <v>110</v>
      </c>
      <c r="G85" s="7">
        <f t="shared" ref="G85:G90" si="11">((C85+D85)/2-(E85+F85)/2)/((E85+F85)/2)*100</f>
        <v>-2.4390243902439024</v>
      </c>
      <c r="H85" s="5" t="s">
        <v>120</v>
      </c>
      <c r="I85" s="6"/>
      <c r="J85" s="6"/>
      <c r="K85" s="50"/>
      <c r="L85" s="17"/>
    </row>
    <row r="86" spans="1:12" ht="21" x14ac:dyDescent="0.3">
      <c r="A86" s="69" t="s">
        <v>117</v>
      </c>
      <c r="B86" s="6" t="s">
        <v>18</v>
      </c>
      <c r="C86" s="29">
        <v>20</v>
      </c>
      <c r="D86" s="29">
        <v>40</v>
      </c>
      <c r="E86" s="29">
        <v>20</v>
      </c>
      <c r="F86" s="29">
        <v>30</v>
      </c>
      <c r="G86" s="7">
        <f t="shared" si="10"/>
        <v>20</v>
      </c>
      <c r="H86" s="5" t="s">
        <v>131</v>
      </c>
      <c r="I86" s="6"/>
      <c r="J86" s="6"/>
      <c r="K86" s="50"/>
      <c r="L86" s="17"/>
    </row>
    <row r="87" spans="1:12" ht="21" x14ac:dyDescent="0.3">
      <c r="A87" s="83" t="s">
        <v>118</v>
      </c>
      <c r="B87" s="6" t="s">
        <v>18</v>
      </c>
      <c r="C87" s="29">
        <v>80</v>
      </c>
      <c r="D87" s="29">
        <v>140</v>
      </c>
      <c r="E87" s="29">
        <v>100</v>
      </c>
      <c r="F87" s="29">
        <v>140</v>
      </c>
      <c r="G87" s="7">
        <f t="shared" si="11"/>
        <v>-8.3333333333333321</v>
      </c>
      <c r="H87" s="5" t="s">
        <v>122</v>
      </c>
      <c r="I87" s="6"/>
      <c r="J87" s="6"/>
      <c r="K87" s="50"/>
      <c r="L87" s="17"/>
    </row>
    <row r="88" spans="1:12" ht="21" x14ac:dyDescent="0.3">
      <c r="A88" s="69" t="s">
        <v>44</v>
      </c>
      <c r="B88" s="6" t="s">
        <v>18</v>
      </c>
      <c r="C88" s="29">
        <v>80</v>
      </c>
      <c r="D88" s="29">
        <v>140</v>
      </c>
      <c r="E88" s="29">
        <v>60</v>
      </c>
      <c r="F88" s="29">
        <v>140</v>
      </c>
      <c r="G88" s="7">
        <f t="shared" si="10"/>
        <v>10</v>
      </c>
      <c r="H88" s="5" t="s">
        <v>130</v>
      </c>
      <c r="I88" s="6"/>
      <c r="J88" s="6"/>
      <c r="K88" s="50"/>
      <c r="L88" s="17"/>
    </row>
    <row r="89" spans="1:12" ht="21" x14ac:dyDescent="0.3">
      <c r="A89" s="69" t="s">
        <v>61</v>
      </c>
      <c r="B89" s="6" t="s">
        <v>18</v>
      </c>
      <c r="C89" s="29">
        <v>150</v>
      </c>
      <c r="D89" s="29">
        <v>170</v>
      </c>
      <c r="E89" s="29">
        <v>145</v>
      </c>
      <c r="F89" s="29">
        <v>170</v>
      </c>
      <c r="G89" s="7">
        <f t="shared" si="11"/>
        <v>1.5873015873015872</v>
      </c>
      <c r="H89" s="5" t="s">
        <v>121</v>
      </c>
      <c r="I89" s="6"/>
      <c r="J89" s="6"/>
      <c r="K89" s="50"/>
      <c r="L89" s="17"/>
    </row>
    <row r="90" spans="1:12" ht="23.25" x14ac:dyDescent="0.3">
      <c r="A90" s="69" t="s">
        <v>76</v>
      </c>
      <c r="B90" s="6" t="s">
        <v>77</v>
      </c>
      <c r="C90" s="29">
        <v>80000</v>
      </c>
      <c r="D90" s="29">
        <v>85000</v>
      </c>
      <c r="E90" s="29">
        <v>81000</v>
      </c>
      <c r="F90" s="29">
        <v>86000</v>
      </c>
      <c r="G90" s="7">
        <f t="shared" si="11"/>
        <v>-1.1976047904191618</v>
      </c>
      <c r="H90" s="5" t="s">
        <v>123</v>
      </c>
      <c r="I90" s="6"/>
      <c r="J90" s="6"/>
      <c r="K90" s="40"/>
      <c r="L90" s="11"/>
    </row>
    <row r="91" spans="1:12" ht="23.25" x14ac:dyDescent="0.3">
      <c r="A91" s="72"/>
      <c r="B91" s="3"/>
      <c r="C91" s="78"/>
      <c r="D91" s="78"/>
      <c r="E91" s="78"/>
      <c r="F91" s="78"/>
      <c r="G91" s="9"/>
      <c r="H91" s="39"/>
      <c r="I91" s="40"/>
      <c r="J91" s="40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41"/>
      <c r="B94" s="42" t="s">
        <v>112</v>
      </c>
      <c r="C94" s="10"/>
      <c r="E94" s="84"/>
      <c r="F94" s="85" t="s">
        <v>115</v>
      </c>
      <c r="G94" s="86"/>
      <c r="I94" s="12"/>
      <c r="J94" s="13" t="s">
        <v>124</v>
      </c>
      <c r="K94" s="10"/>
    </row>
    <row r="95" spans="1:12" ht="23.25" x14ac:dyDescent="0.3">
      <c r="A95" s="43"/>
      <c r="B95" s="42" t="s">
        <v>113</v>
      </c>
      <c r="C95" s="13"/>
      <c r="E95" s="43"/>
      <c r="F95" s="85" t="s">
        <v>116</v>
      </c>
      <c r="G95" s="86"/>
      <c r="I95" s="76"/>
      <c r="J95" s="13" t="s">
        <v>125</v>
      </c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2025-12-18T09:58:32Z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