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C1AB85DB-5635-466D-B713-DAA87252DA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9" i="4"/>
  <c r="G85" i="4"/>
  <c r="G90" i="4"/>
  <c r="G91" i="4"/>
  <c r="G86" i="4"/>
  <c r="G84" i="4"/>
  <c r="G87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<sst xmlns="http://schemas.openxmlformats.org/spreadsheetml/2006/main" count="240" uniqueCount="133">
  <si>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</si>
  <si>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</si>
  <si>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</si>
  <si>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</si>
  <si>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</si>
  <si>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</si>
  <si>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</si>
  <si>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</si>
  <si>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</si>
  <si>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</si>
  <si>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</si>
  <si>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</si>
  <si>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</si>
  <si>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</si>
  <si>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</si>
  <si>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</si>
  <si>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</si>
  <si>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</si>
  <si>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</si>
  <si>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</si>
  <si>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</si>
  <si>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</si>
  <si>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</si>
  <si>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</si>
  <si>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</si>
  <si>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</si>
  <si>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</si>
  <si>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</si>
  <si>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</si>
  <si>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</si>
  <si>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</si>
  <si>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</si>
  <si>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</si>
  <si>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</si>
  <si>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</si>
  <si>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</si>
  <si>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</si>
  <si>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</si>
  <si>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</si>
  <si>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</si>
  <si>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</si>
  <si>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</si>
  <si>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</si>
  <si>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</si>
  <si>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</si>
  <si>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</si>
  <si>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</si>
  <si>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</si>
  <si>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</si>
  <si>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</si>
  <si>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</si>
  <si>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</si>
  <si>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</si>
  <si>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</si>
  <si>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</si>
  <si>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</si>
  <si>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</si>
  <si>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</si>
  <si>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</si>
  <si>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</si>
  <si>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</si>
  <si>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</si>
  <si>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</si>
  <si>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</si>
  <si>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</si>
  <si>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</si>
  <si>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</si>
  <si>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</si>
  <si>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</si>
  <si>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</si>
  <si>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</si>
  <si>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</si>
  <si>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</si>
  <si>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</si>
  <si>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</si>
  <si>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</si>
  <si>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</si>
  <si>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</si>
  <si>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</si>
  <si>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</si>
  <si>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</si>
  <si>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</si>
  <si>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</si>
  <si>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</si>
  <si>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</si>
  <si>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</si>
  <si>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</si>
  <si>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</si>
  <si>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</si>
  <si>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</si>
  <si>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</si>
  <si>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</si>
  <si>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</si>
  <si>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</si>
  <si>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</si>
  <si>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</si>
  <si>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</si>
  <si>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</si>
  <si>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</si>
  <si>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</si>
  <si>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</si>
  <si>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</si>
  <si>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</si>
  <si>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</si>
  <si>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</si>
  <si>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</si>
  <si>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</si>
  <si>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</si>
  <si>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</si>
  <si>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</si>
  <si>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</si>
  <si>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</si>
  <si>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</si>
  <si>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</si>
  <si>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</si>
  <si>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</si>
  <si>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</si>
  <si>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</si>
  <si>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</si>
  <si>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০১-১২-২০২৫ তারিখে মূল্য হ্রাস পেয়েছে।</t>
  </si>
  <si>
    <t>০২-১২-২০২৫ তারিখে মূল্য হ্রাস পেয়েছে।</t>
  </si>
  <si>
    <t xml:space="preserve">০৩-১২-২০২৫ তারিখে মূল্য বৃদ্ধি পেয়েছে এবং </t>
  </si>
  <si>
    <t>কাওরান বাজার ও বনানী বাজারে পাওয়া যাচ্ছে।</t>
  </si>
  <si>
    <t xml:space="preserve">অধিক মূল্যের বোতলজাত সয়াবিন তেল </t>
  </si>
  <si>
    <t>স্মারক নং-২৬.০৫.০০০০.০১৭.৩১.০১.২৫-৮৮৫</t>
  </si>
  <si>
    <t xml:space="preserve">রবিবার ০৭ ডিসেম্বর ২০২৫ খ্রিঃ, ২২ অগ্রহায়ন ১৪৩২ বাংলা, ১৫ জমা-সানি ১৪৪৭ হিজরি </t>
  </si>
  <si>
    <t xml:space="preserve">   সিরিয়াল নংঃ     ৩০৪</t>
  </si>
  <si>
    <t>আলু (নতুন/পুরাতন)</t>
  </si>
  <si>
    <t>০৭-১২-২০২৫ তারিখে মূল্য বৃদ্ধি পেয়েছে।</t>
  </si>
  <si>
    <t>(২ )   সয়াবিন তেল (১লিঃ, ২লিঃ, ৫লিঃ বোতল), আলু, পেঁয়াজ (দেশী),   এর মূল্য বৃদ্ধি পেয়েছে।</t>
  </si>
  <si>
    <t>(১ )   চাল (মাঝারী), মসুর ডাল (বড়), রশুন (দেশী), ডিম  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</si>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</sst>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3"/>
      <color theme="1"/>
      <name val="NikoshBAN"/>
    </font>
    <font>
      <b/>
      <sz val="14"/>
      <color theme="1"/>
      <name val="NikoshBAN"/>
    </font>
    <font>
      <b/>
      <sz val="12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16" fillId="0" borderId="12" xfId="3" applyFont="1" applyBorder="1" applyAlignment="1">
      <alignment vertical="center"/>
    </xf>
    <xf numFmtId="0" fontId="28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center" vertical="center"/>
    </xf>
    <xf numFmtId="167" fontId="29" fillId="0" borderId="1" xfId="1" applyNumberFormat="1" applyFont="1" applyFill="1" applyBorder="1" applyAlignment="1">
      <alignment horizontal="center" vertical="center"/>
    </xf>
    <xf numFmtId="167" fontId="29" fillId="0" borderId="2" xfId="1" applyNumberFormat="1" applyFont="1" applyFill="1" applyBorder="1" applyAlignment="1">
      <alignment horizontal="center" vertical="center"/>
    </xf>
    <xf numFmtId="0" fontId="30" fillId="0" borderId="12" xfId="3" applyFont="1" applyBorder="1" applyAlignment="1">
      <alignment horizontal="center" vertical="top"/>
    </xf>
    <xf numFmtId="0" fontId="30" fillId="0" borderId="0" xfId="3" applyFont="1" applyAlignment="1">
      <alignment horizontal="center" vertical="top"/>
    </xf>
    <xf numFmtId="0" fontId="30" fillId="0" borderId="8" xfId="3" applyFont="1" applyBorder="1" applyAlignment="1">
      <alignment horizontal="center" vertical="top"/>
    </xf>
    <xf numFmtId="0" fontId="30" fillId="0" borderId="9" xfId="3" applyFont="1" applyBorder="1" applyAlignment="1">
      <alignment horizontal="center" vertical="top"/>
    </xf>
    <xf numFmtId="0" fontId="30" fillId="0" borderId="13" xfId="3" applyFont="1" applyBorder="1" applyAlignment="1">
      <alignment horizontal="center" vertical="top"/>
    </xf>
    <xf numFmtId="0" fontId="30" fillId="0" borderId="7" xfId="3" applyFont="1" applyBorder="1" applyAlignment="1">
      <alignment horizontal="center" vertical="top"/>
    </xf>
    <xf numFmtId="0" fontId="30" fillId="0" borderId="6" xfId="3" applyFont="1" applyBorder="1" applyAlignment="1">
      <alignment horizontal="center" vertical="top"/>
    </xf>
    <xf numFmtId="0" fontId="30" fillId="0" borderId="14" xfId="3" applyFont="1" applyBorder="1" applyAlignment="1">
      <alignment horizontal="center" vertical="top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tabSelected="1" topLeftCell="A91" zoomScale="96" zoomScaleNormal="96" workbookViewId="0">
      <selection activeCell="J96" sqref="J9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103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100" t="s">
        <v>126</v>
      </c>
      <c r="L4" s="99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45998</v>
      </c>
    </row>
    <row r="7" spans="1:12" ht="21.75">
      <c r="A7" s="25" t="s">
        <v>4</v>
      </c>
      <c r="B7" s="26" t="s">
        <v>5</v>
      </c>
      <c r="C7" s="100" t="s">
        <v>6</v>
      </c>
      <c r="D7" s="99"/>
      <c r="E7" s="100" t="s">
        <v>7</v>
      </c>
      <c r="F7" s="99"/>
      <c r="G7" s="100" t="s">
        <v>8</v>
      </c>
      <c r="H7" s="99"/>
      <c r="I7" s="26" t="s">
        <v>9</v>
      </c>
      <c r="J7" s="100" t="s">
        <v>10</v>
      </c>
      <c r="K7" s="99"/>
      <c r="L7" s="27" t="s">
        <v>11</v>
      </c>
    </row>
    <row r="8" spans="1:12" ht="21.75">
      <c r="A8" s="25"/>
      <c r="B8" s="26"/>
      <c r="C8" s="98">
        <v>45998</v>
      </c>
      <c r="D8" s="99"/>
      <c r="E8" s="98">
        <v>45991</v>
      </c>
      <c r="F8" s="99"/>
      <c r="G8" s="98">
        <v>45968</v>
      </c>
      <c r="H8" s="99"/>
      <c r="I8" s="26" t="s">
        <v>12</v>
      </c>
      <c r="J8" s="98">
        <v>45633</v>
      </c>
      <c r="K8" s="99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104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900</v>
      </c>
      <c r="F20" s="29">
        <v>925</v>
      </c>
      <c r="G20" s="29">
        <v>910</v>
      </c>
      <c r="H20" s="29">
        <v>920</v>
      </c>
      <c r="I20" s="30">
        <f t="shared" si="0"/>
        <v>3.0054644808743167</v>
      </c>
      <c r="J20" s="29">
        <v>815</v>
      </c>
      <c r="K20" s="29">
        <v>818</v>
      </c>
      <c r="L20" s="31">
        <f t="shared" si="1"/>
        <v>15.43172075933864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395</v>
      </c>
      <c r="E21" s="29">
        <v>370</v>
      </c>
      <c r="F21" s="29">
        <v>385</v>
      </c>
      <c r="G21" s="29">
        <v>375</v>
      </c>
      <c r="H21" s="29">
        <v>385</v>
      </c>
      <c r="I21" s="30">
        <f t="shared" si="0"/>
        <v>1.3157894736842104</v>
      </c>
      <c r="J21" s="29">
        <v>330</v>
      </c>
      <c r="K21" s="29">
        <v>340</v>
      </c>
      <c r="L21" s="31">
        <f t="shared" si="1"/>
        <v>14.925373134328357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167</v>
      </c>
      <c r="K22" s="29">
        <v>170</v>
      </c>
      <c r="L22" s="31">
        <f t="shared" si="1"/>
        <v>14.836795252225517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157</v>
      </c>
      <c r="K23" s="29">
        <v>159</v>
      </c>
      <c r="L23" s="31">
        <f t="shared" si="1"/>
        <v>-0.63291139240506333</v>
      </c>
    </row>
    <row r="24" spans="1:12" ht="21.75">
      <c r="A24" s="69" t="s">
        <v>105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163</v>
      </c>
      <c r="L24" s="31">
        <f t="shared" si="1"/>
        <v>-1.5384615384615385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-2.5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.75">
      <c r="A28" s="69" t="s">
        <v>109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.75">
      <c r="A33" s="69" t="s">
        <v>127</v>
      </c>
      <c r="B33" s="6" t="s">
        <v>18</v>
      </c>
      <c r="C33" s="29">
        <v>25</v>
      </c>
      <c r="D33" s="29">
        <v>50</v>
      </c>
      <c r="E33" s="29">
        <v>25</v>
      </c>
      <c r="F33" s="29">
        <v>30</v>
      </c>
      <c r="G33" s="29">
        <v>20</v>
      </c>
      <c r="H33" s="29">
        <v>25</v>
      </c>
      <c r="I33" s="30">
        <f t="shared" si="2"/>
        <v>66.666666666666657</v>
      </c>
      <c r="J33" s="29">
        <v>75</v>
      </c>
      <c r="K33" s="29">
        <v>80</v>
      </c>
      <c r="L33" s="31">
        <f t="shared" si="3"/>
        <v>-51.612903225806448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89</v>
      </c>
      <c r="B35" s="6" t="s">
        <v>18</v>
      </c>
      <c r="C35" s="29">
        <v>130</v>
      </c>
      <c r="D35" s="29">
        <v>150</v>
      </c>
      <c r="E35" s="29">
        <v>100</v>
      </c>
      <c r="F35" s="29">
        <v>120</v>
      </c>
      <c r="G35" s="29">
        <v>110</v>
      </c>
      <c r="H35" s="29">
        <v>120</v>
      </c>
      <c r="I35" s="30">
        <f t="shared" ref="I35:I50" si="4">((C35+D35)/2-(G35+H35)/2)/((G35+H35)/2)*100</f>
        <v>21.739130434782609</v>
      </c>
      <c r="J35" s="29">
        <v>115</v>
      </c>
      <c r="K35" s="29">
        <v>130</v>
      </c>
      <c r="L35" s="31">
        <f t="shared" ref="L35:L50" si="5">((C35+D35)/2-(J35+K35)/2)/((J35+K35)/2)*100</f>
        <v>14.285714285714285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240</v>
      </c>
      <c r="K37" s="29">
        <v>270</v>
      </c>
      <c r="L37" s="31">
        <f t="shared" si="5"/>
        <v>-60.784313725490193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170</v>
      </c>
      <c r="E43" s="29">
        <v>140</v>
      </c>
      <c r="F43" s="29">
        <v>170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280</v>
      </c>
      <c r="L44" s="31">
        <f t="shared" si="5"/>
        <v>-5.1282051282051277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550</v>
      </c>
      <c r="L46" s="31">
        <f t="shared" si="5"/>
        <v>5.8823529411764701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90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91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180</v>
      </c>
      <c r="E56" s="29">
        <v>150</v>
      </c>
      <c r="F56" s="29">
        <v>180</v>
      </c>
      <c r="G56" s="29">
        <v>170</v>
      </c>
      <c r="H56" s="29">
        <v>190</v>
      </c>
      <c r="I56" s="30">
        <f t="shared" si="6"/>
        <v>-8.3333333333333321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100" t="s">
        <v>6</v>
      </c>
      <c r="D66" s="99"/>
      <c r="E66" s="100" t="s">
        <v>7</v>
      </c>
      <c r="F66" s="99"/>
      <c r="G66" s="100" t="s">
        <v>8</v>
      </c>
      <c r="H66" s="99"/>
      <c r="I66" s="26" t="s">
        <v>9</v>
      </c>
      <c r="J66" s="100" t="s">
        <v>10</v>
      </c>
      <c r="K66" s="99"/>
      <c r="L66" s="26" t="s">
        <v>11</v>
      </c>
    </row>
    <row r="67" spans="1:12" ht="18" customHeight="1">
      <c r="A67" s="73"/>
      <c r="B67" s="64"/>
      <c r="C67" s="98">
        <v>45998</v>
      </c>
      <c r="D67" s="99"/>
      <c r="E67" s="98">
        <v>45991</v>
      </c>
      <c r="F67" s="99"/>
      <c r="G67" s="98">
        <v>45968</v>
      </c>
      <c r="H67" s="99"/>
      <c r="I67" s="26" t="s">
        <v>12</v>
      </c>
      <c r="J67" s="98">
        <v>45633</v>
      </c>
      <c r="K67" s="99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90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107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40</v>
      </c>
      <c r="F72" s="37">
        <v>48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101" t="s">
        <v>113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</row>
    <row r="77" spans="1:12" ht="21.75">
      <c r="A77" s="15"/>
      <c r="B77" s="4" t="s">
        <v>108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116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80</v>
      </c>
      <c r="B82" s="6" t="s">
        <v>81</v>
      </c>
      <c r="C82" s="103" t="s">
        <v>6</v>
      </c>
      <c r="D82" s="104"/>
      <c r="E82" s="105" t="s">
        <v>82</v>
      </c>
      <c r="F82" s="106"/>
      <c r="G82" s="77" t="s">
        <v>12</v>
      </c>
      <c r="H82" s="103" t="s">
        <v>83</v>
      </c>
      <c r="I82" s="107"/>
      <c r="J82" s="104"/>
      <c r="K82" s="50"/>
      <c r="L82" s="17"/>
    </row>
    <row r="83" spans="1:17" ht="21.75">
      <c r="A83" s="69" t="s">
        <v>104</v>
      </c>
      <c r="B83" s="6" t="s">
        <v>18</v>
      </c>
      <c r="C83" s="29">
        <v>58</v>
      </c>
      <c r="D83" s="29">
        <v>68</v>
      </c>
      <c r="E83" s="29">
        <v>58</v>
      </c>
      <c r="F83" s="29">
        <v>70</v>
      </c>
      <c r="G83" s="7">
        <f t="shared" ref="G83:G90" si="10">((C83+D83)/2-(E83+F83)/2)/((E83+F83)/2)*100</f>
        <v>-1.5625</v>
      </c>
      <c r="H83" s="5" t="s">
        <v>119</v>
      </c>
      <c r="I83" s="6"/>
      <c r="J83" s="6"/>
      <c r="K83" s="50"/>
      <c r="L83" s="17"/>
    </row>
    <row r="84" spans="1:17" ht="24.75" customHeight="1">
      <c r="A84" s="86" t="s">
        <v>29</v>
      </c>
      <c r="B84" s="87" t="s">
        <v>30</v>
      </c>
      <c r="C84" s="29">
        <v>920</v>
      </c>
      <c r="D84" s="29">
        <v>965</v>
      </c>
      <c r="E84" s="29">
        <v>900</v>
      </c>
      <c r="F84" s="29">
        <v>925</v>
      </c>
      <c r="G84" s="88">
        <f t="shared" si="10"/>
        <v>3.2876712328767121</v>
      </c>
      <c r="H84" s="92" t="s">
        <v>121</v>
      </c>
      <c r="I84" s="93"/>
      <c r="J84" s="94"/>
      <c r="K84" s="83"/>
      <c r="L84" s="83"/>
      <c r="M84" s="83"/>
      <c r="N84" s="83"/>
      <c r="O84" s="83"/>
      <c r="P84" s="83"/>
      <c r="Q84" s="83"/>
    </row>
    <row r="85" spans="1:17" ht="21.75">
      <c r="A85" s="86" t="s">
        <v>29</v>
      </c>
      <c r="B85" s="87" t="s">
        <v>31</v>
      </c>
      <c r="C85" s="29">
        <v>375</v>
      </c>
      <c r="D85" s="29">
        <v>395</v>
      </c>
      <c r="E85" s="29">
        <v>370</v>
      </c>
      <c r="F85" s="29">
        <v>385</v>
      </c>
      <c r="G85" s="89">
        <f t="shared" si="10"/>
        <v>1.9867549668874174</v>
      </c>
      <c r="H85" s="90" t="s">
        <v>123</v>
      </c>
      <c r="I85" s="91"/>
      <c r="J85" s="91"/>
      <c r="K85" s="85"/>
      <c r="L85" s="17"/>
    </row>
    <row r="86" spans="1:17" ht="26.25" customHeight="1">
      <c r="A86" s="86" t="s">
        <v>29</v>
      </c>
      <c r="B86" s="87" t="s">
        <v>32</v>
      </c>
      <c r="C86" s="29">
        <v>189</v>
      </c>
      <c r="D86" s="29">
        <v>198</v>
      </c>
      <c r="E86" s="29">
        <v>189</v>
      </c>
      <c r="F86" s="29">
        <v>192</v>
      </c>
      <c r="G86" s="88">
        <f t="shared" si="10"/>
        <v>1.5748031496062991</v>
      </c>
      <c r="H86" s="95" t="s">
        <v>122</v>
      </c>
      <c r="I86" s="96"/>
      <c r="J86" s="97"/>
      <c r="K86" s="84"/>
      <c r="L86" s="84"/>
      <c r="M86" s="84"/>
    </row>
    <row r="87" spans="1:17" ht="21.75">
      <c r="A87" s="69" t="s">
        <v>37</v>
      </c>
      <c r="B87" s="6" t="s">
        <v>18</v>
      </c>
      <c r="C87" s="29">
        <v>85</v>
      </c>
      <c r="D87" s="29">
        <v>110</v>
      </c>
      <c r="E87" s="29">
        <v>90</v>
      </c>
      <c r="F87" s="29">
        <v>110</v>
      </c>
      <c r="G87" s="7">
        <f t="shared" si="10"/>
        <v>-2.5</v>
      </c>
      <c r="H87" s="5" t="s">
        <v>120</v>
      </c>
      <c r="I87" s="6"/>
      <c r="J87" s="6"/>
      <c r="K87" s="50"/>
      <c r="L87" s="17"/>
    </row>
    <row r="88" spans="1:17" ht="21.75">
      <c r="A88" s="69" t="s">
        <v>127</v>
      </c>
      <c r="B88" s="6" t="s">
        <v>18</v>
      </c>
      <c r="C88" s="29">
        <v>25</v>
      </c>
      <c r="D88" s="29">
        <v>50</v>
      </c>
      <c r="E88" s="29">
        <v>25</v>
      </c>
      <c r="F88" s="29">
        <v>30</v>
      </c>
      <c r="G88" s="7">
        <f>((C88+D88)/2-(E88+F88)/2)/((E88+F88)/2)*100</f>
        <v>36.363636363636367</v>
      </c>
      <c r="H88" s="5" t="s">
        <v>128</v>
      </c>
      <c r="I88" s="6"/>
      <c r="J88" s="6"/>
      <c r="K88" s="50"/>
      <c r="L88" s="17"/>
    </row>
    <row r="89" spans="1:17" ht="21.75">
      <c r="A89" s="69" t="s">
        <v>89</v>
      </c>
      <c r="B89" s="6" t="s">
        <v>18</v>
      </c>
      <c r="C89" s="29">
        <v>130</v>
      </c>
      <c r="D89" s="29">
        <v>150</v>
      </c>
      <c r="E89" s="29">
        <v>100</v>
      </c>
      <c r="F89" s="29">
        <v>120</v>
      </c>
      <c r="G89" s="7">
        <f>((C89+D89)/2-(E89+F89)/2)/((E89+F89)/2)*100</f>
        <v>27.27272727272727</v>
      </c>
      <c r="H89" s="5" t="s">
        <v>128</v>
      </c>
      <c r="I89" s="6"/>
      <c r="J89" s="6"/>
      <c r="K89" s="50"/>
      <c r="L89" s="17"/>
    </row>
    <row r="90" spans="1:17" ht="21.75">
      <c r="A90" s="69" t="s">
        <v>44</v>
      </c>
      <c r="B90" s="6" t="s">
        <v>18</v>
      </c>
      <c r="C90" s="29">
        <v>60</v>
      </c>
      <c r="D90" s="29">
        <v>140</v>
      </c>
      <c r="E90" s="29">
        <v>80</v>
      </c>
      <c r="F90" s="29">
        <v>140</v>
      </c>
      <c r="G90" s="7">
        <f t="shared" si="10"/>
        <v>-9.0909090909090917</v>
      </c>
      <c r="H90" s="5" t="s">
        <v>119</v>
      </c>
      <c r="I90" s="6"/>
      <c r="J90" s="6"/>
      <c r="K90" s="50"/>
      <c r="L90" s="17"/>
    </row>
    <row r="91" spans="1:17" ht="24.75">
      <c r="A91" s="69" t="s">
        <v>72</v>
      </c>
      <c r="B91" s="6" t="s">
        <v>73</v>
      </c>
      <c r="C91" s="37">
        <v>36</v>
      </c>
      <c r="D91" s="37">
        <v>45</v>
      </c>
      <c r="E91" s="37">
        <v>40</v>
      </c>
      <c r="F91" s="37">
        <v>48</v>
      </c>
      <c r="G91" s="7">
        <f>((C91+D91)/2-(E91+F91)/2)/((E91+F91)/2)*100</f>
        <v>-7.9545454545454541</v>
      </c>
      <c r="H91" s="5" t="s">
        <v>119</v>
      </c>
      <c r="I91" s="6"/>
      <c r="J91" s="6"/>
      <c r="K91" s="40"/>
      <c r="L91" s="11"/>
    </row>
    <row r="92" spans="1:17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7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7" ht="24.75">
      <c r="A95" s="41"/>
      <c r="B95" s="42" t="s">
        <v>114</v>
      </c>
      <c r="C95" s="10"/>
      <c r="E95" s="41"/>
      <c r="F95" s="42" t="s">
        <v>117</v>
      </c>
      <c r="G95" s="10"/>
      <c r="I95" s="12"/>
      <c r="J95" s="13" t="s">
        <v>131</v>
      </c>
      <c r="K95" s="10"/>
    </row>
    <row r="96" spans="1:17" ht="24.75">
      <c r="A96" s="43"/>
      <c r="B96" s="42" t="s">
        <v>115</v>
      </c>
      <c r="C96" s="13"/>
      <c r="E96" s="43"/>
      <c r="F96" s="42" t="s">
        <v>118</v>
      </c>
      <c r="G96" s="13"/>
      <c r="I96" s="76"/>
      <c r="J96" s="13" t="s">
        <v>132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92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112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4">
    <mergeCell ref="E66:F66"/>
    <mergeCell ref="C7:D7"/>
    <mergeCell ref="E7:F7"/>
    <mergeCell ref="G7:H7"/>
    <mergeCell ref="J7:K7"/>
    <mergeCell ref="C8:D8"/>
    <mergeCell ref="E8:F8"/>
    <mergeCell ref="G8:H8"/>
    <mergeCell ref="H85:J85"/>
    <mergeCell ref="H84:J84"/>
    <mergeCell ref="H86:J86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2025-12-07T08:13:16Z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