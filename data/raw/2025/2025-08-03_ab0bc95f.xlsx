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C6F21932-C97A-4820-9177-44F2CE47EE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94" i="4"/>
  <c r="G93" i="4"/>
  <c r="G96" i="4"/>
  <c r="G95" i="4"/>
  <c r="G98" i="4"/>
  <c r="G86" i="4"/>
  <c r="G91" i="4"/>
  <c r="G90" i="4"/>
  <c r="G84" i="4"/>
  <c r="G88" i="4"/>
  <c r="G87" i="4"/>
  <c r="G99" i="4"/>
  <c r="G92" i="4"/>
  <c r="G97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<sst xmlns="http://schemas.openxmlformats.org/spreadsheetml/2006/main" count="259" uniqueCount="133">
  <si>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</si>
  <si>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</si>
  <si>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</si>
  <si>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</si>
  <si>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</si>
  <si>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</si>
  <si>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</si>
  <si>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</si>
  <si>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</si>
  <si>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</si>
  <si>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</si>
  <si>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</si>
  <si>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</si>
  <si>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</si>
  <si>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</si>
  <si>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</si>
  <si>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</si>
  <si>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</si>
  <si>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</si>
  <si>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</si>
  <si>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</si>
  <si>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</si>
  <si>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</si>
  <si>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</si>
  <si>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</si>
  <si>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</si>
  <si>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</si>
  <si>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</si>
  <si>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</si>
  <si>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</si>
  <si>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</si>
  <si>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</si>
  <si>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</si>
  <si>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</si>
  <si>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</si>
  <si>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</si>
  <si>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</si>
  <si>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</si>
  <si>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</si>
  <si>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</si>
  <si>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</si>
  <si>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</si>
  <si>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</si>
  <si>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</si>
  <si>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</si>
  <si>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</si>
  <si>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</si>
  <si>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</si>
  <si>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</si>
  <si>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</si>
  <si>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</si>
  <si>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</si>
  <si>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</si>
  <si>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</si>
  <si>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</si>
  <si>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</si>
  <si>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</si>
  <si>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</si>
  <si>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</si>
  <si>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</si>
  <si>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</si>
  <si>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</si>
  <si>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</si>
  <si>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</si>
  <si>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</si>
  <si>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</si>
  <si>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</si>
  <si>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</si>
  <si>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</si>
  <si>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</si>
  <si>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</si>
  <si>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</si>
  <si>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</si>
  <si>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</si>
  <si>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</si>
  <si>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</si>
  <si>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</si>
  <si>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</si>
  <si>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</si>
  <si>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</si>
  <si>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</si>
  <si>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</si>
  <si>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</si>
  <si>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</si>
  <si>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</si>
  <si>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</si>
  <si>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</si>
  <si>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</si>
  <si>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</si>
  <si>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</si>
  <si>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</si>
  <si>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</si>
  <si>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</si>
  <si>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</si>
  <si>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</si>
  <si>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</si>
  <si>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</si>
  <si>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</si>
  <si>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</si>
  <si>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</si>
  <si>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</si>
  <si>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</si>
  <si>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</si>
  <si>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</si>
  <si>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</si>
  <si>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</si>
  <si>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</si>
  <si>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</si>
  <si>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</si>
  <si>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</si>
  <si>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</si>
  <si>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</si>
  <si>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</si>
  <si>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</si>
  <si>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</si>
  <si>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</si>
  <si>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</si>
  <si>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৩০-০৭-২০২৫ তারিখে মূল্য বৃদ্ধি পেয়েছে।</t>
  </si>
  <si>
    <t>৩০-০৭-২০২৫ তারিখে মূল্য হ্রাস পেয়েছে।</t>
  </si>
  <si>
    <t>২৯-০৭-২০২৫ তারিখে মূল্য হ্রাস পেয়েছে।</t>
  </si>
  <si>
    <t>৩১-০৭-২০২৫ তারিখে মূল্য বৃদ্ধি পেয়েছে।</t>
  </si>
  <si>
    <t>৩১-০৭-২০২৫ তারিখে মূল্য হ্রাস পেয়েছে।</t>
  </si>
  <si>
    <t>০১-০৮-২০২৫ তারিখে মূল্য বৃদ্ধি পেয়েছে।</t>
  </si>
  <si>
    <t>স্মারক নং-২৬.০৫.০০০০.০১৭.৩১.০১.২৫-৫৪৫</t>
  </si>
  <si>
    <t xml:space="preserve">রবিবার ০৩ আগষ্ট ২০২৫ খ্রিঃ, ১৯ শ্রাবণ ১৪৩২ বাংলা, ০৮ সফর ১৪৪৭ হিজরি </t>
  </si>
  <si>
    <t xml:space="preserve">   সিরিয়াল নংঃ     ১৯১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</si>
  <si>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</si>
  <si>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</si>
  <si>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</si>
  <si>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</si>
  <si>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 xml:space="preserve">       পেঁয়াজ (দেশী), রশুন (আম), আদা (আম), এলাচ, ডিম  এর মূল্য বৃদ্ধি পেয়েছে।</t>
  </si>
  <si>
    <t>(১)   চাল (মাঝারী), সয়াবিন তেল (২লি: বোতল), সুপার পাম অয়েল লুজ,  মসুর ডাল (মাঝারী, ছোট), মুগ ডাল, এ্যাংকার ডাল,</t>
  </si>
  <si>
    <t>(২ )  ময়দা (প্যা:), রশুন (দেশী), মুরগী ব্রয়লার, খেজুর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</si>
</sst>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A76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125</v>
      </c>
      <c r="L4" s="92"/>
    </row>
    <row r="5" spans="1:12" ht="19.5" customHeight="1">
      <c r="A5" s="18"/>
      <c r="B5" s="8"/>
      <c r="C5" s="8"/>
      <c r="D5" s="18"/>
      <c r="E5" s="8"/>
      <c r="F5" s="8" t="s">
        <v>124</v>
      </c>
      <c r="G5" s="8"/>
      <c r="H5" s="8"/>
      <c r="I5" s="8"/>
      <c r="J5" s="8"/>
      <c r="K5" s="8"/>
      <c r="L5" s="50"/>
    </row>
    <row r="6" spans="1:12" ht="21.75">
      <c r="A6" s="21" t="s">
        <v>123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45872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45872</v>
      </c>
      <c r="D8" s="92"/>
      <c r="E8" s="93">
        <v>45865</v>
      </c>
      <c r="F8" s="92"/>
      <c r="G8" s="93">
        <v>45841</v>
      </c>
      <c r="H8" s="92"/>
      <c r="I8" s="27" t="s">
        <v>12</v>
      </c>
      <c r="J8" s="101">
        <v>45507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8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55</v>
      </c>
      <c r="H16" s="30">
        <v>60</v>
      </c>
      <c r="I16" s="31">
        <f>((C16+D16)/2-(G16+H16)/2)/((G16+H16)/2)*100</f>
        <v>-4.3478260869565215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60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-3.7037037037037033</v>
      </c>
      <c r="J17" s="62">
        <v>65</v>
      </c>
      <c r="K17" s="62">
        <v>70</v>
      </c>
      <c r="L17" s="32">
        <f>((C17+D17)/2-(J17+K17)/2)/((J17+K17)/2)*100</f>
        <v>-3.7037037037037033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910</v>
      </c>
      <c r="H20" s="30">
        <v>920</v>
      </c>
      <c r="I20" s="31">
        <f t="shared" si="0"/>
        <v>-1.0928961748633881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16.383307573415763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155</v>
      </c>
      <c r="E23" s="30">
        <v>150</v>
      </c>
      <c r="F23" s="30">
        <v>155</v>
      </c>
      <c r="G23" s="30">
        <v>148</v>
      </c>
      <c r="H23" s="30">
        <v>155</v>
      </c>
      <c r="I23" s="31">
        <f t="shared" si="0"/>
        <v>0.66006600660066006</v>
      </c>
      <c r="J23" s="62">
        <v>125</v>
      </c>
      <c r="K23" s="62">
        <v>135</v>
      </c>
      <c r="L23" s="32">
        <f t="shared" si="1"/>
        <v>17.307692307692307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162</v>
      </c>
      <c r="E24" s="30">
        <v>152</v>
      </c>
      <c r="F24" s="30">
        <v>160</v>
      </c>
      <c r="G24" s="30">
        <v>152</v>
      </c>
      <c r="H24" s="30">
        <v>160</v>
      </c>
      <c r="I24" s="31">
        <f t="shared" si="0"/>
        <v>0.64102564102564097</v>
      </c>
      <c r="J24" s="62">
        <v>135</v>
      </c>
      <c r="K24" s="62">
        <v>140</v>
      </c>
      <c r="L24" s="32">
        <f t="shared" si="1"/>
        <v>14.181818181818182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0</v>
      </c>
      <c r="H25" s="30">
        <v>0</v>
      </c>
      <c r="I25" s="31" t="e">
        <f t="shared" si="0"/>
        <v>#DIV/0!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120</v>
      </c>
      <c r="G28" s="30">
        <v>110</v>
      </c>
      <c r="H28" s="30">
        <v>120</v>
      </c>
      <c r="I28" s="31">
        <f t="shared" si="2"/>
        <v>6.5217391304347823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140</v>
      </c>
      <c r="D29" s="30">
        <v>150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11.538461538461538</v>
      </c>
      <c r="J29" s="62">
        <v>130</v>
      </c>
      <c r="K29" s="62">
        <v>135</v>
      </c>
      <c r="L29" s="32">
        <f t="shared" si="3"/>
        <v>9.433962264150944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55</v>
      </c>
      <c r="F31" s="30">
        <v>75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105</v>
      </c>
      <c r="I32" s="31">
        <f t="shared" si="2"/>
        <v>2.5641025641025639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20</v>
      </c>
      <c r="D33" s="30">
        <v>30</v>
      </c>
      <c r="E33" s="30">
        <v>20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55</v>
      </c>
      <c r="K33" s="62">
        <v>60</v>
      </c>
      <c r="L33" s="32">
        <f t="shared" si="3"/>
        <v>-56.521739130434781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70</v>
      </c>
      <c r="D35" s="30">
        <v>80</v>
      </c>
      <c r="E35" s="30">
        <v>55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30.434782608695656</v>
      </c>
      <c r="J35" s="62">
        <v>105</v>
      </c>
      <c r="K35" s="62">
        <v>120</v>
      </c>
      <c r="L35" s="32">
        <f t="shared" ref="L35:L50" si="5">((C35+D35)/2-(J35+K35)/2)/((J35+K35)/2)*100</f>
        <v>-33.333333333333329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95</v>
      </c>
      <c r="K36" s="62">
        <v>100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0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210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5.7142857142857144</v>
      </c>
      <c r="J38" s="62">
        <v>180</v>
      </c>
      <c r="K38" s="62">
        <v>230</v>
      </c>
      <c r="L38" s="32">
        <f t="shared" si="5"/>
        <v>-9.7560975609756095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350</v>
      </c>
      <c r="H40" s="30">
        <v>450</v>
      </c>
      <c r="I40" s="31">
        <f t="shared" si="4"/>
        <v>-6.25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43.75</v>
      </c>
      <c r="J44" s="62">
        <v>250</v>
      </c>
      <c r="K44" s="62">
        <v>300</v>
      </c>
      <c r="L44" s="32">
        <f t="shared" si="5"/>
        <v>-16.363636363636363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4400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280</v>
      </c>
      <c r="L49" s="32">
        <f t="shared" si="5"/>
        <v>-8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450</v>
      </c>
      <c r="I52" s="31">
        <f t="shared" ref="I52:I57" si="6">((C52+D52)/2-(G52+H52)/2)/((G52+H52)/2)*100</f>
        <v>2.7397260273972601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1000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145</v>
      </c>
      <c r="D56" s="30">
        <v>170</v>
      </c>
      <c r="E56" s="30">
        <v>150</v>
      </c>
      <c r="F56" s="30">
        <v>170</v>
      </c>
      <c r="G56" s="30">
        <v>150</v>
      </c>
      <c r="H56" s="30">
        <v>170</v>
      </c>
      <c r="I56" s="31">
        <f t="shared" si="6"/>
        <v>-1.5625</v>
      </c>
      <c r="J56" s="62">
        <v>170</v>
      </c>
      <c r="K56" s="62">
        <v>180</v>
      </c>
      <c r="L56" s="32">
        <f t="shared" si="7"/>
        <v>-10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45872</v>
      </c>
      <c r="D67" s="92"/>
      <c r="E67" s="93">
        <v>45865</v>
      </c>
      <c r="F67" s="92"/>
      <c r="G67" s="93">
        <v>45841</v>
      </c>
      <c r="H67" s="92"/>
      <c r="I67" s="27" t="s">
        <v>12</v>
      </c>
      <c r="J67" s="101">
        <v>45507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130</v>
      </c>
      <c r="L69" s="32">
        <f t="shared" ref="L69:L75" si="8">((C69+D69)/2-(J69+K69)/2)/((J69+K69)/2)*100</f>
        <v>-13.725490196078432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48</v>
      </c>
      <c r="E72" s="38">
        <v>38</v>
      </c>
      <c r="F72" s="38">
        <v>46</v>
      </c>
      <c r="G72" s="38">
        <v>40</v>
      </c>
      <c r="H72" s="38">
        <v>46</v>
      </c>
      <c r="I72" s="31">
        <f t="shared" si="9"/>
        <v>0</v>
      </c>
      <c r="J72" s="63">
        <v>48</v>
      </c>
      <c r="K72" s="63">
        <v>52</v>
      </c>
      <c r="L72" s="32">
        <f t="shared" si="8"/>
        <v>-14.000000000000002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-1.41643059490085</v>
      </c>
      <c r="J74" s="62">
        <v>97500</v>
      </c>
      <c r="K74" s="62">
        <v>99500</v>
      </c>
      <c r="L74" s="32">
        <f t="shared" si="8"/>
        <v>-11.6751269035533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0</v>
      </c>
      <c r="J75" s="63">
        <v>87500</v>
      </c>
      <c r="K75" s="63">
        <v>89000</v>
      </c>
      <c r="L75" s="32">
        <f t="shared" si="8"/>
        <v>-9.0651558073654392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132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.75">
      <c r="A84" s="76" t="s">
        <v>107</v>
      </c>
      <c r="B84" s="6" t="s">
        <v>18</v>
      </c>
      <c r="C84" s="30">
        <v>60</v>
      </c>
      <c r="D84" s="30">
        <v>75</v>
      </c>
      <c r="E84" s="30">
        <v>60</v>
      </c>
      <c r="F84" s="30">
        <v>70</v>
      </c>
      <c r="G84" s="7">
        <f t="shared" ref="G84:G99" si="10">((C84+D84)/2-(E84+F84)/2)/((E84+F84)/2)*100</f>
        <v>3.8461538461538463</v>
      </c>
      <c r="H84" s="5" t="s">
        <v>117</v>
      </c>
      <c r="I84" s="6"/>
      <c r="J84" s="6"/>
      <c r="K84" s="51"/>
      <c r="L84" s="18"/>
    </row>
    <row r="85" spans="1:12" ht="21.75">
      <c r="A85" s="76" t="s">
        <v>25</v>
      </c>
      <c r="B85" s="6" t="s">
        <v>23</v>
      </c>
      <c r="C85" s="30">
        <v>60</v>
      </c>
      <c r="D85" s="30">
        <v>70</v>
      </c>
      <c r="E85" s="30">
        <v>65</v>
      </c>
      <c r="F85" s="30">
        <v>70</v>
      </c>
      <c r="G85" s="7">
        <f t="shared" si="10"/>
        <v>-3.7037037037037033</v>
      </c>
      <c r="H85" s="5" t="s">
        <v>126</v>
      </c>
      <c r="I85" s="6"/>
      <c r="J85" s="6"/>
      <c r="K85" s="51"/>
      <c r="L85" s="18"/>
    </row>
    <row r="86" spans="1:12" ht="21.75">
      <c r="A86" s="76" t="s">
        <v>29</v>
      </c>
      <c r="B86" s="6" t="s">
        <v>31</v>
      </c>
      <c r="C86" s="30">
        <v>375</v>
      </c>
      <c r="D86" s="30">
        <v>378</v>
      </c>
      <c r="E86" s="30">
        <v>370</v>
      </c>
      <c r="F86" s="30">
        <v>378</v>
      </c>
      <c r="G86" s="7">
        <f t="shared" si="10"/>
        <v>0.66844919786096257</v>
      </c>
      <c r="H86" s="5" t="s">
        <v>120</v>
      </c>
      <c r="I86" s="6"/>
      <c r="J86" s="6"/>
      <c r="K86" s="51"/>
      <c r="L86" s="18"/>
    </row>
    <row r="87" spans="1:12" ht="21.75">
      <c r="A87" s="76" t="s">
        <v>108</v>
      </c>
      <c r="B87" s="6" t="s">
        <v>28</v>
      </c>
      <c r="C87" s="30">
        <v>152</v>
      </c>
      <c r="D87" s="30">
        <v>162</v>
      </c>
      <c r="E87" s="30">
        <v>152</v>
      </c>
      <c r="F87" s="30">
        <v>160</v>
      </c>
      <c r="G87" s="7">
        <f t="shared" si="10"/>
        <v>0.64102564102564097</v>
      </c>
      <c r="H87" s="5" t="s">
        <v>117</v>
      </c>
      <c r="I87" s="6"/>
      <c r="J87" s="6"/>
      <c r="K87" s="51"/>
      <c r="L87" s="18"/>
    </row>
    <row r="88" spans="1:12" ht="21.75">
      <c r="A88" s="76" t="s">
        <v>112</v>
      </c>
      <c r="B88" s="6" t="s">
        <v>18</v>
      </c>
      <c r="C88" s="30">
        <v>110</v>
      </c>
      <c r="D88" s="30">
        <v>135</v>
      </c>
      <c r="E88" s="30">
        <v>105</v>
      </c>
      <c r="F88" s="30">
        <v>120</v>
      </c>
      <c r="G88" s="7">
        <f t="shared" si="10"/>
        <v>8.8888888888888893</v>
      </c>
      <c r="H88" s="5" t="s">
        <v>127</v>
      </c>
      <c r="I88" s="6"/>
      <c r="J88" s="6"/>
      <c r="K88" s="51"/>
      <c r="L88" s="18"/>
    </row>
    <row r="89" spans="1:12" ht="21.75">
      <c r="A89" s="76" t="s">
        <v>38</v>
      </c>
      <c r="B89" s="6" t="s">
        <v>18</v>
      </c>
      <c r="C89" s="30">
        <v>140</v>
      </c>
      <c r="D89" s="30">
        <v>150</v>
      </c>
      <c r="E89" s="30">
        <v>130</v>
      </c>
      <c r="F89" s="30">
        <v>140</v>
      </c>
      <c r="G89" s="7">
        <f t="shared" si="10"/>
        <v>7.4074074074074066</v>
      </c>
      <c r="H89" s="5" t="s">
        <v>127</v>
      </c>
      <c r="I89" s="6"/>
      <c r="J89" s="6"/>
      <c r="K89" s="51"/>
      <c r="L89" s="18"/>
    </row>
    <row r="90" spans="1:12" ht="21.75">
      <c r="A90" s="76" t="s">
        <v>39</v>
      </c>
      <c r="B90" s="6" t="s">
        <v>18</v>
      </c>
      <c r="C90" s="30">
        <v>120</v>
      </c>
      <c r="D90" s="30">
        <v>180</v>
      </c>
      <c r="E90" s="30">
        <v>110</v>
      </c>
      <c r="F90" s="30">
        <v>180</v>
      </c>
      <c r="G90" s="7">
        <f t="shared" si="10"/>
        <v>3.4482758620689653</v>
      </c>
      <c r="H90" s="5" t="s">
        <v>117</v>
      </c>
      <c r="I90" s="6"/>
      <c r="J90" s="6"/>
      <c r="K90" s="51"/>
      <c r="L90" s="18"/>
    </row>
    <row r="91" spans="1:12" ht="21.75">
      <c r="A91" s="76" t="s">
        <v>40</v>
      </c>
      <c r="B91" s="6" t="s">
        <v>18</v>
      </c>
      <c r="C91" s="30">
        <v>60</v>
      </c>
      <c r="D91" s="30">
        <v>80</v>
      </c>
      <c r="E91" s="30">
        <v>55</v>
      </c>
      <c r="F91" s="30">
        <v>75</v>
      </c>
      <c r="G91" s="7">
        <f t="shared" si="10"/>
        <v>7.6923076923076925</v>
      </c>
      <c r="H91" s="5" t="s">
        <v>122</v>
      </c>
      <c r="I91" s="6"/>
      <c r="J91" s="6"/>
      <c r="K91" s="51"/>
      <c r="L91" s="18"/>
    </row>
    <row r="92" spans="1:12" ht="21.75">
      <c r="A92" s="76" t="s">
        <v>92</v>
      </c>
      <c r="B92" s="6" t="s">
        <v>18</v>
      </c>
      <c r="C92" s="30">
        <v>70</v>
      </c>
      <c r="D92" s="30">
        <v>80</v>
      </c>
      <c r="E92" s="30">
        <v>55</v>
      </c>
      <c r="F92" s="30">
        <v>65</v>
      </c>
      <c r="G92" s="7">
        <f t="shared" si="10"/>
        <v>25</v>
      </c>
      <c r="H92" s="5" t="s">
        <v>127</v>
      </c>
      <c r="I92" s="6"/>
      <c r="J92" s="6"/>
      <c r="K92" s="51"/>
      <c r="L92" s="18"/>
    </row>
    <row r="93" spans="1:12" ht="21.75">
      <c r="A93" s="76" t="s">
        <v>45</v>
      </c>
      <c r="B93" s="6" t="s">
        <v>18</v>
      </c>
      <c r="C93" s="30">
        <v>80</v>
      </c>
      <c r="D93" s="30">
        <v>160</v>
      </c>
      <c r="E93" s="30">
        <v>100</v>
      </c>
      <c r="F93" s="30">
        <v>150</v>
      </c>
      <c r="G93" s="7">
        <f t="shared" si="10"/>
        <v>-4</v>
      </c>
      <c r="H93" s="5" t="s">
        <v>126</v>
      </c>
      <c r="I93" s="6"/>
      <c r="J93" s="6"/>
      <c r="K93" s="51"/>
      <c r="L93" s="18"/>
    </row>
    <row r="94" spans="1:12" ht="21.75">
      <c r="A94" s="76" t="s">
        <v>46</v>
      </c>
      <c r="B94" s="6" t="s">
        <v>18</v>
      </c>
      <c r="C94" s="30">
        <v>160</v>
      </c>
      <c r="D94" s="30">
        <v>210</v>
      </c>
      <c r="E94" s="30">
        <v>160</v>
      </c>
      <c r="F94" s="30">
        <v>200</v>
      </c>
      <c r="G94" s="7">
        <f t="shared" si="10"/>
        <v>2.7777777777777777</v>
      </c>
      <c r="H94" s="5" t="s">
        <v>127</v>
      </c>
      <c r="I94" s="6"/>
      <c r="J94" s="6"/>
      <c r="K94" s="51"/>
      <c r="L94" s="18"/>
    </row>
    <row r="95" spans="1:12" ht="21.75">
      <c r="A95" s="76" t="s">
        <v>52</v>
      </c>
      <c r="B95" s="6" t="s">
        <v>18</v>
      </c>
      <c r="C95" s="30">
        <v>180</v>
      </c>
      <c r="D95" s="30">
        <v>280</v>
      </c>
      <c r="E95" s="30">
        <v>120</v>
      </c>
      <c r="F95" s="30">
        <v>200</v>
      </c>
      <c r="G95" s="7">
        <f t="shared" si="10"/>
        <v>43.75</v>
      </c>
      <c r="H95" s="5" t="s">
        <v>127</v>
      </c>
      <c r="I95" s="6"/>
      <c r="J95" s="6"/>
      <c r="K95" s="51"/>
      <c r="L95" s="18"/>
    </row>
    <row r="96" spans="1:12" ht="21.75">
      <c r="A96" s="76" t="s">
        <v>56</v>
      </c>
      <c r="B96" s="6" t="s">
        <v>18</v>
      </c>
      <c r="C96" s="30">
        <v>4500</v>
      </c>
      <c r="D96" s="30">
        <v>5200</v>
      </c>
      <c r="E96" s="30">
        <v>4400</v>
      </c>
      <c r="F96" s="30">
        <v>5200</v>
      </c>
      <c r="G96" s="7">
        <f t="shared" si="10"/>
        <v>1.0416666666666665</v>
      </c>
      <c r="H96" s="5" t="s">
        <v>122</v>
      </c>
      <c r="I96" s="6"/>
      <c r="J96" s="6"/>
      <c r="K96" s="51"/>
      <c r="L96" s="18"/>
    </row>
    <row r="97" spans="1:12" ht="21.75">
      <c r="A97" s="76" t="s">
        <v>62</v>
      </c>
      <c r="B97" s="6" t="s">
        <v>18</v>
      </c>
      <c r="C97" s="30">
        <v>145</v>
      </c>
      <c r="D97" s="30">
        <v>170</v>
      </c>
      <c r="E97" s="30">
        <v>150</v>
      </c>
      <c r="F97" s="30">
        <v>170</v>
      </c>
      <c r="G97" s="7">
        <f t="shared" si="10"/>
        <v>-1.5625</v>
      </c>
      <c r="H97" s="5" t="s">
        <v>118</v>
      </c>
      <c r="I97" s="6"/>
      <c r="J97" s="6"/>
      <c r="K97" s="51"/>
      <c r="L97" s="18"/>
    </row>
    <row r="98" spans="1:12" ht="21.75">
      <c r="A98" s="76" t="s">
        <v>72</v>
      </c>
      <c r="B98" s="6" t="s">
        <v>18</v>
      </c>
      <c r="C98" s="30">
        <v>220</v>
      </c>
      <c r="D98" s="30">
        <v>550</v>
      </c>
      <c r="E98" s="30">
        <v>250</v>
      </c>
      <c r="F98" s="30">
        <v>550</v>
      </c>
      <c r="G98" s="7">
        <f t="shared" si="10"/>
        <v>-3.75</v>
      </c>
      <c r="H98" s="5" t="s">
        <v>121</v>
      </c>
      <c r="I98" s="6"/>
      <c r="J98" s="6"/>
      <c r="K98" s="51"/>
      <c r="L98" s="18"/>
    </row>
    <row r="99" spans="1:12" ht="21.75">
      <c r="A99" s="76" t="s">
        <v>73</v>
      </c>
      <c r="B99" s="6" t="s">
        <v>74</v>
      </c>
      <c r="C99" s="38">
        <v>38</v>
      </c>
      <c r="D99" s="38">
        <v>48</v>
      </c>
      <c r="E99" s="38">
        <v>38</v>
      </c>
      <c r="F99" s="38">
        <v>46</v>
      </c>
      <c r="G99" s="7">
        <f t="shared" si="10"/>
        <v>2.3809523809523809</v>
      </c>
      <c r="H99" s="5" t="s">
        <v>119</v>
      </c>
      <c r="I99" s="6"/>
      <c r="J99" s="6"/>
      <c r="K99" s="51"/>
      <c r="L99" s="18"/>
    </row>
    <row r="100" spans="1:12" ht="21.75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1.75">
      <c r="A101" s="79"/>
      <c r="B101" s="3"/>
      <c r="C101" s="90"/>
      <c r="D101" s="90"/>
      <c r="E101" s="90"/>
      <c r="F101" s="90"/>
      <c r="G101" s="10"/>
      <c r="H101" s="1"/>
      <c r="I101" s="3"/>
      <c r="J101" s="3"/>
      <c r="K101" s="51"/>
      <c r="L101" s="18"/>
    </row>
    <row r="102" spans="1:12" ht="24.75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4.75">
      <c r="A103" s="1"/>
      <c r="B103" s="3"/>
      <c r="C103" s="9"/>
      <c r="D103" s="9"/>
      <c r="E103" s="9"/>
      <c r="F103" s="9"/>
      <c r="G103" s="10"/>
      <c r="H103" s="1"/>
      <c r="I103" s="3"/>
      <c r="J103" s="3"/>
      <c r="K103" s="12"/>
      <c r="L103" s="12"/>
    </row>
    <row r="104" spans="1:12" ht="24.75">
      <c r="A104" s="1"/>
      <c r="B104" s="14"/>
      <c r="C104" s="15"/>
      <c r="D104" s="15"/>
      <c r="E104" s="14"/>
      <c r="F104" s="15"/>
      <c r="G104" s="39"/>
      <c r="H104" s="40"/>
      <c r="I104" s="41"/>
      <c r="J104" s="41"/>
      <c r="K104" s="41"/>
      <c r="L104" s="12"/>
    </row>
    <row r="105" spans="1:12" ht="24.75">
      <c r="A105" s="1"/>
      <c r="B105" s="42"/>
      <c r="C105" s="43" t="s">
        <v>113</v>
      </c>
      <c r="D105" s="11"/>
      <c r="E105" s="42"/>
      <c r="F105" s="14"/>
      <c r="G105" s="11"/>
      <c r="H105" s="40"/>
      <c r="I105" s="13"/>
      <c r="J105" s="14" t="s">
        <v>128</v>
      </c>
      <c r="K105" s="11"/>
      <c r="L105" s="11"/>
    </row>
    <row r="106" spans="1:12" ht="24.75">
      <c r="A106" s="1"/>
      <c r="B106" s="44"/>
      <c r="C106" s="43" t="s">
        <v>114</v>
      </c>
      <c r="D106" s="14"/>
      <c r="E106" s="42"/>
      <c r="F106" s="45"/>
      <c r="G106" s="47"/>
      <c r="H106" s="47"/>
      <c r="I106" s="86"/>
      <c r="J106" s="14" t="s">
        <v>129</v>
      </c>
      <c r="K106" s="14"/>
      <c r="L106" s="14"/>
    </row>
    <row r="107" spans="1:12" ht="24.75">
      <c r="A107" s="1"/>
      <c r="B107" s="14"/>
      <c r="C107" s="15"/>
      <c r="D107" s="14"/>
      <c r="E107" s="15"/>
      <c r="F107" s="45"/>
      <c r="G107" s="47"/>
      <c r="H107" s="47"/>
      <c r="I107" s="46"/>
      <c r="J107" s="11"/>
      <c r="K107" s="11"/>
      <c r="L107" s="2"/>
    </row>
    <row r="108" spans="1:12" ht="19.5">
      <c r="A108" s="56" t="s">
        <v>95</v>
      </c>
      <c r="B108" s="54"/>
      <c r="C108" s="52"/>
      <c r="D108" s="54"/>
      <c r="E108" s="52"/>
      <c r="F108" s="52"/>
      <c r="G108" s="52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2"/>
      <c r="D109" s="54"/>
      <c r="E109" s="52"/>
      <c r="F109" s="52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2"/>
      <c r="G110" s="54"/>
      <c r="H110" s="53"/>
      <c r="I110" s="58"/>
      <c r="J110" s="2"/>
      <c r="K110" s="2"/>
      <c r="L110" s="2"/>
    </row>
    <row r="111" spans="1:12" ht="19.5">
      <c r="A111" s="55" t="s">
        <v>85</v>
      </c>
      <c r="B111" s="54"/>
      <c r="C111" s="54"/>
      <c r="D111" s="54"/>
      <c r="E111" s="54"/>
      <c r="F111" s="53"/>
      <c r="G111" s="53"/>
      <c r="H111" s="53"/>
      <c r="I111" s="58"/>
      <c r="J111" s="2"/>
      <c r="K111" s="2"/>
      <c r="L111" s="2"/>
    </row>
    <row r="112" spans="1:12" ht="19.5">
      <c r="A112" s="55" t="s">
        <v>99</v>
      </c>
      <c r="B112" s="54"/>
      <c r="C112" s="54"/>
      <c r="D112" s="54"/>
      <c r="E112" s="54"/>
      <c r="F112" s="54"/>
      <c r="G112" s="53"/>
      <c r="H112" s="53"/>
      <c r="I112" s="58"/>
      <c r="J112" s="2"/>
      <c r="K112" s="2"/>
      <c r="L112" s="2"/>
    </row>
    <row r="113" spans="1:12" ht="19.5">
      <c r="A113" s="55" t="s">
        <v>98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109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97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96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86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103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102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104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105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9.5">
      <c r="A122" s="55" t="s">
        <v>87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/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6" t="s">
        <v>88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89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9.5">
      <c r="A126" s="55" t="s">
        <v>90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9.5">
      <c r="A127" s="55" t="s">
        <v>91</v>
      </c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8">
      <c r="A128" s="60"/>
      <c r="B128" s="58"/>
      <c r="C128" s="58"/>
      <c r="D128" s="58"/>
      <c r="E128" s="58"/>
      <c r="F128" s="58"/>
      <c r="G128" s="58"/>
      <c r="H128" s="61"/>
      <c r="I128" s="59"/>
      <c r="J128" s="12"/>
      <c r="K128" s="12"/>
      <c r="L128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2025-08-03T07:56:25Z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