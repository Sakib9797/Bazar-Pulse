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65C2046A-FF47-40B0-8F66-C5C4BC88D93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89" i="4" l="1"/>
  <c r="G88" i="4"/>
  <c r="G87" i="4"/>
  <c r="G86" i="4"/>
  <c r="G85" i="4"/>
  <c r="G84" i="4"/>
  <c r="G83" i="4"/>
  <c r="I39" i="4" l="1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<sst xmlns="http://schemas.openxmlformats.org/spreadsheetml/2006/main" count="232" uniqueCount="129">
  <si>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</si>
  <si>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</si>
  <si>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</si>
  <si>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</si>
  <si>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</si>
  <si>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</si>
  <si>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</si>
  <si>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</si>
  <si>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</si>
  <si>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</si>
  <si>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</si>
  <si>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</si>
  <si>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</si>
  <si>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</si>
  <si>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</si>
  <si>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</si>
  <si>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</si>
  <si>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</si>
  <si>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</si>
  <si>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</si>
  <si>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</si>
  <si>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</si>
  <si>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</si>
  <si>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</si>
  <si>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</si>
  <si>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</si>
  <si>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</si>
  <si>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</si>
  <si>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</si>
  <si>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</si>
  <si>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</si>
  <si>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</si>
  <si>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</si>
  <si>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</si>
  <si>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</si>
  <si>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</si>
  <si>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</si>
  <si>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</si>
  <si>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</si>
  <si>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</si>
  <si>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</si>
  <si>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</si>
  <si>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</si>
  <si>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</si>
  <si>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</si>
  <si>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</si>
  <si>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</si>
  <si>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</si>
  <si>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</si>
  <si>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</si>
  <si>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</si>
  <si>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</si>
  <si>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</si>
  <si>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</si>
  <si>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</si>
  <si>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</si>
  <si>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</si>
  <si>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</si>
  <si>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</si>
  <si>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</si>
  <si>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</si>
  <si>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</si>
  <si>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</si>
  <si>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</si>
  <si>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</si>
  <si>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</si>
  <si>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</si>
  <si>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</si>
  <si>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</si>
  <si>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</si>
  <si>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</si>
  <si>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</si>
  <si>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</si>
  <si>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</si>
  <si>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</si>
  <si>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</si>
  <si>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</si>
  <si>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</si>
  <si>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</si>
  <si>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</si>
  <si>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</si>
  <si>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</si>
  <si>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</si>
  <si>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</si>
  <si>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</si>
  <si>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</si>
  <si>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</si>
  <si>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</si>
  <si>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</si>
  <si>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</si>
  <si>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</si>
  <si>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</si>
  <si>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</si>
  <si>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</si>
  <si>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</si>
  <si>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</si>
  <si>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</si>
  <si>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</si>
  <si>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</si>
  <si>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</si>
  <si>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</si>
  <si>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</si>
  <si>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</si>
  <si>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</si>
  <si>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</si>
  <si>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</si>
  <si>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</si>
  <si>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</si>
  <si>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</si>
  <si>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</si>
  <si>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</si>
  <si>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</si>
  <si>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</si>
  <si>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</si>
  <si>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</si>
  <si>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</si>
  <si>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</si>
  <si>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>০৬-১০-২০২৫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</si>
  <si>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</si>
  <si>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</si>
  <si>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 মহাখালী,  রামপুরা,  </t>
  </si>
  <si>
    <t>০৬-১০-২০২৫ তারিখে মূল্য বৃদ্ধি পেয়েছে।</t>
  </si>
  <si>
    <t xml:space="preserve">সোমবার ১৩ অক্টোবর ২০২৫ খ্রিঃ, ২৮ আশ্বিন ১৪৩২ বাংলা, ১৮ রবিউল সানি ১৪৪৭ হিজরি </t>
  </si>
  <si>
    <t xml:space="preserve">   সিরিয়াল নংঃ     ২৫৩</t>
  </si>
  <si>
    <t>স্মারক নং-২৬.০৫.০০০০.০১৭.৩১.০১.২৫-৭২৫</t>
  </si>
  <si>
    <t>১৩-১০-২০২৫ তারিখে মূল্য বৃদ্ধি পেয়েছে।</t>
  </si>
  <si>
    <t>১৩-১০-২০২৫ তারিখে মূল্য হ্রাস পেয়েছে।</t>
  </si>
  <si>
    <t>(১)  মশুর ডাল (মাঝারী দানা), আলু, মুরগী(ব্রয়লার)   এর মূল্য বৃদ্ধি পেয়েছে।</t>
  </si>
  <si>
    <t>(২ ) শুকনা মরিচ (আমদানি), চাল সরু (নাজির/মিনিকেট), ছোলা, চিনি   এর মূল্য হ্রাসপেয়েছে।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</si>
</sst>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4"/>
      <color rgb="FF000000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34" zoomScale="98" zoomScaleNormal="98" workbookViewId="0">
      <selection activeCell="D44" sqref="D44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8.19921875" customWidth="1"/>
    <col min="8" max="8" width="11.296875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7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123</v>
      </c>
      <c r="L4" s="84"/>
    </row>
    <row r="5" spans="1:12" ht="19.5" customHeight="1">
      <c r="A5" s="17"/>
      <c r="B5" s="8"/>
      <c r="C5" s="8"/>
      <c r="D5" s="17"/>
      <c r="E5" s="8"/>
      <c r="F5" s="8" t="s">
        <v>122</v>
      </c>
      <c r="G5" s="8"/>
      <c r="H5" s="81"/>
      <c r="I5" s="8"/>
      <c r="J5" s="8"/>
      <c r="K5" s="8"/>
      <c r="L5" s="48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45943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45943</v>
      </c>
      <c r="D8" s="84"/>
      <c r="E8" s="83">
        <v>45936</v>
      </c>
      <c r="F8" s="84"/>
      <c r="G8" s="83">
        <v>45913</v>
      </c>
      <c r="H8" s="84"/>
      <c r="I8" s="26" t="s">
        <v>12</v>
      </c>
      <c r="J8" s="83">
        <v>45578</v>
      </c>
      <c r="K8" s="84"/>
      <c r="L8" s="26" t="s">
        <v>12</v>
      </c>
    </row>
    <row r="9" spans="1:12" ht="21.75">
      <c r="A9" s="66" t="s">
        <v>13</v>
      </c>
      <c r="B9" s="67"/>
      <c r="C9" s="67" t="s">
        <v>14</v>
      </c>
      <c r="D9" s="67" t="s">
        <v>15</v>
      </c>
      <c r="E9" s="67" t="s">
        <v>14</v>
      </c>
      <c r="F9" s="67" t="s">
        <v>15</v>
      </c>
      <c r="G9" s="67" t="s">
        <v>14</v>
      </c>
      <c r="H9" s="67" t="s">
        <v>15</v>
      </c>
      <c r="I9" s="67" t="s">
        <v>16</v>
      </c>
      <c r="J9" s="28" t="s">
        <v>14</v>
      </c>
      <c r="K9" s="28" t="s">
        <v>15</v>
      </c>
      <c r="L9" s="67" t="s">
        <v>16</v>
      </c>
    </row>
    <row r="10" spans="1:12" ht="21.75">
      <c r="A10" s="68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8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75</v>
      </c>
      <c r="I11" s="30">
        <f>((C11+D11)/2-(G11+H11)/2)/((G11+H11)/2)*100</f>
        <v>-3.7037037037037033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8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69" t="s">
        <v>20</v>
      </c>
      <c r="B13" s="58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8" t="s">
        <v>21</v>
      </c>
      <c r="B14" s="6" t="s">
        <v>18</v>
      </c>
      <c r="C14" s="29">
        <v>48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3.0927835051546393</v>
      </c>
      <c r="J14" s="29">
        <v>40</v>
      </c>
      <c r="K14" s="29">
        <v>45</v>
      </c>
      <c r="L14" s="31">
        <f>((C14+D14)/2-(J14+K14)/2)/((J14+K14)/2)*100</f>
        <v>17.647058823529413</v>
      </c>
    </row>
    <row r="15" spans="1:12" ht="21.75">
      <c r="A15" s="68" t="s">
        <v>22</v>
      </c>
      <c r="B15" s="80" t="s">
        <v>23</v>
      </c>
      <c r="C15" s="29">
        <v>58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2.5</v>
      </c>
      <c r="J15" s="29">
        <v>50</v>
      </c>
      <c r="K15" s="29">
        <v>55</v>
      </c>
      <c r="L15" s="31">
        <f>((C15+D15)/2-(J15+K15)/2)/((J15+K15)/2)*100</f>
        <v>17.142857142857142</v>
      </c>
    </row>
    <row r="16" spans="1:12" ht="21.75">
      <c r="A16" s="68" t="s">
        <v>24</v>
      </c>
      <c r="B16" s="6" t="s">
        <v>18</v>
      </c>
      <c r="C16" s="29">
        <v>60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4.1666666666666661</v>
      </c>
      <c r="J16" s="29">
        <v>55</v>
      </c>
      <c r="K16" s="29">
        <v>60</v>
      </c>
      <c r="L16" s="31">
        <f>((C16+D16)/2-(J16+K16)/2)/((J16+K16)/2)*100</f>
        <v>8.695652173913043</v>
      </c>
    </row>
    <row r="17" spans="1:12" ht="21.75">
      <c r="A17" s="68" t="s">
        <v>25</v>
      </c>
      <c r="B17" s="80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69" t="s">
        <v>26</v>
      </c>
      <c r="B18" s="58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8" t="s">
        <v>27</v>
      </c>
      <c r="B19" s="6" t="s">
        <v>28</v>
      </c>
      <c r="C19" s="29">
        <v>172</v>
      </c>
      <c r="D19" s="29">
        <v>178</v>
      </c>
      <c r="E19" s="29">
        <v>172</v>
      </c>
      <c r="F19" s="29">
        <v>178</v>
      </c>
      <c r="G19" s="29">
        <v>168</v>
      </c>
      <c r="H19" s="29">
        <v>174</v>
      </c>
      <c r="I19" s="30">
        <f t="shared" ref="I19:I25" si="0">((C19+D19)/2-(G19+H19)/2)/((G19+H19)/2)*100</f>
        <v>2.3391812865497075</v>
      </c>
      <c r="J19" s="29">
        <v>151</v>
      </c>
      <c r="K19" s="29">
        <v>155</v>
      </c>
      <c r="L19" s="31">
        <f t="shared" ref="L19:L25" si="1">((C19+D19)/2-(J19+K19)/2)/((J19+K19)/2)*100</f>
        <v>14.37908496732026</v>
      </c>
    </row>
    <row r="20" spans="1:12" ht="21.75">
      <c r="A20" s="68" t="s">
        <v>29</v>
      </c>
      <c r="B20" s="6" t="s">
        <v>30</v>
      </c>
      <c r="C20" s="29">
        <v>890</v>
      </c>
      <c r="D20" s="29">
        <v>920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0</v>
      </c>
      <c r="J20" s="29">
        <v>800</v>
      </c>
      <c r="K20" s="29">
        <v>810</v>
      </c>
      <c r="L20" s="31">
        <f t="shared" si="1"/>
        <v>12.422360248447205</v>
      </c>
    </row>
    <row r="21" spans="1:12" ht="21.75">
      <c r="A21" s="68" t="s">
        <v>29</v>
      </c>
      <c r="B21" s="6" t="s">
        <v>31</v>
      </c>
      <c r="C21" s="29">
        <v>375</v>
      </c>
      <c r="D21" s="29">
        <v>380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0.26560424966799467</v>
      </c>
      <c r="J21" s="29">
        <v>330</v>
      </c>
      <c r="K21" s="29">
        <v>335</v>
      </c>
      <c r="L21" s="31">
        <f t="shared" si="1"/>
        <v>13.533834586466165</v>
      </c>
    </row>
    <row r="22" spans="1:12" ht="21.75">
      <c r="A22" s="68" t="s">
        <v>29</v>
      </c>
      <c r="B22" s="6" t="s">
        <v>32</v>
      </c>
      <c r="C22" s="29">
        <v>188</v>
      </c>
      <c r="D22" s="29">
        <v>190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0</v>
      </c>
      <c r="J22" s="29">
        <v>165</v>
      </c>
      <c r="K22" s="29">
        <v>170</v>
      </c>
      <c r="L22" s="31">
        <f t="shared" si="1"/>
        <v>12.835820895522387</v>
      </c>
    </row>
    <row r="23" spans="1:12" ht="21.75">
      <c r="A23" s="68" t="s">
        <v>33</v>
      </c>
      <c r="B23" s="6" t="s">
        <v>28</v>
      </c>
      <c r="C23" s="29">
        <v>155</v>
      </c>
      <c r="D23" s="29">
        <v>160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1.2861736334405145</v>
      </c>
      <c r="J23" s="29">
        <v>140</v>
      </c>
      <c r="K23" s="29">
        <v>144</v>
      </c>
      <c r="L23" s="31">
        <f t="shared" si="1"/>
        <v>10.915492957746478</v>
      </c>
    </row>
    <row r="24" spans="1:12" ht="21.75">
      <c r="A24" s="68" t="s">
        <v>106</v>
      </c>
      <c r="B24" s="6" t="s">
        <v>28</v>
      </c>
      <c r="C24" s="29">
        <v>158</v>
      </c>
      <c r="D24" s="29">
        <v>166</v>
      </c>
      <c r="E24" s="29">
        <v>155</v>
      </c>
      <c r="F24" s="29">
        <v>166</v>
      </c>
      <c r="G24" s="29">
        <v>155</v>
      </c>
      <c r="H24" s="29">
        <v>164</v>
      </c>
      <c r="I24" s="30">
        <f t="shared" si="0"/>
        <v>1.5673981191222568</v>
      </c>
      <c r="J24" s="29">
        <v>145</v>
      </c>
      <c r="K24" s="29">
        <v>150</v>
      </c>
      <c r="L24" s="31">
        <f t="shared" si="1"/>
        <v>9.8305084745762716</v>
      </c>
    </row>
    <row r="25" spans="1:12" ht="21.75">
      <c r="A25" s="68" t="s">
        <v>34</v>
      </c>
      <c r="B25" s="6" t="s">
        <v>30</v>
      </c>
      <c r="C25" s="29">
        <v>1030</v>
      </c>
      <c r="D25" s="29">
        <v>1050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-1.4218009478672986</v>
      </c>
      <c r="J25" s="29">
        <v>880</v>
      </c>
      <c r="K25" s="29">
        <v>900</v>
      </c>
      <c r="L25" s="31">
        <f t="shared" si="1"/>
        <v>16.853932584269664</v>
      </c>
    </row>
    <row r="26" spans="1:12" ht="21.75">
      <c r="A26" s="69" t="s">
        <v>35</v>
      </c>
      <c r="B26" s="58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8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8" t="s">
        <v>110</v>
      </c>
      <c r="B28" s="6" t="s">
        <v>18</v>
      </c>
      <c r="C28" s="29">
        <v>125</v>
      </c>
      <c r="D28" s="29">
        <v>140</v>
      </c>
      <c r="E28" s="29">
        <v>110</v>
      </c>
      <c r="F28" s="29">
        <v>140</v>
      </c>
      <c r="G28" s="29">
        <v>110</v>
      </c>
      <c r="H28" s="29">
        <v>140</v>
      </c>
      <c r="I28" s="30">
        <f t="shared" si="2"/>
        <v>6</v>
      </c>
      <c r="J28" s="29">
        <v>115</v>
      </c>
      <c r="K28" s="29">
        <v>120</v>
      </c>
      <c r="L28" s="31">
        <f t="shared" si="3"/>
        <v>12.76595744680851</v>
      </c>
    </row>
    <row r="29" spans="1:12" ht="21.75">
      <c r="A29" s="68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8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160</v>
      </c>
      <c r="K30" s="29">
        <v>180</v>
      </c>
      <c r="L30" s="31">
        <f t="shared" si="3"/>
        <v>-11.76470588235294</v>
      </c>
    </row>
    <row r="31" spans="1:12" ht="21.75">
      <c r="A31" s="68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8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115</v>
      </c>
      <c r="G32" s="29">
        <v>95</v>
      </c>
      <c r="H32" s="29">
        <v>110</v>
      </c>
      <c r="I32" s="30">
        <f t="shared" si="2"/>
        <v>2.4390243902439024</v>
      </c>
      <c r="J32" s="29">
        <v>120</v>
      </c>
      <c r="K32" s="29">
        <v>130</v>
      </c>
      <c r="L32" s="31">
        <f t="shared" si="3"/>
        <v>-16</v>
      </c>
    </row>
    <row r="33" spans="1:12" ht="21.75">
      <c r="A33" s="68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30</v>
      </c>
      <c r="G33" s="29">
        <v>25</v>
      </c>
      <c r="H33" s="29">
        <v>30</v>
      </c>
      <c r="I33" s="30">
        <f t="shared" si="2"/>
        <v>-18.181818181818183</v>
      </c>
      <c r="J33" s="29">
        <v>50</v>
      </c>
      <c r="K33" s="29">
        <v>60</v>
      </c>
      <c r="L33" s="31">
        <f t="shared" si="3"/>
        <v>-59.090909090909093</v>
      </c>
    </row>
    <row r="34" spans="1:12" ht="21.75">
      <c r="A34" s="69" t="s">
        <v>43</v>
      </c>
      <c r="B34" s="58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8" t="s">
        <v>90</v>
      </c>
      <c r="B35" s="6" t="s">
        <v>18</v>
      </c>
      <c r="C35" s="29">
        <v>70</v>
      </c>
      <c r="D35" s="29">
        <v>80</v>
      </c>
      <c r="E35" s="29">
        <v>65</v>
      </c>
      <c r="F35" s="29">
        <v>80</v>
      </c>
      <c r="G35" s="29">
        <v>75</v>
      </c>
      <c r="H35" s="29">
        <v>85</v>
      </c>
      <c r="I35" s="30">
        <f t="shared" ref="I35:I50" si="4">((C35+D35)/2-(G35+H35)/2)/((G35+H35)/2)*100</f>
        <v>-6.25</v>
      </c>
      <c r="J35" s="29">
        <v>105</v>
      </c>
      <c r="K35" s="29">
        <v>115</v>
      </c>
      <c r="L35" s="31">
        <f t="shared" ref="L35:L50" si="5">((C35+D35)/2-(J35+K35)/2)/((J35+K35)/2)*100</f>
        <v>-31.818181818181817</v>
      </c>
    </row>
    <row r="36" spans="1:12" ht="21.75">
      <c r="A36" s="68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95</v>
      </c>
      <c r="K36" s="29">
        <v>100</v>
      </c>
      <c r="L36" s="31">
        <f t="shared" si="5"/>
        <v>-100</v>
      </c>
    </row>
    <row r="37" spans="1:12" ht="21.75">
      <c r="A37" s="68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210</v>
      </c>
      <c r="K37" s="29">
        <v>220</v>
      </c>
      <c r="L37" s="31">
        <f t="shared" si="5"/>
        <v>-44.186046511627907</v>
      </c>
    </row>
    <row r="38" spans="1:12" ht="21.75">
      <c r="A38" s="68" t="s">
        <v>46</v>
      </c>
      <c r="B38" s="6" t="s">
        <v>18</v>
      </c>
      <c r="C38" s="29">
        <v>130</v>
      </c>
      <c r="D38" s="29">
        <v>190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-3.0303030303030303</v>
      </c>
      <c r="J38" s="29">
        <v>200</v>
      </c>
      <c r="K38" s="29">
        <v>220</v>
      </c>
      <c r="L38" s="31">
        <f t="shared" si="5"/>
        <v>-23.809523809523807</v>
      </c>
    </row>
    <row r="39" spans="1:12" ht="21.75">
      <c r="A39" s="68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250</v>
      </c>
      <c r="H39" s="29">
        <v>350</v>
      </c>
      <c r="I39" s="30">
        <f>((C39+D39)/2-(G39+H39)/2)/((G39+H39)/2)*100</f>
        <v>-8.3333333333333321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8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420</v>
      </c>
      <c r="G40" s="29">
        <v>320</v>
      </c>
      <c r="H40" s="29">
        <v>430</v>
      </c>
      <c r="I40" s="30">
        <f t="shared" si="4"/>
        <v>-13.333333333333334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8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8" t="s">
        <v>50</v>
      </c>
      <c r="B42" s="6" t="s">
        <v>18</v>
      </c>
      <c r="C42" s="29">
        <v>300</v>
      </c>
      <c r="D42" s="29">
        <v>400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-2.7777777777777777</v>
      </c>
      <c r="J42" s="29">
        <v>300</v>
      </c>
      <c r="K42" s="29">
        <v>350</v>
      </c>
      <c r="L42" s="31">
        <f t="shared" si="5"/>
        <v>7.6923076923076925</v>
      </c>
    </row>
    <row r="43" spans="1:12" ht="21.75">
      <c r="A43" s="68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8" t="s">
        <v>52</v>
      </c>
      <c r="B44" s="6" t="s">
        <v>18</v>
      </c>
      <c r="C44" s="29">
        <v>140</v>
      </c>
      <c r="D44" s="29">
        <v>250</v>
      </c>
      <c r="E44" s="29">
        <v>140</v>
      </c>
      <c r="F44" s="29">
        <v>250</v>
      </c>
      <c r="G44" s="29">
        <v>170</v>
      </c>
      <c r="H44" s="29">
        <v>250</v>
      </c>
      <c r="I44" s="30">
        <f t="shared" si="4"/>
        <v>-7.1428571428571423</v>
      </c>
      <c r="J44" s="29">
        <v>200</v>
      </c>
      <c r="K44" s="29">
        <v>280</v>
      </c>
      <c r="L44" s="31">
        <f t="shared" si="5"/>
        <v>-18.75</v>
      </c>
    </row>
    <row r="45" spans="1:12" ht="21.75">
      <c r="A45" s="68" t="s">
        <v>53</v>
      </c>
      <c r="B45" s="6" t="s">
        <v>18</v>
      </c>
      <c r="C45" s="29">
        <v>600</v>
      </c>
      <c r="D45" s="29">
        <v>700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-3.7037037037037033</v>
      </c>
      <c r="J45" s="29">
        <v>680</v>
      </c>
      <c r="K45" s="29">
        <v>750</v>
      </c>
      <c r="L45" s="31">
        <f t="shared" si="5"/>
        <v>-9.0909090909090917</v>
      </c>
    </row>
    <row r="46" spans="1:12" ht="21.75">
      <c r="A46" s="68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450</v>
      </c>
      <c r="K46" s="29">
        <v>550</v>
      </c>
      <c r="L46" s="31">
        <f t="shared" si="5"/>
        <v>8</v>
      </c>
    </row>
    <row r="47" spans="1:12" ht="21.75">
      <c r="A47" s="68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8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3650</v>
      </c>
      <c r="L48" s="31">
        <f t="shared" si="5"/>
        <v>50.364963503649641</v>
      </c>
    </row>
    <row r="49" spans="1:12" ht="21.75">
      <c r="A49" s="68" t="s">
        <v>57</v>
      </c>
      <c r="B49" s="6" t="s">
        <v>18</v>
      </c>
      <c r="C49" s="29">
        <v>220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8.695652173913043</v>
      </c>
    </row>
    <row r="50" spans="1:12" ht="21.75">
      <c r="A50" s="68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6" t="s">
        <v>59</v>
      </c>
      <c r="B51" s="58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8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400</v>
      </c>
      <c r="L52" s="31">
        <f t="shared" ref="L52:L57" si="7">((C52+D52)/2-(J52+K52)/2)/((J52+K52)/2)*100</f>
        <v>10.294117647058822</v>
      </c>
    </row>
    <row r="53" spans="1:12" ht="21.75">
      <c r="A53" s="68" t="s">
        <v>61</v>
      </c>
      <c r="B53" s="6" t="s">
        <v>18</v>
      </c>
      <c r="C53" s="29">
        <v>0</v>
      </c>
      <c r="D53" s="29">
        <v>0</v>
      </c>
      <c r="E53" s="29">
        <v>900</v>
      </c>
      <c r="F53" s="29">
        <v>2200</v>
      </c>
      <c r="G53" s="29">
        <v>900</v>
      </c>
      <c r="H53" s="29">
        <v>2200</v>
      </c>
      <c r="I53" s="30">
        <f t="shared" si="6"/>
        <v>-100</v>
      </c>
      <c r="J53" s="29">
        <v>800</v>
      </c>
      <c r="K53" s="29">
        <v>1800</v>
      </c>
      <c r="L53" s="31">
        <f t="shared" si="7"/>
        <v>-100</v>
      </c>
    </row>
    <row r="54" spans="1:12" ht="21.75">
      <c r="A54" s="68" t="s">
        <v>91</v>
      </c>
      <c r="B54" s="6" t="s">
        <v>18</v>
      </c>
      <c r="C54" s="29">
        <v>750</v>
      </c>
      <c r="D54" s="29">
        <v>780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-1.2903225806451613</v>
      </c>
      <c r="J54" s="29">
        <v>650</v>
      </c>
      <c r="K54" s="29">
        <v>750</v>
      </c>
      <c r="L54" s="31">
        <f t="shared" si="7"/>
        <v>9.2857142857142865</v>
      </c>
    </row>
    <row r="55" spans="1:12" ht="21.75">
      <c r="A55" s="68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1000</v>
      </c>
      <c r="K55" s="29">
        <v>1100</v>
      </c>
      <c r="L55" s="31">
        <f t="shared" si="7"/>
        <v>4.7619047619047619</v>
      </c>
    </row>
    <row r="56" spans="1:12" ht="21.75">
      <c r="A56" s="68" t="s">
        <v>62</v>
      </c>
      <c r="B56" s="6" t="s">
        <v>18</v>
      </c>
      <c r="C56" s="29">
        <v>170</v>
      </c>
      <c r="D56" s="29">
        <v>190</v>
      </c>
      <c r="E56" s="29">
        <v>160</v>
      </c>
      <c r="F56" s="29">
        <v>185</v>
      </c>
      <c r="G56" s="29">
        <v>170</v>
      </c>
      <c r="H56" s="29">
        <v>180</v>
      </c>
      <c r="I56" s="30">
        <f t="shared" si="6"/>
        <v>2.8571428571428572</v>
      </c>
      <c r="J56" s="29">
        <v>190</v>
      </c>
      <c r="K56" s="29">
        <v>200</v>
      </c>
      <c r="L56" s="31">
        <f t="shared" si="7"/>
        <v>-7.6923076923076925</v>
      </c>
    </row>
    <row r="57" spans="1:12" ht="21.75">
      <c r="A57" s="68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500</v>
      </c>
      <c r="K57" s="29">
        <v>600</v>
      </c>
      <c r="L57" s="31">
        <f t="shared" si="7"/>
        <v>9.0909090909090917</v>
      </c>
    </row>
    <row r="58" spans="1:12" ht="21.75">
      <c r="A58" s="70" t="s">
        <v>64</v>
      </c>
      <c r="B58" s="59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8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8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8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8" t="s">
        <v>69</v>
      </c>
      <c r="B62" s="60" t="s">
        <v>66</v>
      </c>
      <c r="C62" s="29">
        <v>840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0.57803468208092479</v>
      </c>
      <c r="J62" s="29">
        <v>775</v>
      </c>
      <c r="K62" s="29">
        <v>830</v>
      </c>
      <c r="L62" s="31">
        <f>((C62+D62)/2-(J62+K62)/2)/((J62+K62)/2)*100</f>
        <v>8.4112149532710276</v>
      </c>
    </row>
    <row r="63" spans="1:12" ht="24" customHeight="1">
      <c r="A63" s="71"/>
      <c r="B63" s="79"/>
      <c r="C63" s="76"/>
      <c r="D63" s="76"/>
      <c r="E63" s="76"/>
      <c r="F63" s="76"/>
      <c r="G63" s="76"/>
      <c r="H63" s="76"/>
      <c r="I63" s="77"/>
      <c r="J63" s="76"/>
      <c r="K63" s="76"/>
      <c r="L63" s="78"/>
    </row>
    <row r="64" spans="1:12" ht="20.25" customHeight="1">
      <c r="A64" s="71"/>
      <c r="B64" s="3"/>
      <c r="C64" s="61"/>
      <c r="D64" s="61"/>
      <c r="E64" s="61"/>
      <c r="F64" s="61"/>
      <c r="G64" s="61"/>
      <c r="H64" s="61"/>
      <c r="I64" s="9"/>
      <c r="J64" s="74"/>
      <c r="K64" s="74"/>
      <c r="L64" s="62"/>
    </row>
    <row r="65" spans="1:12" ht="20.25" customHeight="1">
      <c r="A65" s="71"/>
      <c r="B65" s="3"/>
      <c r="C65" s="61"/>
      <c r="D65" s="61"/>
      <c r="E65" s="61"/>
      <c r="F65" s="61"/>
      <c r="G65" s="61"/>
      <c r="H65" s="61"/>
      <c r="I65" s="9"/>
      <c r="J65" s="74"/>
      <c r="K65" s="74"/>
      <c r="L65" s="62"/>
    </row>
    <row r="66" spans="1:12" ht="21.75">
      <c r="A66" s="68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2"/>
      <c r="B67" s="63"/>
      <c r="C67" s="83">
        <v>45943</v>
      </c>
      <c r="D67" s="84"/>
      <c r="E67" s="83">
        <v>45936</v>
      </c>
      <c r="F67" s="84"/>
      <c r="G67" s="83">
        <v>45913</v>
      </c>
      <c r="H67" s="84"/>
      <c r="I67" s="26" t="s">
        <v>12</v>
      </c>
      <c r="J67" s="83">
        <v>45572</v>
      </c>
      <c r="K67" s="84"/>
      <c r="L67" s="26" t="s">
        <v>12</v>
      </c>
    </row>
    <row r="68" spans="1:12" ht="21.75">
      <c r="A68" s="73" t="s">
        <v>70</v>
      </c>
      <c r="B68" s="64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8" t="s">
        <v>71</v>
      </c>
      <c r="B69" s="6" t="s">
        <v>18</v>
      </c>
      <c r="C69" s="29">
        <v>105</v>
      </c>
      <c r="D69" s="29">
        <v>110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-2.2727272727272729</v>
      </c>
      <c r="J69" s="29">
        <v>128</v>
      </c>
      <c r="K69" s="29">
        <v>135</v>
      </c>
      <c r="L69" s="31">
        <f t="shared" ref="L69:L75" si="8">((C69+D69)/2-(J69+K69)/2)/((J69+K69)/2)*100</f>
        <v>-18.250950570342205</v>
      </c>
    </row>
    <row r="70" spans="1:12" ht="21.75">
      <c r="A70" s="68" t="s">
        <v>72</v>
      </c>
      <c r="B70" s="65" t="s">
        <v>18</v>
      </c>
      <c r="C70" s="29">
        <v>220</v>
      </c>
      <c r="D70" s="29">
        <v>450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-12.987012987012985</v>
      </c>
      <c r="J70" s="29">
        <v>250</v>
      </c>
      <c r="K70" s="29">
        <v>450</v>
      </c>
      <c r="L70" s="31">
        <f t="shared" si="8"/>
        <v>-4.2857142857142856</v>
      </c>
    </row>
    <row r="71" spans="1:12" ht="21.75">
      <c r="A71" s="68" t="s">
        <v>108</v>
      </c>
      <c r="B71" s="65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8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54</v>
      </c>
      <c r="K72" s="37">
        <v>58</v>
      </c>
      <c r="L72" s="31">
        <f t="shared" si="8"/>
        <v>-15.178571428571427</v>
      </c>
    </row>
    <row r="73" spans="1:12" ht="21.75">
      <c r="A73" s="68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35</v>
      </c>
      <c r="L73" s="31">
        <f t="shared" si="8"/>
        <v>7.6923076923076925</v>
      </c>
    </row>
    <row r="74" spans="1:12" ht="21.75">
      <c r="A74" s="68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8" t="s">
        <v>79</v>
      </c>
      <c r="B75" s="6" t="s">
        <v>78</v>
      </c>
      <c r="C75" s="29">
        <v>76000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21.75" customHeight="1">
      <c r="A76" s="86" t="s">
        <v>120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3" t="s">
        <v>80</v>
      </c>
      <c r="B81" s="44"/>
      <c r="C81" s="45"/>
      <c r="D81" s="45"/>
      <c r="E81" s="45"/>
      <c r="F81" s="45"/>
      <c r="G81" s="46"/>
      <c r="H81" s="46"/>
      <c r="I81" s="45"/>
      <c r="J81" s="45"/>
      <c r="K81" s="45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82" t="s">
        <v>12</v>
      </c>
      <c r="H82" s="88" t="s">
        <v>84</v>
      </c>
      <c r="I82" s="92"/>
      <c r="J82" s="89"/>
      <c r="K82" s="49"/>
      <c r="L82" s="17"/>
    </row>
    <row r="83" spans="1:12" ht="21.75">
      <c r="A83" s="5" t="s">
        <v>110</v>
      </c>
      <c r="B83" s="6" t="s">
        <v>18</v>
      </c>
      <c r="C83" s="29">
        <v>125</v>
      </c>
      <c r="D83" s="29">
        <v>140</v>
      </c>
      <c r="E83" s="29">
        <v>110</v>
      </c>
      <c r="F83" s="29">
        <v>140</v>
      </c>
      <c r="G83" s="7">
        <f t="shared" ref="G83:G89" si="10">((C83+D83)/2-(E83+F83)/2)/((E83+F83)/2)*100</f>
        <v>6</v>
      </c>
      <c r="H83" s="5" t="s">
        <v>121</v>
      </c>
      <c r="I83" s="6"/>
      <c r="J83" s="6"/>
      <c r="K83" s="49"/>
      <c r="L83" s="17"/>
    </row>
    <row r="84" spans="1:12" ht="21.75">
      <c r="A84" s="68" t="s">
        <v>62</v>
      </c>
      <c r="B84" s="6" t="s">
        <v>18</v>
      </c>
      <c r="C84" s="29">
        <v>170</v>
      </c>
      <c r="D84" s="29">
        <v>190</v>
      </c>
      <c r="E84" s="29">
        <v>160</v>
      </c>
      <c r="F84" s="29">
        <v>185</v>
      </c>
      <c r="G84" s="7">
        <f t="shared" si="10"/>
        <v>4.3478260869565215</v>
      </c>
      <c r="H84" s="5" t="s">
        <v>125</v>
      </c>
      <c r="I84" s="6"/>
      <c r="J84" s="6"/>
      <c r="K84" s="49"/>
      <c r="L84" s="17"/>
    </row>
    <row r="85" spans="1:12" ht="21.75">
      <c r="A85" s="68" t="s">
        <v>48</v>
      </c>
      <c r="B85" s="6" t="s">
        <v>18</v>
      </c>
      <c r="C85" s="29">
        <v>300</v>
      </c>
      <c r="D85" s="29">
        <v>350</v>
      </c>
      <c r="E85" s="29">
        <v>300</v>
      </c>
      <c r="F85" s="29">
        <v>450</v>
      </c>
      <c r="G85" s="7">
        <f t="shared" si="10"/>
        <v>-13.333333333333334</v>
      </c>
      <c r="H85" s="5" t="s">
        <v>117</v>
      </c>
      <c r="I85" s="6"/>
      <c r="J85" s="6"/>
      <c r="K85" s="11"/>
      <c r="L85" s="11"/>
    </row>
    <row r="86" spans="1:12" ht="21.75">
      <c r="A86" s="68" t="s">
        <v>41</v>
      </c>
      <c r="B86" s="6" t="s">
        <v>18</v>
      </c>
      <c r="C86" s="29">
        <v>100</v>
      </c>
      <c r="D86" s="29">
        <v>110</v>
      </c>
      <c r="E86" s="29">
        <v>100</v>
      </c>
      <c r="F86" s="29">
        <v>115</v>
      </c>
      <c r="G86" s="7">
        <f t="shared" si="10"/>
        <v>-2.3255813953488373</v>
      </c>
      <c r="H86" s="5" t="s">
        <v>126</v>
      </c>
      <c r="I86" s="6"/>
      <c r="J86" s="6"/>
      <c r="K86" s="11"/>
      <c r="L86" s="11"/>
    </row>
    <row r="87" spans="1:12" ht="21.75">
      <c r="A87" s="68" t="s">
        <v>42</v>
      </c>
      <c r="B87" s="6" t="s">
        <v>18</v>
      </c>
      <c r="C87" s="29">
        <v>20</v>
      </c>
      <c r="D87" s="29">
        <v>25</v>
      </c>
      <c r="E87" s="29">
        <v>18</v>
      </c>
      <c r="F87" s="29">
        <v>30</v>
      </c>
      <c r="G87" s="7">
        <f t="shared" si="10"/>
        <v>-6.25</v>
      </c>
      <c r="H87" s="5" t="s">
        <v>126</v>
      </c>
      <c r="I87" s="6"/>
      <c r="J87" s="6"/>
      <c r="K87" s="11"/>
      <c r="L87" s="11"/>
    </row>
    <row r="88" spans="1:12" ht="21.75">
      <c r="A88" s="68" t="s">
        <v>71</v>
      </c>
      <c r="B88" s="6" t="s">
        <v>18</v>
      </c>
      <c r="C88" s="29">
        <v>105</v>
      </c>
      <c r="D88" s="29">
        <v>110</v>
      </c>
      <c r="E88" s="29">
        <v>105</v>
      </c>
      <c r="F88" s="29">
        <v>115</v>
      </c>
      <c r="G88" s="7">
        <f t="shared" si="10"/>
        <v>-2.2727272727272729</v>
      </c>
      <c r="H88" s="5" t="s">
        <v>126</v>
      </c>
      <c r="I88" s="6"/>
      <c r="J88" s="6"/>
      <c r="K88" s="11"/>
      <c r="L88" s="11"/>
    </row>
    <row r="89" spans="1:12" ht="24.75">
      <c r="A89" s="68" t="s">
        <v>17</v>
      </c>
      <c r="B89" s="6" t="s">
        <v>18</v>
      </c>
      <c r="C89" s="29">
        <v>72</v>
      </c>
      <c r="D89" s="29">
        <v>85</v>
      </c>
      <c r="E89" s="29">
        <v>75</v>
      </c>
      <c r="F89" s="29">
        <v>88</v>
      </c>
      <c r="G89" s="7">
        <f t="shared" si="10"/>
        <v>-3.6809815950920246</v>
      </c>
      <c r="H89" s="5" t="s">
        <v>117</v>
      </c>
      <c r="I89" s="6"/>
      <c r="J89" s="6"/>
      <c r="K89" s="39"/>
      <c r="L89" s="11"/>
    </row>
    <row r="90" spans="1:12" ht="24.75">
      <c r="A90" s="71"/>
      <c r="B90" s="3"/>
      <c r="C90" s="76"/>
      <c r="D90" s="76"/>
      <c r="E90" s="76"/>
      <c r="F90" s="76"/>
      <c r="G90" s="9"/>
      <c r="H90" s="1"/>
      <c r="I90" s="3"/>
      <c r="J90" s="3"/>
      <c r="K90" s="39"/>
      <c r="L90" s="11"/>
    </row>
    <row r="91" spans="1:12" ht="24.75">
      <c r="A91" s="71"/>
      <c r="B91" s="3"/>
      <c r="C91" s="76"/>
      <c r="D91" s="76"/>
      <c r="E91" s="76"/>
      <c r="F91" s="76"/>
      <c r="G91" s="9"/>
      <c r="H91" s="1"/>
      <c r="I91" s="3"/>
      <c r="J91" s="3"/>
      <c r="K91" s="39"/>
      <c r="L91" s="11"/>
    </row>
    <row r="92" spans="1:12" ht="24.75">
      <c r="A92" s="71"/>
      <c r="B92" s="3"/>
      <c r="C92" s="76"/>
      <c r="D92" s="76"/>
      <c r="E92" s="76"/>
      <c r="F92" s="76"/>
      <c r="G92" s="9"/>
      <c r="H92" s="1"/>
      <c r="I92" s="3"/>
      <c r="J92" s="3"/>
      <c r="K92" s="39"/>
      <c r="L92" s="11"/>
    </row>
    <row r="93" spans="1:12" ht="24.75">
      <c r="A93" s="1"/>
      <c r="B93" s="40"/>
      <c r="C93" s="41" t="s">
        <v>115</v>
      </c>
      <c r="D93" s="10"/>
      <c r="E93" s="40"/>
      <c r="F93" s="13"/>
      <c r="G93" s="10"/>
      <c r="H93" s="38"/>
      <c r="I93" s="12"/>
      <c r="J93" s="13" t="s">
        <v>118</v>
      </c>
      <c r="K93" s="10"/>
      <c r="L93" s="10"/>
    </row>
    <row r="94" spans="1:12" ht="24.75">
      <c r="A94" s="1"/>
      <c r="B94" s="42"/>
      <c r="C94" s="41" t="s">
        <v>116</v>
      </c>
      <c r="D94" s="13"/>
      <c r="E94" s="40"/>
      <c r="F94" s="43"/>
      <c r="G94" s="45"/>
      <c r="H94" s="45"/>
      <c r="I94" s="75"/>
      <c r="J94" s="13" t="s">
        <v>119</v>
      </c>
      <c r="K94" s="13"/>
      <c r="L94" s="13"/>
    </row>
    <row r="95" spans="1:12" ht="24.75">
      <c r="A95" s="1"/>
      <c r="B95" s="13"/>
      <c r="C95" s="14"/>
      <c r="D95" s="13"/>
      <c r="E95" s="14"/>
      <c r="F95" s="43"/>
      <c r="G95" s="45"/>
      <c r="H95" s="45"/>
      <c r="I95" s="44"/>
      <c r="J95" s="10"/>
      <c r="K95" s="10"/>
      <c r="L95" s="2"/>
    </row>
    <row r="96" spans="1:12" ht="19.5">
      <c r="A96" s="54" t="s">
        <v>93</v>
      </c>
      <c r="B96" s="52"/>
      <c r="C96" s="50"/>
      <c r="D96" s="52"/>
      <c r="E96" s="50"/>
      <c r="F96" s="50"/>
      <c r="G96" s="50"/>
      <c r="H96" s="51"/>
      <c r="I96" s="56"/>
      <c r="J96" s="2"/>
      <c r="K96" s="2"/>
      <c r="L96" s="2"/>
    </row>
    <row r="97" spans="1:12" ht="19.5">
      <c r="A97" s="53" t="s">
        <v>99</v>
      </c>
      <c r="B97" s="52"/>
      <c r="C97" s="50"/>
      <c r="D97" s="52"/>
      <c r="E97" s="50"/>
      <c r="F97" s="50"/>
      <c r="G97" s="52"/>
      <c r="H97" s="51"/>
      <c r="I97" s="56"/>
      <c r="J97" s="2"/>
      <c r="K97" s="2"/>
      <c r="L97" s="2"/>
    </row>
    <row r="98" spans="1:12" ht="19.5">
      <c r="A98" s="53" t="s">
        <v>98</v>
      </c>
      <c r="B98" s="52"/>
      <c r="C98" s="52"/>
      <c r="D98" s="52"/>
      <c r="E98" s="52"/>
      <c r="F98" s="50"/>
      <c r="G98" s="52"/>
      <c r="H98" s="51"/>
      <c r="I98" s="56"/>
      <c r="J98" s="2"/>
      <c r="K98" s="2"/>
      <c r="L98" s="2"/>
    </row>
    <row r="99" spans="1:12" ht="19.5">
      <c r="A99" s="53" t="s">
        <v>85</v>
      </c>
      <c r="B99" s="52"/>
      <c r="C99" s="52"/>
      <c r="D99" s="52"/>
      <c r="E99" s="52"/>
      <c r="F99" s="51"/>
      <c r="G99" s="51"/>
      <c r="H99" s="51"/>
      <c r="I99" s="56"/>
      <c r="J99" s="2"/>
      <c r="K99" s="2"/>
      <c r="L99" s="2"/>
    </row>
    <row r="100" spans="1:12" ht="19.5">
      <c r="A100" s="53" t="s">
        <v>97</v>
      </c>
      <c r="B100" s="52"/>
      <c r="C100" s="52"/>
      <c r="D100" s="52"/>
      <c r="E100" s="52"/>
      <c r="F100" s="52"/>
      <c r="G100" s="51"/>
      <c r="H100" s="51"/>
      <c r="I100" s="56"/>
      <c r="J100" s="2"/>
      <c r="K100" s="2"/>
      <c r="L100" s="2"/>
    </row>
    <row r="101" spans="1:12" ht="19.5">
      <c r="A101" s="53" t="s">
        <v>96</v>
      </c>
      <c r="B101" s="52"/>
      <c r="C101" s="52"/>
      <c r="D101" s="52"/>
      <c r="E101" s="52"/>
      <c r="F101" s="52"/>
      <c r="G101" s="52"/>
      <c r="H101" s="51"/>
      <c r="I101" s="56"/>
      <c r="J101" s="2"/>
      <c r="K101" s="2"/>
      <c r="L101" s="2"/>
    </row>
    <row r="102" spans="1:12" ht="19.5">
      <c r="A102" s="53" t="s">
        <v>107</v>
      </c>
      <c r="B102" s="52"/>
      <c r="C102" s="52"/>
      <c r="D102" s="52"/>
      <c r="E102" s="52"/>
      <c r="F102" s="52"/>
      <c r="G102" s="52"/>
      <c r="H102" s="51"/>
      <c r="I102" s="56"/>
      <c r="J102" s="2"/>
      <c r="K102" s="2"/>
      <c r="L102" s="2"/>
    </row>
    <row r="103" spans="1:12" ht="19.5">
      <c r="A103" s="53" t="s">
        <v>95</v>
      </c>
      <c r="B103" s="52"/>
      <c r="C103" s="52"/>
      <c r="D103" s="52"/>
      <c r="E103" s="52"/>
      <c r="F103" s="52"/>
      <c r="G103" s="52"/>
      <c r="H103" s="51"/>
      <c r="I103" s="56"/>
      <c r="J103" s="2"/>
      <c r="K103" s="2"/>
      <c r="L103" s="2"/>
    </row>
    <row r="104" spans="1:12" ht="19.5">
      <c r="A104" s="53" t="s">
        <v>94</v>
      </c>
      <c r="B104" s="52"/>
      <c r="C104" s="52"/>
      <c r="D104" s="52"/>
      <c r="E104" s="52"/>
      <c r="F104" s="52"/>
      <c r="G104" s="52"/>
      <c r="H104" s="51"/>
      <c r="I104" s="56"/>
      <c r="J104" s="2"/>
      <c r="K104" s="2"/>
      <c r="L104" s="2"/>
    </row>
    <row r="105" spans="1:12" ht="19.5">
      <c r="A105" s="53" t="s">
        <v>86</v>
      </c>
      <c r="B105" s="52"/>
      <c r="C105" s="52"/>
      <c r="D105" s="52"/>
      <c r="E105" s="52"/>
      <c r="F105" s="52"/>
      <c r="G105" s="52"/>
      <c r="H105" s="51"/>
      <c r="I105" s="56"/>
      <c r="J105" s="2"/>
      <c r="K105" s="2"/>
      <c r="L105" s="2"/>
    </row>
    <row r="106" spans="1:12" ht="19.5">
      <c r="A106" s="53" t="s">
        <v>101</v>
      </c>
      <c r="B106" s="52"/>
      <c r="C106" s="52"/>
      <c r="D106" s="52"/>
      <c r="E106" s="52"/>
      <c r="F106" s="52"/>
      <c r="G106" s="52"/>
      <c r="H106" s="51"/>
      <c r="I106" s="56"/>
      <c r="J106" s="2"/>
      <c r="K106" s="2"/>
      <c r="L106" s="2"/>
    </row>
    <row r="107" spans="1:12" ht="19.5">
      <c r="A107" s="53" t="s">
        <v>100</v>
      </c>
      <c r="B107" s="52"/>
      <c r="C107" s="52"/>
      <c r="D107" s="52"/>
      <c r="E107" s="52"/>
      <c r="F107" s="52"/>
      <c r="G107" s="52"/>
      <c r="H107" s="51"/>
      <c r="I107" s="56"/>
      <c r="J107" s="2"/>
      <c r="K107" s="2"/>
      <c r="L107" s="2"/>
    </row>
    <row r="108" spans="1:12" ht="19.5">
      <c r="A108" s="53" t="s">
        <v>102</v>
      </c>
      <c r="B108" s="52"/>
      <c r="C108" s="52"/>
      <c r="D108" s="52"/>
      <c r="E108" s="52"/>
      <c r="F108" s="52"/>
      <c r="G108" s="52"/>
      <c r="H108" s="51"/>
      <c r="I108" s="56"/>
      <c r="J108" s="2"/>
      <c r="K108" s="2"/>
      <c r="L108" s="2"/>
    </row>
    <row r="109" spans="1:12" ht="19.5">
      <c r="A109" s="53" t="s">
        <v>103</v>
      </c>
      <c r="B109" s="52"/>
      <c r="C109" s="52"/>
      <c r="D109" s="52"/>
      <c r="E109" s="52"/>
      <c r="F109" s="52"/>
      <c r="G109" s="52"/>
      <c r="H109" s="51"/>
      <c r="I109" s="56"/>
      <c r="J109" s="2"/>
      <c r="K109" s="2"/>
      <c r="L109" s="2"/>
    </row>
    <row r="110" spans="1:12" ht="19.5">
      <c r="A110" s="53" t="s">
        <v>87</v>
      </c>
      <c r="B110" s="52"/>
      <c r="C110" s="52"/>
      <c r="D110" s="52"/>
      <c r="E110" s="52"/>
      <c r="F110" s="52"/>
      <c r="G110" s="52"/>
      <c r="H110" s="55"/>
      <c r="I110" s="57"/>
      <c r="J110" s="11"/>
      <c r="K110" s="11"/>
      <c r="L110" s="11"/>
    </row>
    <row r="111" spans="1:12" ht="19.5">
      <c r="A111" s="53"/>
      <c r="B111" s="52"/>
      <c r="C111" s="52"/>
      <c r="D111" s="52"/>
      <c r="E111" s="52"/>
      <c r="F111" s="52"/>
      <c r="G111" s="52"/>
      <c r="H111" s="55"/>
      <c r="I111" s="57"/>
      <c r="J111" s="11"/>
      <c r="K111" s="11"/>
      <c r="L111" s="11"/>
    </row>
    <row r="112" spans="1:12" ht="19.5">
      <c r="A112" s="54" t="s">
        <v>88</v>
      </c>
      <c r="B112" s="52"/>
      <c r="C112" s="52"/>
      <c r="D112" s="52"/>
      <c r="E112" s="52"/>
      <c r="F112" s="52"/>
      <c r="G112" s="52"/>
      <c r="H112" s="55"/>
      <c r="I112" s="57"/>
      <c r="J112" s="11"/>
      <c r="K112" s="11"/>
      <c r="L112" s="11"/>
    </row>
    <row r="113" spans="1:12" ht="19.5">
      <c r="A113" s="53" t="s">
        <v>89</v>
      </c>
      <c r="B113" s="52"/>
      <c r="C113" s="52"/>
      <c r="D113" s="52"/>
      <c r="E113" s="52"/>
      <c r="F113" s="52"/>
      <c r="G113" s="52"/>
      <c r="H113" s="55"/>
      <c r="I113" s="57"/>
      <c r="J113" s="11"/>
      <c r="K113" s="11"/>
      <c r="L113" s="11"/>
    </row>
    <row r="114" spans="1:12" ht="19.5">
      <c r="A114" s="53" t="s">
        <v>114</v>
      </c>
      <c r="B114" s="52"/>
      <c r="C114" s="52"/>
      <c r="D114" s="52"/>
      <c r="E114" s="52"/>
      <c r="F114" s="52"/>
      <c r="G114" s="52"/>
      <c r="H114" s="55"/>
      <c r="I114" s="57"/>
      <c r="J114" s="11"/>
      <c r="K114" s="11"/>
      <c r="L114" s="11"/>
    </row>
    <row r="115" spans="1:12" ht="19.5">
      <c r="A115" s="53" t="s">
        <v>113</v>
      </c>
      <c r="B115" s="52"/>
      <c r="C115" s="52"/>
      <c r="D115" s="52"/>
      <c r="E115" s="52"/>
      <c r="F115" s="52"/>
      <c r="G115" s="52"/>
      <c r="H115" s="55"/>
      <c r="I115" s="57"/>
      <c r="J115" s="11"/>
      <c r="K115" s="11"/>
      <c r="L115" s="11"/>
    </row>
    <row r="116" spans="1:12" ht="19.5">
      <c r="A116" s="53" t="s">
        <v>112</v>
      </c>
      <c r="B116" s="52"/>
      <c r="C116" s="52"/>
      <c r="D116" s="52"/>
      <c r="E116" s="52"/>
      <c r="F116" s="52"/>
      <c r="G116" s="52"/>
      <c r="H116" s="55"/>
      <c r="I116" s="57"/>
      <c r="J116" s="11"/>
      <c r="K116" s="11"/>
      <c r="L116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2025-10-13T09:30:53Z</cp:lastPrinted>
  <dcterms:created xsi:type="dcterms:W3CDTF">2021-06-05T07:13:00Z</dcterms:created>
  <dcterms:modified xsi:type="dcterms:W3CDTF">2025-10-15T07:26:09Z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