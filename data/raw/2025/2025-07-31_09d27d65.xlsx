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13_ncr:1_{A7BF28F8-FE9A-4898-B9A2-4E79C58F4FC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3" i="4" l="1"/>
  <c r="G84" i="4"/>
  <c r="G90" i="4"/>
  <c r="G89" i="4"/>
  <c r="G83" i="4"/>
  <c r="G87" i="4"/>
  <c r="G86" i="4"/>
  <c r="G94" i="4"/>
  <c r="G91" i="4"/>
  <c r="G85" i="4"/>
  <c r="G92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<sst xmlns="http://schemas.openxmlformats.org/spreadsheetml/2006/main" count="246" uniqueCount="130">
  <si>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</si>
  <si>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</si>
  <si>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</si>
  <si>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</si>
  <si>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</si>
  <si>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</si>
  <si>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</si>
  <si>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</si>
  <si>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</si>
  <si>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</si>
  <si>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</si>
  <si>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</si>
  <si>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</si>
  <si>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</si>
  <si>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</si>
  <si>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</si>
  <si>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</si>
  <si>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</si>
  <si>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</si>
  <si>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</si>
  <si>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</si>
  <si>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</si>
  <si>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</si>
  <si>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</si>
  <si>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</si>
  <si>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</si>
  <si>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</si>
  <si>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</si>
  <si>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</si>
  <si>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</si>
  <si>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</si>
  <si>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</si>
  <si>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</si>
  <si>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</si>
  <si>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</si>
  <si>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</si>
  <si>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</si>
  <si>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</si>
  <si>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</si>
  <si>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</si>
  <si>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</si>
  <si>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</si>
  <si>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</si>
  <si>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</si>
  <si>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</si>
  <si>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</si>
  <si>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</si>
  <si>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</si>
  <si>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</si>
  <si>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</si>
  <si>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</si>
  <si>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</si>
  <si>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</si>
  <si>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</si>
  <si>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</si>
  <si>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</si>
  <si>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</si>
  <si>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</si>
  <si>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</si>
  <si>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</si>
  <si>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</si>
  <si>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</si>
  <si>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</si>
  <si>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</si>
  <si>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</si>
  <si>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</si>
  <si>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</si>
  <si>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</si>
  <si>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</si>
  <si>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</si>
  <si>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</si>
  <si>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</si>
  <si>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</si>
  <si>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</si>
  <si>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</si>
  <si>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</si>
  <si>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</si>
  <si>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</si>
  <si>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</si>
  <si>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</si>
  <si>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</si>
  <si>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</si>
  <si>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</si>
  <si>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</si>
  <si>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</si>
  <si>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</si>
  <si>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</si>
  <si>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</si>
  <si>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</si>
  <si>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</si>
  <si>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</si>
  <si>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</si>
  <si>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</si>
  <si>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</si>
  <si>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</si>
  <si>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</si>
  <si>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</si>
  <si>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</si>
  <si>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</si>
  <si>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</si>
  <si>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</si>
  <si>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</si>
  <si>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</si>
  <si>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</si>
  <si>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</si>
  <si>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</si>
  <si>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</si>
  <si>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</si>
  <si>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</si>
  <si>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</si>
  <si>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</si>
  <si>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</si>
  <si>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</si>
  <si>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</si>
  <si>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</si>
  <si>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</si>
  <si>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</si>
  <si>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</si>
  <si>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</si>
  <si>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২৫-০৭-২০২৫ তারিখে মূল্য বৃদ্ধি পেয়েছে।</t>
  </si>
  <si>
    <t>৩০-০৭-২০২৫ তারিখে মূল্য বৃদ্ধি পেয়েছে।</t>
  </si>
  <si>
    <t>৩০-০৭-২০২৫ তারিখে মূল্য হ্রাস পেয়েছে।</t>
  </si>
  <si>
    <t>২৯-০৭-২০২৫ তারিখে মূল্য হ্রাস পেয়েছে।</t>
  </si>
  <si>
    <t>স্মারক নং-২৬.০৫.০০০০.০১৭.৩১.০১.২৫-৫৪০</t>
  </si>
  <si>
    <t xml:space="preserve">বৃহস্পতিবার ৩১ জুলাই ২০২৫ খ্রিঃ, ১৬ শ্রাবণ ১৪৩২ বাংলা, ০৫ সফর ১৪৪৭ হিজরি </t>
  </si>
  <si>
    <t xml:space="preserve">   সিরিয়াল নংঃ     ১৮৮</t>
  </si>
  <si>
    <t>৩১-০৭-২০২৫ তারিখে মূল্য বৃদ্ধি পেয়েছে।</t>
  </si>
  <si>
    <t>৩১-০৭-২০২৫ তারিখে মূল্য হ্রাস পেয়েছে।</t>
  </si>
  <si>
    <t>(১)   চাল (মাঝারী), সয়াবিন তেল (২লি: বোতল), পাম অয়েল লুজ, সুপার পাম অয়েল লুজ,  মসুর ডাল (মাঝারী, ছোট), মুগ ডাল,  এ্যাংকার ডাল, পেঁয়াজ (দেশী)   এর মূল্য বৃদ্ধি পেয়েছে।</t>
  </si>
  <si>
    <t>(২ )  মুরগী ব্রয়লার, খেজুর,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</si>
</sst>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3"/>
  <sheetViews>
    <sheetView tabSelected="1" topLeftCell="A79" zoomScale="98" zoomScaleNormal="98" workbookViewId="0">
      <selection activeCell="B79" sqref="B79"/>
    </sheetView>
  </sheetViews>
  <sheetFormatPr defaultRowHeight="15.75"/>
  <cols>
    <col min="1" max="1" width="17.3984375" customWidth="1"/>
    <col min="2" max="2" width="8.8984375" customWidth="1"/>
    <col min="3" max="4" width="10.59765625" customWidth="1"/>
    <col min="5" max="5" width="10.8984375" customWidth="1"/>
    <col min="6" max="6" width="9.5" customWidth="1"/>
    <col min="7" max="7" width="9.59765625" customWidth="1"/>
    <col min="8" max="8" width="9.8984375" customWidth="1"/>
    <col min="9" max="9" width="9.296875" customWidth="1"/>
    <col min="10" max="10" width="8.8984375" customWidth="1"/>
    <col min="11" max="11" width="9.3984375" customWidth="1"/>
    <col min="12" max="12" width="10.2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125</v>
      </c>
      <c r="L4" s="94"/>
    </row>
    <row r="5" spans="1:12" ht="19.5" customHeight="1">
      <c r="A5" s="18"/>
      <c r="B5" s="8"/>
      <c r="C5" s="8"/>
      <c r="D5" s="18"/>
      <c r="E5" s="8"/>
      <c r="F5" s="8" t="s">
        <v>124</v>
      </c>
      <c r="G5" s="8"/>
      <c r="H5" s="8"/>
      <c r="I5" s="8"/>
      <c r="J5" s="8"/>
      <c r="K5" s="8"/>
      <c r="L5" s="50"/>
    </row>
    <row r="6" spans="1:12" ht="21.75">
      <c r="A6" s="21" t="s">
        <v>123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45869</v>
      </c>
    </row>
    <row r="7" spans="1:12" ht="21.7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.75">
      <c r="A8" s="26"/>
      <c r="B8" s="27"/>
      <c r="C8" s="95">
        <v>45869</v>
      </c>
      <c r="D8" s="94"/>
      <c r="E8" s="95">
        <v>45862</v>
      </c>
      <c r="F8" s="94"/>
      <c r="G8" s="95">
        <v>45838</v>
      </c>
      <c r="H8" s="94"/>
      <c r="I8" s="27" t="s">
        <v>12</v>
      </c>
      <c r="J8" s="91">
        <v>45504</v>
      </c>
      <c r="K8" s="9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.75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70</v>
      </c>
      <c r="G11" s="30">
        <v>60</v>
      </c>
      <c r="H11" s="30">
        <v>65</v>
      </c>
      <c r="I11" s="31">
        <f>((C11+D11)/2-(G11+H11)/2)/((G11+H11)/2)*100</f>
        <v>8</v>
      </c>
      <c r="J11" s="62">
        <v>54</v>
      </c>
      <c r="K11" s="62">
        <v>58</v>
      </c>
      <c r="L11" s="32">
        <f>((C11+D11)/2-(J11+K11)/2)/((J11+K11)/2)*100</f>
        <v>20.535714285714285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52</v>
      </c>
      <c r="H12" s="30">
        <v>60</v>
      </c>
      <c r="I12" s="31">
        <f>((C12+D12)/2-(G12+H12)/2)/((G12+H12)/2)*100</f>
        <v>2.6785714285714284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.75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.75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50</v>
      </c>
      <c r="H16" s="30">
        <v>60</v>
      </c>
      <c r="I16" s="31">
        <f>((C16+D16)/2-(G16+H16)/2)/((G16+H16)/2)*100</f>
        <v>0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170</v>
      </c>
      <c r="E19" s="30">
        <v>162</v>
      </c>
      <c r="F19" s="30">
        <v>170</v>
      </c>
      <c r="G19" s="30">
        <v>160</v>
      </c>
      <c r="H19" s="30">
        <v>170</v>
      </c>
      <c r="I19" s="31">
        <f t="shared" ref="I19:I25" si="0">((C19+D19)/2-(G19+H19)/2)/((G19+H19)/2)*100</f>
        <v>0.60606060606060608</v>
      </c>
      <c r="J19" s="62">
        <v>145</v>
      </c>
      <c r="K19" s="62">
        <v>155</v>
      </c>
      <c r="L19" s="32">
        <f t="shared" ref="L19:L25" si="1">((C19+D19)/2-(J19+K19)/2)/((J19+K19)/2)*100</f>
        <v>10.666666666666668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800</v>
      </c>
      <c r="L20" s="32">
        <f t="shared" si="1"/>
        <v>14.556962025316455</v>
      </c>
    </row>
    <row r="21" spans="1:12" ht="21.75">
      <c r="A21" s="76" t="s">
        <v>29</v>
      </c>
      <c r="B21" s="6" t="s">
        <v>31</v>
      </c>
      <c r="C21" s="30">
        <v>375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62">
        <v>322</v>
      </c>
      <c r="K21" s="62">
        <v>325</v>
      </c>
      <c r="L21" s="32">
        <f t="shared" si="1"/>
        <v>16.383307573415763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150</v>
      </c>
      <c r="D23" s="30">
        <v>155</v>
      </c>
      <c r="E23" s="30">
        <v>148</v>
      </c>
      <c r="F23" s="30">
        <v>155</v>
      </c>
      <c r="G23" s="30">
        <v>147</v>
      </c>
      <c r="H23" s="30">
        <v>155</v>
      </c>
      <c r="I23" s="31">
        <f t="shared" si="0"/>
        <v>0.99337748344370869</v>
      </c>
      <c r="J23" s="62">
        <v>125</v>
      </c>
      <c r="K23" s="62">
        <v>135</v>
      </c>
      <c r="L23" s="32">
        <f t="shared" si="1"/>
        <v>17.307692307692307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162</v>
      </c>
      <c r="E24" s="30">
        <v>152</v>
      </c>
      <c r="F24" s="30">
        <v>160</v>
      </c>
      <c r="G24" s="30">
        <v>152</v>
      </c>
      <c r="H24" s="30">
        <v>160</v>
      </c>
      <c r="I24" s="31">
        <f t="shared" si="0"/>
        <v>0.64102564102564097</v>
      </c>
      <c r="J24" s="62">
        <v>135</v>
      </c>
      <c r="K24" s="62">
        <v>140</v>
      </c>
      <c r="L24" s="32">
        <f t="shared" si="1"/>
        <v>14.181818181818182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1050</v>
      </c>
      <c r="I25" s="31">
        <f t="shared" si="0"/>
        <v>1.4423076923076923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105</v>
      </c>
      <c r="D28" s="30">
        <v>125</v>
      </c>
      <c r="E28" s="30">
        <v>105</v>
      </c>
      <c r="F28" s="30">
        <v>120</v>
      </c>
      <c r="G28" s="30">
        <v>105</v>
      </c>
      <c r="H28" s="30">
        <v>120</v>
      </c>
      <c r="I28" s="31">
        <f t="shared" si="2"/>
        <v>2.2222222222222223</v>
      </c>
      <c r="J28" s="62">
        <v>115</v>
      </c>
      <c r="K28" s="62">
        <v>120</v>
      </c>
      <c r="L28" s="32">
        <f t="shared" si="3"/>
        <v>-2.1276595744680851</v>
      </c>
    </row>
    <row r="29" spans="1:12" ht="21.75">
      <c r="A29" s="76" t="s">
        <v>38</v>
      </c>
      <c r="B29" s="6" t="s">
        <v>18</v>
      </c>
      <c r="C29" s="30">
        <v>130</v>
      </c>
      <c r="D29" s="30">
        <v>145</v>
      </c>
      <c r="E29" s="30">
        <v>130</v>
      </c>
      <c r="F29" s="30">
        <v>140</v>
      </c>
      <c r="G29" s="30">
        <v>125</v>
      </c>
      <c r="H29" s="30">
        <v>135</v>
      </c>
      <c r="I29" s="31">
        <f t="shared" si="2"/>
        <v>5.7692307692307692</v>
      </c>
      <c r="J29" s="62">
        <v>125</v>
      </c>
      <c r="K29" s="62">
        <v>130</v>
      </c>
      <c r="L29" s="32">
        <f t="shared" si="3"/>
        <v>7.8431372549019605</v>
      </c>
    </row>
    <row r="30" spans="1:12" ht="21.75">
      <c r="A30" s="76" t="s">
        <v>39</v>
      </c>
      <c r="B30" s="6" t="s">
        <v>18</v>
      </c>
      <c r="C30" s="30">
        <v>120</v>
      </c>
      <c r="D30" s="30">
        <v>180</v>
      </c>
      <c r="E30" s="30">
        <v>110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55</v>
      </c>
      <c r="F31" s="30">
        <v>80</v>
      </c>
      <c r="G31" s="30">
        <v>50</v>
      </c>
      <c r="H31" s="30">
        <v>80</v>
      </c>
      <c r="I31" s="31">
        <f t="shared" si="2"/>
        <v>7.6923076923076925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115</v>
      </c>
      <c r="K32" s="62">
        <v>120</v>
      </c>
      <c r="L32" s="32">
        <f t="shared" si="3"/>
        <v>-14.893617021276595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25</v>
      </c>
      <c r="I33" s="31">
        <f t="shared" si="2"/>
        <v>22.222222222222221</v>
      </c>
      <c r="J33" s="62">
        <v>55</v>
      </c>
      <c r="K33" s="62">
        <v>60</v>
      </c>
      <c r="L33" s="32">
        <f t="shared" si="3"/>
        <v>-52.173913043478258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60</v>
      </c>
      <c r="D35" s="30">
        <v>65</v>
      </c>
      <c r="E35" s="30">
        <v>55</v>
      </c>
      <c r="F35" s="30">
        <v>65</v>
      </c>
      <c r="G35" s="30">
        <v>50</v>
      </c>
      <c r="H35" s="30">
        <v>65</v>
      </c>
      <c r="I35" s="31">
        <f t="shared" ref="I35:I50" si="4">((C35+D35)/2-(G35+H35)/2)/((G35+H35)/2)*100</f>
        <v>8.695652173913043</v>
      </c>
      <c r="J35" s="62">
        <v>110</v>
      </c>
      <c r="K35" s="62">
        <v>120</v>
      </c>
      <c r="L35" s="32">
        <f t="shared" ref="L35:L50" si="5">((C35+D35)/2-(J35+K35)/2)/((J35+K35)/2)*100</f>
        <v>-45.652173913043477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105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100</v>
      </c>
      <c r="D37" s="30">
        <v>150</v>
      </c>
      <c r="E37" s="30">
        <v>100</v>
      </c>
      <c r="F37" s="30">
        <v>150</v>
      </c>
      <c r="G37" s="30">
        <v>100</v>
      </c>
      <c r="H37" s="30">
        <v>140</v>
      </c>
      <c r="I37" s="31">
        <f t="shared" si="4"/>
        <v>4.1666666666666661</v>
      </c>
      <c r="J37" s="62">
        <v>200</v>
      </c>
      <c r="K37" s="62">
        <v>220</v>
      </c>
      <c r="L37" s="32">
        <f t="shared" si="5"/>
        <v>-40.476190476190474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150</v>
      </c>
      <c r="H38" s="30">
        <v>200</v>
      </c>
      <c r="I38" s="31">
        <f t="shared" si="4"/>
        <v>2.8571428571428572</v>
      </c>
      <c r="J38" s="62">
        <v>190</v>
      </c>
      <c r="K38" s="62">
        <v>220</v>
      </c>
      <c r="L38" s="32">
        <f t="shared" si="5"/>
        <v>-12.195121951219512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3.5087719298245612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280</v>
      </c>
      <c r="H40" s="30">
        <v>450</v>
      </c>
      <c r="I40" s="31">
        <f t="shared" si="4"/>
        <v>2.7397260273972601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280</v>
      </c>
      <c r="H42" s="30">
        <v>420</v>
      </c>
      <c r="I42" s="31">
        <f t="shared" si="4"/>
        <v>2.8571428571428572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120</v>
      </c>
      <c r="D44" s="30">
        <v>200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0</v>
      </c>
      <c r="J44" s="62">
        <v>240</v>
      </c>
      <c r="K44" s="62">
        <v>300</v>
      </c>
      <c r="L44" s="32">
        <f t="shared" si="5"/>
        <v>-40.74074074074074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800</v>
      </c>
      <c r="L45" s="32">
        <f t="shared" si="5"/>
        <v>-10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480</v>
      </c>
      <c r="H46" s="30">
        <v>550</v>
      </c>
      <c r="I46" s="31">
        <f t="shared" si="4"/>
        <v>6.7961165048543686</v>
      </c>
      <c r="J46" s="62">
        <v>540</v>
      </c>
      <c r="K46" s="62">
        <v>600</v>
      </c>
      <c r="L46" s="32">
        <f t="shared" si="5"/>
        <v>-3.5087719298245612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1350</v>
      </c>
      <c r="H47" s="30">
        <v>1600</v>
      </c>
      <c r="I47" s="31">
        <f t="shared" si="4"/>
        <v>1.6949152542372881</v>
      </c>
      <c r="J47" s="62">
        <v>1480</v>
      </c>
      <c r="K47" s="62">
        <v>1700</v>
      </c>
      <c r="L47" s="32">
        <f t="shared" si="5"/>
        <v>-5.6603773584905666</v>
      </c>
    </row>
    <row r="48" spans="1:12" ht="21.75">
      <c r="A48" s="76" t="s">
        <v>56</v>
      </c>
      <c r="B48" s="6" t="s">
        <v>18</v>
      </c>
      <c r="C48" s="30">
        <v>4400</v>
      </c>
      <c r="D48" s="30">
        <v>5200</v>
      </c>
      <c r="E48" s="30">
        <v>4400</v>
      </c>
      <c r="F48" s="30">
        <v>5200</v>
      </c>
      <c r="G48" s="30">
        <v>4200</v>
      </c>
      <c r="H48" s="30">
        <v>5200</v>
      </c>
      <c r="I48" s="31">
        <f t="shared" si="4"/>
        <v>2.1276595744680851</v>
      </c>
      <c r="J48" s="62">
        <v>3200</v>
      </c>
      <c r="K48" s="62">
        <v>3600</v>
      </c>
      <c r="L48" s="32">
        <f t="shared" si="5"/>
        <v>41.17647058823529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200</v>
      </c>
      <c r="K49" s="62">
        <v>250</v>
      </c>
      <c r="L49" s="32">
        <f t="shared" si="5"/>
        <v>2.2222222222222223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800</v>
      </c>
      <c r="D53" s="30">
        <v>2000</v>
      </c>
      <c r="E53" s="30">
        <v>1000</v>
      </c>
      <c r="F53" s="30">
        <v>2000</v>
      </c>
      <c r="G53" s="30">
        <v>900</v>
      </c>
      <c r="H53" s="30">
        <v>1800</v>
      </c>
      <c r="I53" s="31">
        <f t="shared" si="6"/>
        <v>3.7037037037037033</v>
      </c>
      <c r="J53" s="62">
        <v>800</v>
      </c>
      <c r="K53" s="62">
        <v>1600</v>
      </c>
      <c r="L53" s="32">
        <f t="shared" si="7"/>
        <v>16.666666666666664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145</v>
      </c>
      <c r="D56" s="30">
        <v>170</v>
      </c>
      <c r="E56" s="30">
        <v>150</v>
      </c>
      <c r="F56" s="30">
        <v>170</v>
      </c>
      <c r="G56" s="30">
        <v>150</v>
      </c>
      <c r="H56" s="30">
        <v>175</v>
      </c>
      <c r="I56" s="31">
        <f t="shared" si="6"/>
        <v>-3.0769230769230771</v>
      </c>
      <c r="J56" s="62">
        <v>165</v>
      </c>
      <c r="K56" s="62">
        <v>175</v>
      </c>
      <c r="L56" s="32">
        <f t="shared" si="7"/>
        <v>-7.3529411764705888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>
      <c r="A67" s="80"/>
      <c r="B67" s="71"/>
      <c r="C67" s="95">
        <v>45869</v>
      </c>
      <c r="D67" s="94"/>
      <c r="E67" s="95">
        <v>45862</v>
      </c>
      <c r="F67" s="94"/>
      <c r="G67" s="95">
        <v>45838</v>
      </c>
      <c r="H67" s="94"/>
      <c r="I67" s="27" t="s">
        <v>12</v>
      </c>
      <c r="J67" s="91">
        <v>45504</v>
      </c>
      <c r="K67" s="9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125</v>
      </c>
      <c r="K69" s="62">
        <v>135</v>
      </c>
      <c r="L69" s="32">
        <f t="shared" ref="L69:L75" si="8">((C69+D69)/2-(J69+K69)/2)/((J69+K69)/2)*100</f>
        <v>-15.384615384615385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250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200</v>
      </c>
      <c r="K70" s="62">
        <v>350</v>
      </c>
      <c r="L70" s="32">
        <f t="shared" si="8"/>
        <v>40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37</v>
      </c>
      <c r="H71" s="30">
        <v>42</v>
      </c>
      <c r="I71" s="31">
        <f t="shared" si="9"/>
        <v>1.2658227848101267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38</v>
      </c>
      <c r="D72" s="38">
        <v>45</v>
      </c>
      <c r="E72" s="38">
        <v>38</v>
      </c>
      <c r="F72" s="38">
        <v>46</v>
      </c>
      <c r="G72" s="38">
        <v>37</v>
      </c>
      <c r="H72" s="38">
        <v>45</v>
      </c>
      <c r="I72" s="31">
        <f t="shared" si="9"/>
        <v>1.2195121951219512</v>
      </c>
      <c r="J72" s="63">
        <v>48</v>
      </c>
      <c r="K72" s="63">
        <v>52</v>
      </c>
      <c r="L72" s="32">
        <f t="shared" si="8"/>
        <v>-17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85000</v>
      </c>
      <c r="D74" s="30">
        <v>89000</v>
      </c>
      <c r="E74" s="30">
        <v>85000</v>
      </c>
      <c r="F74" s="30">
        <v>89000</v>
      </c>
      <c r="G74" s="30">
        <v>88000</v>
      </c>
      <c r="H74" s="30">
        <v>90000</v>
      </c>
      <c r="I74" s="31">
        <f t="shared" si="9"/>
        <v>-2.2471910112359552</v>
      </c>
      <c r="J74" s="62">
        <v>97500</v>
      </c>
      <c r="K74" s="62">
        <v>99500</v>
      </c>
      <c r="L74" s="32">
        <f t="shared" si="8"/>
        <v>-11.6751269035533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82000</v>
      </c>
      <c r="E75" s="30">
        <v>78500</v>
      </c>
      <c r="F75" s="38">
        <v>82000</v>
      </c>
      <c r="G75" s="30">
        <v>77000</v>
      </c>
      <c r="H75" s="38">
        <v>85000</v>
      </c>
      <c r="I75" s="31">
        <f t="shared" si="9"/>
        <v>-0.92592592592592582</v>
      </c>
      <c r="J75" s="63">
        <v>87500</v>
      </c>
      <c r="K75" s="63">
        <v>89000</v>
      </c>
      <c r="L75" s="32">
        <f t="shared" si="8"/>
        <v>-9.0651558073654392</v>
      </c>
    </row>
    <row r="76" spans="1:12" ht="21.75" customHeight="1">
      <c r="A76" s="96" t="s">
        <v>116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8" t="s">
        <v>6</v>
      </c>
      <c r="D82" s="99"/>
      <c r="E82" s="100" t="s">
        <v>83</v>
      </c>
      <c r="F82" s="101"/>
      <c r="G82" s="87" t="s">
        <v>12</v>
      </c>
      <c r="H82" s="98" t="s">
        <v>84</v>
      </c>
      <c r="I82" s="102"/>
      <c r="J82" s="99"/>
      <c r="K82" s="51"/>
      <c r="L82" s="18"/>
    </row>
    <row r="83" spans="1:12" ht="21.75">
      <c r="A83" s="76" t="s">
        <v>107</v>
      </c>
      <c r="B83" s="6" t="s">
        <v>18</v>
      </c>
      <c r="C83" s="30">
        <v>60</v>
      </c>
      <c r="D83" s="30">
        <v>75</v>
      </c>
      <c r="E83" s="30">
        <v>60</v>
      </c>
      <c r="F83" s="30">
        <v>70</v>
      </c>
      <c r="G83" s="7">
        <f t="shared" ref="G83:G94" si="10">((C83+D83)/2-(E83+F83)/2)/((E83+F83)/2)*100</f>
        <v>3.8461538461538463</v>
      </c>
      <c r="H83" s="5" t="s">
        <v>120</v>
      </c>
      <c r="I83" s="6"/>
      <c r="J83" s="6"/>
      <c r="K83" s="51"/>
      <c r="L83" s="18"/>
    </row>
    <row r="84" spans="1:12" ht="21.75">
      <c r="A84" s="76" t="s">
        <v>29</v>
      </c>
      <c r="B84" s="6" t="s">
        <v>31</v>
      </c>
      <c r="C84" s="30">
        <v>375</v>
      </c>
      <c r="D84" s="30">
        <v>378</v>
      </c>
      <c r="E84" s="30">
        <v>370</v>
      </c>
      <c r="F84" s="30">
        <v>378</v>
      </c>
      <c r="G84" s="7">
        <f t="shared" si="10"/>
        <v>0.66844919786096257</v>
      </c>
      <c r="H84" s="5" t="s">
        <v>126</v>
      </c>
      <c r="I84" s="6"/>
      <c r="J84" s="6"/>
      <c r="K84" s="51"/>
      <c r="L84" s="18"/>
    </row>
    <row r="85" spans="1:12" ht="21.75">
      <c r="A85" s="76" t="s">
        <v>33</v>
      </c>
      <c r="B85" s="6" t="s">
        <v>28</v>
      </c>
      <c r="C85" s="30">
        <v>150</v>
      </c>
      <c r="D85" s="30">
        <v>155</v>
      </c>
      <c r="E85" s="30">
        <v>148</v>
      </c>
      <c r="F85" s="30">
        <v>155</v>
      </c>
      <c r="G85" s="7">
        <f t="shared" si="10"/>
        <v>0.66006600660066006</v>
      </c>
      <c r="H85" s="5" t="s">
        <v>119</v>
      </c>
      <c r="I85" s="6"/>
      <c r="J85" s="6"/>
      <c r="K85" s="51"/>
      <c r="L85" s="18"/>
    </row>
    <row r="86" spans="1:12" ht="21.75">
      <c r="A86" s="76" t="s">
        <v>108</v>
      </c>
      <c r="B86" s="6" t="s">
        <v>28</v>
      </c>
      <c r="C86" s="30">
        <v>152</v>
      </c>
      <c r="D86" s="30">
        <v>162</v>
      </c>
      <c r="E86" s="30">
        <v>152</v>
      </c>
      <c r="F86" s="30">
        <v>160</v>
      </c>
      <c r="G86" s="7">
        <f t="shared" si="10"/>
        <v>0.64102564102564097</v>
      </c>
      <c r="H86" s="5" t="s">
        <v>120</v>
      </c>
      <c r="I86" s="6"/>
      <c r="J86" s="6"/>
      <c r="K86" s="51"/>
      <c r="L86" s="18"/>
    </row>
    <row r="87" spans="1:12" ht="21.75">
      <c r="A87" s="76" t="s">
        <v>112</v>
      </c>
      <c r="B87" s="6" t="s">
        <v>18</v>
      </c>
      <c r="C87" s="30">
        <v>105</v>
      </c>
      <c r="D87" s="30">
        <v>125</v>
      </c>
      <c r="E87" s="30">
        <v>105</v>
      </c>
      <c r="F87" s="30">
        <v>120</v>
      </c>
      <c r="G87" s="7">
        <f t="shared" si="10"/>
        <v>2.2222222222222223</v>
      </c>
      <c r="H87" s="5" t="s">
        <v>120</v>
      </c>
      <c r="I87" s="6"/>
      <c r="J87" s="6"/>
      <c r="K87" s="51"/>
      <c r="L87" s="18"/>
    </row>
    <row r="88" spans="1:12" ht="21.75">
      <c r="A88" s="76" t="s">
        <v>38</v>
      </c>
      <c r="B88" s="6" t="s">
        <v>18</v>
      </c>
      <c r="C88" s="30">
        <v>130</v>
      </c>
      <c r="D88" s="30">
        <v>145</v>
      </c>
      <c r="E88" s="30">
        <v>130</v>
      </c>
      <c r="F88" s="30">
        <v>140</v>
      </c>
      <c r="G88" s="7">
        <f t="shared" si="10"/>
        <v>1.8518518518518516</v>
      </c>
      <c r="H88" s="5" t="s">
        <v>120</v>
      </c>
      <c r="I88" s="6"/>
      <c r="J88" s="6"/>
      <c r="K88" s="51"/>
      <c r="L88" s="18"/>
    </row>
    <row r="89" spans="1:12" ht="21.75">
      <c r="A89" s="76" t="s">
        <v>39</v>
      </c>
      <c r="B89" s="6" t="s">
        <v>18</v>
      </c>
      <c r="C89" s="30">
        <v>120</v>
      </c>
      <c r="D89" s="30">
        <v>180</v>
      </c>
      <c r="E89" s="30">
        <v>110</v>
      </c>
      <c r="F89" s="30">
        <v>180</v>
      </c>
      <c r="G89" s="7">
        <f t="shared" si="10"/>
        <v>3.4482758620689653</v>
      </c>
      <c r="H89" s="5" t="s">
        <v>120</v>
      </c>
      <c r="I89" s="6"/>
      <c r="J89" s="6"/>
      <c r="K89" s="51"/>
      <c r="L89" s="18"/>
    </row>
    <row r="90" spans="1:12" ht="21.75">
      <c r="A90" s="76" t="s">
        <v>40</v>
      </c>
      <c r="B90" s="6" t="s">
        <v>18</v>
      </c>
      <c r="C90" s="30">
        <v>60</v>
      </c>
      <c r="D90" s="30">
        <v>80</v>
      </c>
      <c r="E90" s="30">
        <v>55</v>
      </c>
      <c r="F90" s="30">
        <v>80</v>
      </c>
      <c r="G90" s="7">
        <f t="shared" si="10"/>
        <v>3.7037037037037033</v>
      </c>
      <c r="H90" s="5" t="s">
        <v>120</v>
      </c>
      <c r="I90" s="6"/>
      <c r="J90" s="6"/>
      <c r="K90" s="51"/>
      <c r="L90" s="18"/>
    </row>
    <row r="91" spans="1:12" ht="21.75">
      <c r="A91" s="76" t="s">
        <v>92</v>
      </c>
      <c r="B91" s="6" t="s">
        <v>18</v>
      </c>
      <c r="C91" s="30">
        <v>60</v>
      </c>
      <c r="D91" s="30">
        <v>65</v>
      </c>
      <c r="E91" s="30">
        <v>55</v>
      </c>
      <c r="F91" s="30">
        <v>65</v>
      </c>
      <c r="G91" s="7">
        <f t="shared" si="10"/>
        <v>4.1666666666666661</v>
      </c>
      <c r="H91" s="5" t="s">
        <v>120</v>
      </c>
      <c r="I91" s="6"/>
      <c r="J91" s="6"/>
      <c r="K91" s="51"/>
      <c r="L91" s="18"/>
    </row>
    <row r="92" spans="1:12" ht="21.75">
      <c r="A92" s="76" t="s">
        <v>62</v>
      </c>
      <c r="B92" s="6" t="s">
        <v>18</v>
      </c>
      <c r="C92" s="30">
        <v>145</v>
      </c>
      <c r="D92" s="30">
        <v>170</v>
      </c>
      <c r="E92" s="30">
        <v>150</v>
      </c>
      <c r="F92" s="30">
        <v>170</v>
      </c>
      <c r="G92" s="7">
        <f t="shared" si="10"/>
        <v>-1.5625</v>
      </c>
      <c r="H92" s="5" t="s">
        <v>121</v>
      </c>
      <c r="I92" s="6"/>
      <c r="J92" s="6"/>
      <c r="K92" s="51"/>
      <c r="L92" s="18"/>
    </row>
    <row r="93" spans="1:12" ht="21.75">
      <c r="A93" s="76" t="s">
        <v>72</v>
      </c>
      <c r="B93" s="6" t="s">
        <v>18</v>
      </c>
      <c r="C93" s="30">
        <v>220</v>
      </c>
      <c r="D93" s="30">
        <v>550</v>
      </c>
      <c r="E93" s="30">
        <v>250</v>
      </c>
      <c r="F93" s="30">
        <v>550</v>
      </c>
      <c r="G93" s="7">
        <f t="shared" si="10"/>
        <v>-3.75</v>
      </c>
      <c r="H93" s="5" t="s">
        <v>127</v>
      </c>
      <c r="I93" s="6"/>
      <c r="J93" s="6"/>
      <c r="K93" s="51"/>
      <c r="L93" s="18"/>
    </row>
    <row r="94" spans="1:12" ht="21.75">
      <c r="A94" s="76" t="s">
        <v>73</v>
      </c>
      <c r="B94" s="6" t="s">
        <v>74</v>
      </c>
      <c r="C94" s="38">
        <v>38</v>
      </c>
      <c r="D94" s="38">
        <v>45</v>
      </c>
      <c r="E94" s="38">
        <v>38</v>
      </c>
      <c r="F94" s="38">
        <v>46</v>
      </c>
      <c r="G94" s="7">
        <f t="shared" si="10"/>
        <v>-1.1904761904761905</v>
      </c>
      <c r="H94" s="5" t="s">
        <v>122</v>
      </c>
      <c r="I94" s="6"/>
      <c r="J94" s="6"/>
      <c r="K94" s="51"/>
      <c r="L94" s="18"/>
    </row>
    <row r="95" spans="1:12" ht="21.75">
      <c r="A95" s="79"/>
      <c r="B95" s="3"/>
      <c r="C95" s="90"/>
      <c r="D95" s="90"/>
      <c r="E95" s="90"/>
      <c r="F95" s="90"/>
      <c r="G95" s="10"/>
      <c r="H95" s="1"/>
      <c r="I95" s="3"/>
      <c r="J95" s="3"/>
      <c r="K95" s="51"/>
      <c r="L95" s="18"/>
    </row>
    <row r="96" spans="1:12" ht="21.75">
      <c r="A96" s="79"/>
      <c r="B96" s="3"/>
      <c r="C96" s="90"/>
      <c r="D96" s="90"/>
      <c r="E96" s="90"/>
      <c r="F96" s="90"/>
      <c r="G96" s="10"/>
      <c r="H96" s="1"/>
      <c r="I96" s="3"/>
      <c r="J96" s="3"/>
      <c r="K96" s="51"/>
      <c r="L96" s="18"/>
    </row>
    <row r="97" spans="1:12" ht="24.75">
      <c r="A97" s="1"/>
      <c r="B97" s="3"/>
      <c r="C97" s="9"/>
      <c r="D97" s="9"/>
      <c r="E97" s="9"/>
      <c r="F97" s="9"/>
      <c r="G97" s="10"/>
      <c r="H97" s="1"/>
      <c r="I97" s="3"/>
      <c r="J97" s="3"/>
      <c r="K97" s="12"/>
      <c r="L97" s="12"/>
    </row>
    <row r="98" spans="1:12" ht="24.75">
      <c r="A98" s="1"/>
      <c r="B98" s="3"/>
      <c r="C98" s="9"/>
      <c r="D98" s="9"/>
      <c r="E98" s="9"/>
      <c r="F98" s="9"/>
      <c r="G98" s="10"/>
      <c r="H98" s="1"/>
      <c r="I98" s="3"/>
      <c r="J98" s="3"/>
      <c r="K98" s="12"/>
      <c r="L98" s="12"/>
    </row>
    <row r="99" spans="1:12" ht="24.75">
      <c r="A99" s="1"/>
      <c r="B99" s="14"/>
      <c r="C99" s="15"/>
      <c r="D99" s="15"/>
      <c r="E99" s="14"/>
      <c r="F99" s="15"/>
      <c r="G99" s="39"/>
      <c r="H99" s="40"/>
      <c r="I99" s="41"/>
      <c r="J99" s="41"/>
      <c r="K99" s="41"/>
      <c r="L99" s="12"/>
    </row>
    <row r="100" spans="1:12" ht="24.75">
      <c r="A100" s="1"/>
      <c r="B100" s="42"/>
      <c r="C100" s="43" t="s">
        <v>113</v>
      </c>
      <c r="D100" s="11"/>
      <c r="E100" s="42"/>
      <c r="F100" s="14"/>
      <c r="G100" s="11"/>
      <c r="H100" s="40"/>
      <c r="I100" s="13"/>
      <c r="J100" s="14" t="s">
        <v>117</v>
      </c>
      <c r="K100" s="11"/>
      <c r="L100" s="11"/>
    </row>
    <row r="101" spans="1:12" ht="24.75">
      <c r="A101" s="1"/>
      <c r="B101" s="44"/>
      <c r="C101" s="43" t="s">
        <v>114</v>
      </c>
      <c r="D101" s="14"/>
      <c r="E101" s="42"/>
      <c r="F101" s="45"/>
      <c r="G101" s="47"/>
      <c r="H101" s="47"/>
      <c r="I101" s="86"/>
      <c r="J101" s="14" t="s">
        <v>118</v>
      </c>
      <c r="K101" s="14"/>
      <c r="L101" s="14"/>
    </row>
    <row r="102" spans="1:12" ht="24.75">
      <c r="A102" s="1"/>
      <c r="B102" s="14"/>
      <c r="C102" s="15"/>
      <c r="D102" s="14"/>
      <c r="E102" s="15"/>
      <c r="F102" s="45"/>
      <c r="G102" s="47"/>
      <c r="H102" s="47"/>
      <c r="I102" s="46"/>
      <c r="J102" s="11"/>
      <c r="K102" s="11"/>
      <c r="L102" s="2"/>
    </row>
    <row r="103" spans="1:12" ht="19.5">
      <c r="A103" s="56" t="s">
        <v>95</v>
      </c>
      <c r="B103" s="54"/>
      <c r="C103" s="52"/>
      <c r="D103" s="54"/>
      <c r="E103" s="52"/>
      <c r="F103" s="52"/>
      <c r="G103" s="52"/>
      <c r="H103" s="53"/>
      <c r="I103" s="58"/>
      <c r="J103" s="2"/>
      <c r="K103" s="2"/>
      <c r="L103" s="2"/>
    </row>
    <row r="104" spans="1:12" ht="19.5">
      <c r="A104" s="55" t="s">
        <v>101</v>
      </c>
      <c r="B104" s="54"/>
      <c r="C104" s="52"/>
      <c r="D104" s="54"/>
      <c r="E104" s="52"/>
      <c r="F104" s="52"/>
      <c r="G104" s="54"/>
      <c r="H104" s="53"/>
      <c r="I104" s="58"/>
      <c r="J104" s="2"/>
      <c r="K104" s="2"/>
      <c r="L104" s="2"/>
    </row>
    <row r="105" spans="1:12" ht="19.5">
      <c r="A105" s="55" t="s">
        <v>100</v>
      </c>
      <c r="B105" s="54"/>
      <c r="C105" s="54"/>
      <c r="D105" s="54"/>
      <c r="E105" s="54"/>
      <c r="F105" s="52"/>
      <c r="G105" s="54"/>
      <c r="H105" s="53"/>
      <c r="I105" s="58"/>
      <c r="J105" s="2"/>
      <c r="K105" s="2"/>
      <c r="L105" s="2"/>
    </row>
    <row r="106" spans="1:12" ht="19.5">
      <c r="A106" s="55" t="s">
        <v>85</v>
      </c>
      <c r="B106" s="54"/>
      <c r="C106" s="54"/>
      <c r="D106" s="54"/>
      <c r="E106" s="54"/>
      <c r="F106" s="53"/>
      <c r="G106" s="53"/>
      <c r="H106" s="53"/>
      <c r="I106" s="58"/>
      <c r="J106" s="2"/>
      <c r="K106" s="2"/>
      <c r="L106" s="2"/>
    </row>
    <row r="107" spans="1:12" ht="19.5">
      <c r="A107" s="55" t="s">
        <v>99</v>
      </c>
      <c r="B107" s="54"/>
      <c r="C107" s="54"/>
      <c r="D107" s="54"/>
      <c r="E107" s="54"/>
      <c r="F107" s="54"/>
      <c r="G107" s="53"/>
      <c r="H107" s="53"/>
      <c r="I107" s="58"/>
      <c r="J107" s="2"/>
      <c r="K107" s="2"/>
      <c r="L107" s="2"/>
    </row>
    <row r="108" spans="1:12" ht="19.5">
      <c r="A108" s="55" t="s">
        <v>98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109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97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96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86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103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102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104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105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87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/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6" t="s">
        <v>88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89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 t="s">
        <v>90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9.5">
      <c r="A122" s="55" t="s">
        <v>91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8">
      <c r="A123" s="60"/>
      <c r="B123" s="58"/>
      <c r="C123" s="58"/>
      <c r="D123" s="58"/>
      <c r="E123" s="58"/>
      <c r="F123" s="58"/>
      <c r="G123" s="58"/>
      <c r="H123" s="61"/>
      <c r="I123" s="59"/>
      <c r="J123" s="12"/>
      <c r="K123" s="12"/>
      <c r="L123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2025-07-31T07:11:25Z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