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1930F9F5-E492-467B-94C7-EB5F134FE26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89" i="4"/>
  <c r="G88" i="4"/>
  <c r="G93" i="4"/>
  <c r="G94" i="4"/>
  <c r="G95" i="4"/>
  <c r="G86" i="4"/>
  <c r="G91" i="4"/>
  <c r="G92" i="4"/>
  <c r="G87" i="4"/>
  <c r="G85" i="4"/>
  <c r="G84" i="4"/>
  <c r="G9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<sst xmlns="http://schemas.openxmlformats.org/spreadsheetml/2006/main" count="250" uniqueCount="132">
  <si>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</si>
  <si>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</si>
  <si>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</si>
  <si>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</si>
  <si>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</si>
  <si>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</si>
  <si>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</si>
  <si>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</si>
  <si>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</si>
  <si>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</si>
  <si>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</si>
  <si>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</si>
  <si>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</si>
  <si>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</si>
  <si>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</si>
  <si>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</si>
  <si>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</si>
  <si>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</si>
  <si>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</si>
  <si>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</si>
  <si>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</si>
  <si>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</si>
  <si>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</si>
  <si>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</si>
  <si>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</si>
  <si>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</si>
  <si>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</si>
  <si>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</si>
  <si>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</si>
  <si>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</si>
  <si>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</si>
  <si>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</si>
  <si>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</si>
  <si>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</si>
  <si>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</si>
  <si>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</si>
  <si>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</si>
  <si>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</si>
  <si>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</si>
  <si>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</si>
  <si>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</si>
  <si>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</si>
  <si>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</si>
  <si>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</si>
  <si>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</si>
  <si>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</si>
  <si>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</si>
  <si>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</si>
  <si>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</si>
  <si>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</si>
  <si>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</si>
  <si>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</si>
  <si>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</si>
  <si>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</si>
  <si>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</si>
  <si>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</si>
  <si>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</si>
  <si>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</si>
  <si>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</si>
  <si>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</si>
  <si>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</si>
  <si>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</si>
  <si>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</si>
  <si>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</si>
  <si>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</si>
  <si>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</si>
  <si>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</si>
  <si>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</si>
  <si>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</si>
  <si>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</si>
  <si>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</si>
  <si>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</si>
  <si>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</si>
  <si>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</si>
  <si>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</si>
  <si>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</si>
  <si>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</si>
  <si>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</si>
  <si>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</si>
  <si>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</si>
  <si>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</si>
  <si>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</si>
  <si>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</si>
  <si>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</si>
  <si>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</si>
  <si>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</si>
  <si>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</si>
  <si>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</si>
  <si>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</si>
  <si>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</si>
  <si>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</si>
  <si>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</si>
  <si>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</si>
  <si>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</si>
  <si>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</si>
  <si>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</si>
  <si>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</si>
  <si>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</si>
  <si>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</si>
  <si>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</si>
  <si>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</si>
  <si>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</si>
  <si>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</si>
  <si>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</si>
  <si>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</si>
  <si>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</si>
  <si>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</si>
  <si>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</si>
  <si>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</si>
  <si>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</si>
  <si>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</si>
  <si>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</si>
  <si>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</si>
  <si>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</si>
  <si>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</si>
  <si>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(মোঃ হুমায়ুন কবির )</t>
  </si>
  <si>
    <t>যুগ্ম পরিচালক (বাজার তথ্য)</t>
  </si>
  <si>
    <t>১৮-০৮-২০২৫ তারিখে মূল্য বৃদ্ধি পেয়েছে।</t>
  </si>
  <si>
    <t>১৮-০৮-২০২৫ তারিখে মূল্য হ্রাস পেয়েছে।</t>
  </si>
  <si>
    <t>১৯-০৮-২০২৫ তারিখে মূল্য বৃদ্ধি পেয়েছে।</t>
  </si>
  <si>
    <t>২১-০৮-২০২৫ তারিখে মূল্য হ্রাস পেয়েছে।</t>
  </si>
  <si>
    <t>২২-০৮-২০২৫ তারিখে মূল্য বৃদ্ধি পেয়েছে।</t>
  </si>
  <si>
    <t>স্মারক নং-২৬.০৫.০০০০.০১৭.৩১.০১.২৫-৫৯২</t>
  </si>
  <si>
    <t xml:space="preserve">রবিবার ২৪ আগষ্ট ২০২৫ খ্রিঃ, ০৯ ভাদ্র ১৪৩২ বাংলা, ২৯ সফর ১৪৪৭ হিজরি </t>
  </si>
  <si>
    <t xml:space="preserve">   সিরিয়াল নংঃ     ২১০</t>
  </si>
  <si>
    <t>২৪-০৮-২০২৫ তারিখে মূল্য বৃদ্ধি পেয়েছে।</t>
  </si>
  <si>
    <t>২৪-০৮-২০২৫ তারিখে মূল্য হ্রাস পেয়েছে।</t>
  </si>
  <si>
    <t>(২ )    রশুন (দেশী), আদা (আম), ধনে   এর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</si>
  <si>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</si>
  <si>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</si>
  <si>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        মসুর ডাল (ছোট), ছোলা, লবঙ্গ, এলাচ, মুরগী ব্রয়লার  এর মূল্য বৃদ্ধি পেয়েছে।</t>
  </si>
  <si>
    <t xml:space="preserve">(১)    আটা (খোলা, প্যা:), সয়াবিন তেল (২লি: বোতল), পাম অয়েল লুজ, সুপার পাম অয়েল লুজ,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</si>
</sst>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5"/>
  <sheetViews>
    <sheetView tabSelected="1" topLeftCell="A73" zoomScale="98" zoomScaleNormal="98" workbookViewId="0">
      <selection activeCell="B78" sqref="B78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7" t="s">
        <v>124</v>
      </c>
      <c r="L4" s="86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45893</v>
      </c>
    </row>
    <row r="7" spans="1:12" ht="21.75">
      <c r="A7" s="26" t="s">
        <v>4</v>
      </c>
      <c r="B7" s="27" t="s">
        <v>5</v>
      </c>
      <c r="C7" s="87" t="s">
        <v>6</v>
      </c>
      <c r="D7" s="86"/>
      <c r="E7" s="87" t="s">
        <v>7</v>
      </c>
      <c r="F7" s="86"/>
      <c r="G7" s="87" t="s">
        <v>8</v>
      </c>
      <c r="H7" s="86"/>
      <c r="I7" s="27" t="s">
        <v>9</v>
      </c>
      <c r="J7" s="87" t="s">
        <v>10</v>
      </c>
      <c r="K7" s="86"/>
      <c r="L7" s="28" t="s">
        <v>11</v>
      </c>
    </row>
    <row r="8" spans="1:12" ht="21.75">
      <c r="A8" s="26"/>
      <c r="B8" s="27"/>
      <c r="C8" s="85">
        <v>45893</v>
      </c>
      <c r="D8" s="86"/>
      <c r="E8" s="85">
        <v>45886</v>
      </c>
      <c r="F8" s="86"/>
      <c r="G8" s="85">
        <v>45862</v>
      </c>
      <c r="H8" s="86"/>
      <c r="I8" s="27" t="s">
        <v>12</v>
      </c>
      <c r="J8" s="85">
        <v>45528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70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50</v>
      </c>
      <c r="E14" s="30">
        <v>42</v>
      </c>
      <c r="F14" s="30">
        <v>45</v>
      </c>
      <c r="G14" s="30">
        <v>40</v>
      </c>
      <c r="H14" s="30">
        <v>45</v>
      </c>
      <c r="I14" s="31">
        <f>((C14+D14)/2-(G14+H14)/2)/((G14+H14)/2)*100</f>
        <v>11.76470588235294</v>
      </c>
      <c r="J14" s="30">
        <v>40</v>
      </c>
      <c r="K14" s="30">
        <v>45</v>
      </c>
      <c r="L14" s="32">
        <f>((C14+D14)/2-(J14+K14)/2)/((J14+K14)/2)*100</f>
        <v>11.76470588235294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52</v>
      </c>
      <c r="F15" s="30">
        <v>60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165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1.5060240963855422</v>
      </c>
      <c r="J19" s="30">
        <v>145</v>
      </c>
      <c r="K19" s="30">
        <v>152</v>
      </c>
      <c r="L19" s="32">
        <f t="shared" ref="L19:L25" si="1">((C19+D19)/2-(J19+K19)/2)/((J19+K19)/2)*100</f>
        <v>13.468013468013467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150</v>
      </c>
      <c r="F23" s="30">
        <v>158</v>
      </c>
      <c r="G23" s="30">
        <v>148</v>
      </c>
      <c r="H23" s="30">
        <v>155</v>
      </c>
      <c r="I23" s="31">
        <f t="shared" si="0"/>
        <v>2.6402640264026402</v>
      </c>
      <c r="J23" s="30">
        <v>125</v>
      </c>
      <c r="K23" s="30">
        <v>135</v>
      </c>
      <c r="L23" s="32">
        <f t="shared" si="1"/>
        <v>19.615384615384617</v>
      </c>
    </row>
    <row r="24" spans="1:12" ht="21.75">
      <c r="A24" s="73" t="s">
        <v>108</v>
      </c>
      <c r="B24" s="6" t="s">
        <v>28</v>
      </c>
      <c r="C24" s="30">
        <v>155</v>
      </c>
      <c r="D24" s="30">
        <v>163</v>
      </c>
      <c r="E24" s="30">
        <v>152</v>
      </c>
      <c r="F24" s="30">
        <v>162</v>
      </c>
      <c r="G24" s="30">
        <v>152</v>
      </c>
      <c r="H24" s="30">
        <v>160</v>
      </c>
      <c r="I24" s="31">
        <f t="shared" si="0"/>
        <v>1.9230769230769231</v>
      </c>
      <c r="J24" s="30">
        <v>135</v>
      </c>
      <c r="K24" s="30">
        <v>140</v>
      </c>
      <c r="L24" s="32">
        <f t="shared" si="1"/>
        <v>15.636363636363637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155</v>
      </c>
      <c r="G29" s="30">
        <v>130</v>
      </c>
      <c r="H29" s="30">
        <v>140</v>
      </c>
      <c r="I29" s="31">
        <f t="shared" si="2"/>
        <v>14.814814814814813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150</v>
      </c>
      <c r="D30" s="30">
        <v>180</v>
      </c>
      <c r="E30" s="30">
        <v>120</v>
      </c>
      <c r="F30" s="30">
        <v>180</v>
      </c>
      <c r="G30" s="30">
        <v>110</v>
      </c>
      <c r="H30" s="30">
        <v>180</v>
      </c>
      <c r="I30" s="31">
        <f t="shared" si="2"/>
        <v>13.793103448275861</v>
      </c>
      <c r="J30" s="30">
        <v>160</v>
      </c>
      <c r="K30" s="30">
        <v>185</v>
      </c>
      <c r="L30" s="32">
        <f t="shared" si="3"/>
        <v>-4.3478260869565215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105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50</v>
      </c>
      <c r="K33" s="30">
        <v>55</v>
      </c>
      <c r="L33" s="32">
        <f t="shared" si="3"/>
        <v>-47.619047619047613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70</v>
      </c>
      <c r="D36" s="30">
        <v>80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-28.571428571428569</v>
      </c>
    </row>
    <row r="37" spans="1:12" ht="21.75">
      <c r="A37" s="73" t="s">
        <v>45</v>
      </c>
      <c r="B37" s="6" t="s">
        <v>18</v>
      </c>
      <c r="C37" s="30">
        <v>80</v>
      </c>
      <c r="D37" s="30">
        <v>150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-8</v>
      </c>
      <c r="J37" s="30">
        <v>190</v>
      </c>
      <c r="K37" s="30">
        <v>220</v>
      </c>
      <c r="L37" s="32">
        <f t="shared" si="5"/>
        <v>-43.902439024390247</v>
      </c>
    </row>
    <row r="38" spans="1:12" ht="21.75">
      <c r="A38" s="73" t="s">
        <v>46</v>
      </c>
      <c r="B38" s="6" t="s">
        <v>18</v>
      </c>
      <c r="C38" s="30">
        <v>140</v>
      </c>
      <c r="D38" s="30">
        <v>200</v>
      </c>
      <c r="E38" s="30">
        <v>160</v>
      </c>
      <c r="F38" s="30">
        <v>180</v>
      </c>
      <c r="G38" s="30">
        <v>160</v>
      </c>
      <c r="H38" s="30">
        <v>200</v>
      </c>
      <c r="I38" s="31">
        <f t="shared" si="4"/>
        <v>-5.5555555555555554</v>
      </c>
      <c r="J38" s="30">
        <v>180</v>
      </c>
      <c r="K38" s="30">
        <v>220</v>
      </c>
      <c r="L38" s="32">
        <f t="shared" si="5"/>
        <v>-15</v>
      </c>
    </row>
    <row r="39" spans="1:12" ht="21.75">
      <c r="A39" s="73" t="s">
        <v>47</v>
      </c>
      <c r="B39" s="6" t="s">
        <v>18</v>
      </c>
      <c r="C39" s="30">
        <v>250</v>
      </c>
      <c r="D39" s="30">
        <v>350</v>
      </c>
      <c r="E39" s="30">
        <v>240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320</v>
      </c>
      <c r="K39" s="30">
        <v>400</v>
      </c>
      <c r="L39" s="32">
        <f t="shared" si="5"/>
        <v>-16.666666666666664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150</v>
      </c>
      <c r="D44" s="30">
        <v>270</v>
      </c>
      <c r="E44" s="30">
        <v>220</v>
      </c>
      <c r="F44" s="30">
        <v>280</v>
      </c>
      <c r="G44" s="30">
        <v>120</v>
      </c>
      <c r="H44" s="30">
        <v>200</v>
      </c>
      <c r="I44" s="31">
        <f t="shared" si="4"/>
        <v>31.25</v>
      </c>
      <c r="J44" s="30">
        <v>200</v>
      </c>
      <c r="K44" s="30">
        <v>270</v>
      </c>
      <c r="L44" s="32">
        <f t="shared" si="5"/>
        <v>-10.638297872340425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800</v>
      </c>
      <c r="L45" s="32">
        <f t="shared" si="5"/>
        <v>-6.8965517241379306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500</v>
      </c>
      <c r="K46" s="30">
        <v>600</v>
      </c>
      <c r="L46" s="32">
        <f t="shared" si="5"/>
        <v>0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4700</v>
      </c>
      <c r="F48" s="30">
        <v>5200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220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800</v>
      </c>
      <c r="F53" s="30">
        <v>2000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780</v>
      </c>
      <c r="L54" s="32">
        <f t="shared" si="7"/>
        <v>4.7297297297297298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175</v>
      </c>
      <c r="G56" s="30">
        <v>150</v>
      </c>
      <c r="H56" s="30">
        <v>170</v>
      </c>
      <c r="I56" s="31">
        <f t="shared" si="6"/>
        <v>10.9375</v>
      </c>
      <c r="J56" s="30">
        <v>160</v>
      </c>
      <c r="K56" s="30">
        <v>180</v>
      </c>
      <c r="L56" s="32">
        <f t="shared" si="7"/>
        <v>4.4117647058823533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800</v>
      </c>
      <c r="K59" s="30">
        <v>820</v>
      </c>
      <c r="L59" s="32">
        <f>((C59+D59)/2-(J59+K59)/2)/((J59+K59)/2)*100</f>
        <v>-2.4691358024691357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790</v>
      </c>
      <c r="K62" s="30">
        <v>800</v>
      </c>
      <c r="L62" s="32">
        <f>((C62+D62)/2-(J62+K62)/2)/((J62+K62)/2)*100</f>
        <v>8.8050314465408803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7" t="s">
        <v>6</v>
      </c>
      <c r="D66" s="86"/>
      <c r="E66" s="87" t="s">
        <v>7</v>
      </c>
      <c r="F66" s="86"/>
      <c r="G66" s="87" t="s">
        <v>8</v>
      </c>
      <c r="H66" s="86"/>
      <c r="I66" s="27" t="s">
        <v>9</v>
      </c>
      <c r="J66" s="87" t="s">
        <v>10</v>
      </c>
      <c r="K66" s="86"/>
      <c r="L66" s="27" t="s">
        <v>11</v>
      </c>
    </row>
    <row r="67" spans="1:12" ht="18" customHeight="1">
      <c r="A67" s="77"/>
      <c r="B67" s="68"/>
      <c r="C67" s="85">
        <v>45893</v>
      </c>
      <c r="D67" s="86"/>
      <c r="E67" s="85">
        <v>45886</v>
      </c>
      <c r="F67" s="86"/>
      <c r="G67" s="85">
        <v>45862</v>
      </c>
      <c r="H67" s="86"/>
      <c r="I67" s="27" t="s">
        <v>12</v>
      </c>
      <c r="J67" s="85">
        <v>45528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-2.2727272727272729</v>
      </c>
      <c r="J69" s="30">
        <v>128</v>
      </c>
      <c r="K69" s="30">
        <v>135</v>
      </c>
      <c r="L69" s="32">
        <f t="shared" ref="L69:L75" si="8">((C69+D69)/2-(J69+K69)/2)/((J69+K69)/2)*100</f>
        <v>-18.250950570342205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38">
        <v>47</v>
      </c>
      <c r="K72" s="38">
        <v>52</v>
      </c>
      <c r="L72" s="32">
        <f t="shared" si="8"/>
        <v>-4.0404040404040407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-2.0114942528735633</v>
      </c>
      <c r="J74" s="30">
        <v>97500</v>
      </c>
      <c r="K74" s="30">
        <v>99500</v>
      </c>
      <c r="L74" s="32">
        <f t="shared" si="8"/>
        <v>-13.451776649746192</v>
      </c>
    </row>
    <row r="75" spans="1:12" ht="21.75">
      <c r="A75" s="73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-1.2461059190031152</v>
      </c>
      <c r="J75" s="38">
        <v>87500</v>
      </c>
      <c r="K75" s="38">
        <v>89000</v>
      </c>
      <c r="L75" s="32">
        <f t="shared" si="8"/>
        <v>-10.198300283286118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127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113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0" t="s">
        <v>6</v>
      </c>
      <c r="D83" s="91"/>
      <c r="E83" s="92" t="s">
        <v>83</v>
      </c>
      <c r="F83" s="93"/>
      <c r="G83" s="81" t="s">
        <v>12</v>
      </c>
      <c r="H83" s="90" t="s">
        <v>84</v>
      </c>
      <c r="I83" s="94"/>
      <c r="J83" s="91"/>
      <c r="K83" s="51"/>
      <c r="L83" s="18"/>
    </row>
    <row r="84" spans="1:12" ht="21.75">
      <c r="A84" s="5" t="s">
        <v>21</v>
      </c>
      <c r="B84" s="6" t="s">
        <v>18</v>
      </c>
      <c r="C84" s="30">
        <v>45</v>
      </c>
      <c r="D84" s="30">
        <v>50</v>
      </c>
      <c r="E84" s="30">
        <v>42</v>
      </c>
      <c r="F84" s="30">
        <v>45</v>
      </c>
      <c r="G84" s="7">
        <f t="shared" ref="G84:G96" si="10">((C84+D84)/2-(E84+F84)/2)/((E84+F84)/2)*100</f>
        <v>9.1954022988505741</v>
      </c>
      <c r="H84" s="5" t="s">
        <v>119</v>
      </c>
      <c r="I84" s="6"/>
      <c r="J84" s="6"/>
      <c r="K84" s="51"/>
      <c r="L84" s="18"/>
    </row>
    <row r="85" spans="1:12" ht="21.75">
      <c r="A85" s="5" t="s">
        <v>22</v>
      </c>
      <c r="B85" s="6" t="s">
        <v>23</v>
      </c>
      <c r="C85" s="30">
        <v>55</v>
      </c>
      <c r="D85" s="30">
        <v>65</v>
      </c>
      <c r="E85" s="30">
        <v>52</v>
      </c>
      <c r="F85" s="30">
        <v>60</v>
      </c>
      <c r="G85" s="7">
        <f t="shared" si="10"/>
        <v>7.1428571428571423</v>
      </c>
      <c r="H85" s="5" t="s">
        <v>117</v>
      </c>
      <c r="I85" s="6"/>
      <c r="J85" s="6"/>
      <c r="K85" s="51"/>
      <c r="L85" s="18"/>
    </row>
    <row r="86" spans="1:12" ht="21.75">
      <c r="A86" s="73" t="s">
        <v>29</v>
      </c>
      <c r="B86" s="6" t="s">
        <v>31</v>
      </c>
      <c r="C86" s="30">
        <v>375</v>
      </c>
      <c r="D86" s="30">
        <v>378</v>
      </c>
      <c r="E86" s="30">
        <v>370</v>
      </c>
      <c r="F86" s="30">
        <v>378</v>
      </c>
      <c r="G86" s="7">
        <f t="shared" si="10"/>
        <v>0.66844919786096257</v>
      </c>
      <c r="H86" s="5" t="s">
        <v>125</v>
      </c>
      <c r="I86" s="6"/>
      <c r="J86" s="6"/>
      <c r="K86" s="51"/>
      <c r="L86" s="18"/>
    </row>
    <row r="87" spans="1:12" ht="21.75">
      <c r="A87" s="73" t="s">
        <v>33</v>
      </c>
      <c r="B87" s="6" t="s">
        <v>28</v>
      </c>
      <c r="C87" s="30">
        <v>153</v>
      </c>
      <c r="D87" s="30">
        <v>158</v>
      </c>
      <c r="E87" s="30">
        <v>150</v>
      </c>
      <c r="F87" s="30">
        <v>158</v>
      </c>
      <c r="G87" s="7">
        <f t="shared" si="10"/>
        <v>0.97402597402597402</v>
      </c>
      <c r="H87" s="5" t="s">
        <v>125</v>
      </c>
      <c r="I87" s="6"/>
      <c r="J87" s="6"/>
      <c r="K87" s="51"/>
      <c r="L87" s="18"/>
    </row>
    <row r="88" spans="1:12" ht="21.75">
      <c r="A88" s="73" t="s">
        <v>108</v>
      </c>
      <c r="B88" s="6" t="s">
        <v>28</v>
      </c>
      <c r="C88" s="30">
        <v>155</v>
      </c>
      <c r="D88" s="30">
        <v>163</v>
      </c>
      <c r="E88" s="30">
        <v>152</v>
      </c>
      <c r="F88" s="30">
        <v>162</v>
      </c>
      <c r="G88" s="7">
        <f t="shared" si="10"/>
        <v>1.2738853503184715</v>
      </c>
      <c r="H88" s="5" t="s">
        <v>125</v>
      </c>
      <c r="I88" s="6"/>
      <c r="J88" s="6"/>
      <c r="K88" s="51"/>
      <c r="L88" s="18"/>
    </row>
    <row r="89" spans="1:12" ht="21.75">
      <c r="A89" s="73" t="s">
        <v>38</v>
      </c>
      <c r="B89" s="6" t="s">
        <v>18</v>
      </c>
      <c r="C89" s="30">
        <v>150</v>
      </c>
      <c r="D89" s="30">
        <v>160</v>
      </c>
      <c r="E89" s="30">
        <v>150</v>
      </c>
      <c r="F89" s="30">
        <v>155</v>
      </c>
      <c r="G89" s="7">
        <f t="shared" si="10"/>
        <v>1.639344262295082</v>
      </c>
      <c r="H89" s="5" t="s">
        <v>125</v>
      </c>
      <c r="I89" s="6"/>
      <c r="J89" s="6"/>
      <c r="K89" s="51"/>
      <c r="L89" s="18"/>
    </row>
    <row r="90" spans="1:12" ht="21.75">
      <c r="A90" s="73" t="s">
        <v>41</v>
      </c>
      <c r="B90" s="6" t="s">
        <v>18</v>
      </c>
      <c r="C90" s="30">
        <v>95</v>
      </c>
      <c r="D90" s="30">
        <v>110</v>
      </c>
      <c r="E90" s="30">
        <v>95</v>
      </c>
      <c r="F90" s="30">
        <v>105</v>
      </c>
      <c r="G90" s="7">
        <f t="shared" si="10"/>
        <v>2.5</v>
      </c>
      <c r="H90" s="5" t="s">
        <v>125</v>
      </c>
      <c r="I90" s="6"/>
      <c r="J90" s="6"/>
      <c r="K90" s="51"/>
      <c r="L90" s="18"/>
    </row>
    <row r="91" spans="1:12" ht="21.75">
      <c r="A91" s="73" t="s">
        <v>45</v>
      </c>
      <c r="B91" s="6" t="s">
        <v>18</v>
      </c>
      <c r="C91" s="30">
        <v>80</v>
      </c>
      <c r="D91" s="30">
        <v>150</v>
      </c>
      <c r="E91" s="30">
        <v>80</v>
      </c>
      <c r="F91" s="30">
        <v>160</v>
      </c>
      <c r="G91" s="7">
        <f t="shared" si="10"/>
        <v>-4.1666666666666661</v>
      </c>
      <c r="H91" s="5" t="s">
        <v>118</v>
      </c>
      <c r="I91" s="6"/>
      <c r="J91" s="6"/>
      <c r="K91" s="51"/>
      <c r="L91" s="18"/>
    </row>
    <row r="92" spans="1:12" ht="21.75">
      <c r="A92" s="73" t="s">
        <v>52</v>
      </c>
      <c r="B92" s="6" t="s">
        <v>18</v>
      </c>
      <c r="C92" s="30">
        <v>150</v>
      </c>
      <c r="D92" s="30">
        <v>270</v>
      </c>
      <c r="E92" s="30">
        <v>220</v>
      </c>
      <c r="F92" s="30">
        <v>280</v>
      </c>
      <c r="G92" s="7">
        <f t="shared" si="10"/>
        <v>-16</v>
      </c>
      <c r="H92" s="5" t="s">
        <v>120</v>
      </c>
      <c r="I92" s="6"/>
      <c r="J92" s="6"/>
      <c r="K92" s="51"/>
      <c r="L92" s="18"/>
    </row>
    <row r="93" spans="1:12" ht="21.75">
      <c r="A93" s="73" t="s">
        <v>55</v>
      </c>
      <c r="B93" s="6" t="s">
        <v>18</v>
      </c>
      <c r="C93" s="30">
        <v>1350</v>
      </c>
      <c r="D93" s="30">
        <v>1700</v>
      </c>
      <c r="E93" s="30">
        <v>1400</v>
      </c>
      <c r="F93" s="30">
        <v>1600</v>
      </c>
      <c r="G93" s="7">
        <f>((C93+D93)/2-(E93+F93)/2)/((E93+F93)/2)*100</f>
        <v>1.6666666666666667</v>
      </c>
      <c r="H93" s="5" t="s">
        <v>125</v>
      </c>
      <c r="I93" s="6"/>
      <c r="J93" s="6"/>
      <c r="K93" s="51"/>
      <c r="L93" s="18"/>
    </row>
    <row r="94" spans="1:12" ht="21.75">
      <c r="A94" s="73" t="s">
        <v>56</v>
      </c>
      <c r="B94" s="6" t="s">
        <v>18</v>
      </c>
      <c r="C94" s="30">
        <v>4600</v>
      </c>
      <c r="D94" s="30">
        <v>5500</v>
      </c>
      <c r="E94" s="30">
        <v>4700</v>
      </c>
      <c r="F94" s="30">
        <v>5200</v>
      </c>
      <c r="G94" s="7">
        <f>((C94+D94)/2-(E94+F94)/2)/((E94+F94)/2)*100</f>
        <v>2.0202020202020203</v>
      </c>
      <c r="H94" s="5" t="s">
        <v>121</v>
      </c>
      <c r="I94" s="6"/>
      <c r="J94" s="6"/>
      <c r="K94" s="51"/>
      <c r="L94" s="18"/>
    </row>
    <row r="95" spans="1:12" ht="21.75">
      <c r="A95" s="73" t="s">
        <v>57</v>
      </c>
      <c r="B95" s="6" t="s">
        <v>18</v>
      </c>
      <c r="C95" s="30">
        <v>200</v>
      </c>
      <c r="D95" s="30">
        <v>280</v>
      </c>
      <c r="E95" s="30">
        <v>220</v>
      </c>
      <c r="F95" s="30">
        <v>280</v>
      </c>
      <c r="G95" s="7">
        <f>((C95+D95)/2-(E95+F95)/2)/((E95+F95)/2)*100</f>
        <v>-4</v>
      </c>
      <c r="H95" s="5" t="s">
        <v>126</v>
      </c>
      <c r="I95" s="6"/>
      <c r="J95" s="6"/>
      <c r="K95" s="51"/>
      <c r="L95" s="18"/>
    </row>
    <row r="96" spans="1:12" ht="21.75">
      <c r="A96" s="73" t="s">
        <v>62</v>
      </c>
      <c r="B96" s="6" t="s">
        <v>18</v>
      </c>
      <c r="C96" s="30">
        <v>170</v>
      </c>
      <c r="D96" s="30">
        <v>185</v>
      </c>
      <c r="E96" s="30">
        <v>160</v>
      </c>
      <c r="F96" s="30">
        <v>175</v>
      </c>
      <c r="G96" s="7">
        <f t="shared" si="10"/>
        <v>5.9701492537313428</v>
      </c>
      <c r="H96" s="5" t="s">
        <v>117</v>
      </c>
      <c r="I96" s="6"/>
      <c r="J96" s="6"/>
      <c r="K96" s="51"/>
      <c r="L96" s="18"/>
    </row>
    <row r="97" spans="1:12" ht="21.75">
      <c r="A97" s="76"/>
      <c r="B97" s="3"/>
      <c r="C97" s="84"/>
      <c r="D97" s="84"/>
      <c r="E97" s="84"/>
      <c r="F97" s="84"/>
      <c r="G97" s="10"/>
      <c r="H97" s="1"/>
      <c r="I97" s="3"/>
      <c r="J97" s="3"/>
      <c r="K97" s="51"/>
      <c r="L97" s="18"/>
    </row>
    <row r="98" spans="1:12" ht="21.75">
      <c r="A98" s="76"/>
      <c r="B98" s="3"/>
      <c r="C98" s="84"/>
      <c r="D98" s="84"/>
      <c r="E98" s="84"/>
      <c r="F98" s="84"/>
      <c r="G98" s="10"/>
      <c r="H98" s="1"/>
      <c r="I98" s="3"/>
      <c r="J98" s="3"/>
      <c r="K98" s="51"/>
      <c r="L98" s="18"/>
    </row>
    <row r="99" spans="1:12" ht="24.75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4.75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4.75">
      <c r="A101" s="1"/>
      <c r="B101" s="14"/>
      <c r="C101" s="15"/>
      <c r="D101" s="15"/>
      <c r="E101" s="14"/>
      <c r="F101" s="15"/>
      <c r="G101" s="39"/>
      <c r="H101" s="40"/>
      <c r="I101" s="41"/>
      <c r="J101" s="41"/>
      <c r="K101" s="41"/>
      <c r="L101" s="12"/>
    </row>
    <row r="102" spans="1:12" ht="24.75">
      <c r="A102" s="1"/>
      <c r="B102" s="42"/>
      <c r="C102" s="43" t="s">
        <v>115</v>
      </c>
      <c r="D102" s="11"/>
      <c r="E102" s="42"/>
      <c r="F102" s="14"/>
      <c r="G102" s="11"/>
      <c r="H102" s="40"/>
      <c r="I102" s="13"/>
      <c r="J102" s="14" t="s">
        <v>128</v>
      </c>
      <c r="K102" s="11"/>
      <c r="L102" s="11"/>
    </row>
    <row r="103" spans="1:12" ht="24.75">
      <c r="A103" s="1"/>
      <c r="B103" s="44"/>
      <c r="C103" s="43" t="s">
        <v>116</v>
      </c>
      <c r="D103" s="14"/>
      <c r="E103" s="42"/>
      <c r="F103" s="45"/>
      <c r="G103" s="47"/>
      <c r="H103" s="47"/>
      <c r="I103" s="80"/>
      <c r="J103" s="14" t="s">
        <v>129</v>
      </c>
      <c r="K103" s="14"/>
      <c r="L103" s="14"/>
    </row>
    <row r="104" spans="1:12" ht="24.75">
      <c r="A104" s="1"/>
      <c r="B104" s="14"/>
      <c r="C104" s="15"/>
      <c r="D104" s="14"/>
      <c r="E104" s="15"/>
      <c r="F104" s="45"/>
      <c r="G104" s="47"/>
      <c r="H104" s="47"/>
      <c r="I104" s="46"/>
      <c r="J104" s="11"/>
      <c r="K104" s="11"/>
      <c r="L104" s="2"/>
    </row>
    <row r="105" spans="1:12" ht="19.5">
      <c r="A105" s="56" t="s">
        <v>95</v>
      </c>
      <c r="B105" s="54"/>
      <c r="C105" s="52"/>
      <c r="D105" s="54"/>
      <c r="E105" s="52"/>
      <c r="F105" s="52"/>
      <c r="G105" s="52"/>
      <c r="H105" s="53"/>
      <c r="I105" s="58"/>
      <c r="J105" s="2"/>
      <c r="K105" s="2"/>
      <c r="L105" s="2"/>
    </row>
    <row r="106" spans="1:12" ht="19.5">
      <c r="A106" s="55" t="s">
        <v>101</v>
      </c>
      <c r="B106" s="54"/>
      <c r="C106" s="52"/>
      <c r="D106" s="54"/>
      <c r="E106" s="52"/>
      <c r="F106" s="52"/>
      <c r="G106" s="54"/>
      <c r="H106" s="53"/>
      <c r="I106" s="58"/>
      <c r="J106" s="2"/>
      <c r="K106" s="2"/>
      <c r="L106" s="2"/>
    </row>
    <row r="107" spans="1:12" ht="19.5">
      <c r="A107" s="55" t="s">
        <v>100</v>
      </c>
      <c r="B107" s="54"/>
      <c r="C107" s="54"/>
      <c r="D107" s="54"/>
      <c r="E107" s="54"/>
      <c r="F107" s="52"/>
      <c r="G107" s="54"/>
      <c r="H107" s="53"/>
      <c r="I107" s="58"/>
      <c r="J107" s="2"/>
      <c r="K107" s="2"/>
      <c r="L107" s="2"/>
    </row>
    <row r="108" spans="1:12" ht="19.5">
      <c r="A108" s="55" t="s">
        <v>85</v>
      </c>
      <c r="B108" s="54"/>
      <c r="C108" s="54"/>
      <c r="D108" s="54"/>
      <c r="E108" s="54"/>
      <c r="F108" s="53"/>
      <c r="G108" s="53"/>
      <c r="H108" s="53"/>
      <c r="I108" s="58"/>
      <c r="J108" s="2"/>
      <c r="K108" s="2"/>
      <c r="L108" s="2"/>
    </row>
    <row r="109" spans="1:12" ht="19.5">
      <c r="A109" s="55" t="s">
        <v>99</v>
      </c>
      <c r="B109" s="54"/>
      <c r="C109" s="54"/>
      <c r="D109" s="54"/>
      <c r="E109" s="54"/>
      <c r="F109" s="54"/>
      <c r="G109" s="53"/>
      <c r="H109" s="53"/>
      <c r="I109" s="58"/>
      <c r="J109" s="2"/>
      <c r="K109" s="2"/>
      <c r="L109" s="2"/>
    </row>
    <row r="110" spans="1:12" ht="19.5">
      <c r="A110" s="55" t="s">
        <v>98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109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97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96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103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102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104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105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87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/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6" t="s">
        <v>88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89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90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91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">
      <c r="A125" s="60"/>
      <c r="B125" s="58"/>
      <c r="C125" s="58"/>
      <c r="D125" s="58"/>
      <c r="E125" s="58"/>
      <c r="F125" s="58"/>
      <c r="G125" s="58"/>
      <c r="H125" s="61"/>
      <c r="I125" s="59"/>
      <c r="J125" s="12"/>
      <c r="K125" s="12"/>
      <c r="L125" s="12"/>
    </row>
  </sheetData>
  <mergeCells count="21"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2025-08-24T08:37:15Z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