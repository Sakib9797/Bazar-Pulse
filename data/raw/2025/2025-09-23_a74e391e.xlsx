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1928866E-EC5D-4731-81BF-C081C1E8A9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6" i="4"/>
  <c r="G88" i="4"/>
  <c r="G87" i="4"/>
  <c r="G83" i="4"/>
  <c r="G89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<sst xmlns="http://schemas.openxmlformats.org/spreadsheetml/2006/main" count="232" uniqueCount="131">
  <si>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</si>
  <si>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</si>
  <si>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</si>
  <si>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</si>
  <si>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</si>
  <si>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</si>
  <si>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</si>
  <si>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</si>
  <si>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</si>
  <si>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</si>
  <si>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</si>
  <si>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</si>
  <si>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</si>
  <si>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</si>
  <si>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</si>
  <si>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</si>
  <si>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</si>
  <si>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</si>
  <si>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</si>
  <si>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</si>
  <si>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</si>
  <si>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</si>
  <si>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</si>
  <si>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</si>
  <si>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</si>
  <si>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</si>
  <si>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</si>
  <si>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</si>
  <si>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</si>
  <si>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</si>
  <si>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</si>
  <si>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</si>
  <si>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</si>
  <si>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</si>
  <si>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</si>
  <si>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</si>
  <si>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</si>
  <si>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</si>
  <si>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</si>
  <si>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</si>
  <si>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</si>
  <si>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</si>
  <si>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</si>
  <si>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</si>
  <si>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</si>
  <si>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</si>
  <si>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</si>
  <si>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</si>
  <si>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</si>
  <si>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</si>
  <si>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</si>
  <si>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</si>
  <si>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</si>
  <si>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</si>
  <si>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</si>
  <si>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</si>
  <si>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</si>
  <si>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</si>
  <si>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</si>
  <si>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</si>
  <si>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</si>
  <si>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</si>
  <si>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</si>
  <si>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</si>
  <si>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</si>
  <si>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</si>
  <si>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</si>
  <si>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</si>
  <si>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</si>
  <si>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</si>
  <si>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</si>
  <si>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</si>
  <si>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</si>
  <si>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</si>
  <si>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</si>
  <si>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</si>
  <si>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</si>
  <si>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</si>
  <si>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</si>
  <si>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</si>
  <si>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</si>
  <si>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</si>
  <si>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</si>
  <si>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</si>
  <si>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</si>
  <si>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</si>
  <si>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</si>
  <si>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</si>
  <si>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</si>
  <si>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</si>
  <si>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</si>
  <si>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</si>
  <si>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</si>
  <si>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</si>
  <si>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</si>
  <si>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</si>
  <si>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</si>
  <si>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</si>
  <si>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</si>
  <si>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</si>
  <si>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</si>
  <si>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</si>
  <si>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</si>
  <si>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</si>
  <si>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</si>
  <si>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</si>
  <si>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</si>
  <si>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</si>
  <si>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</si>
  <si>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</si>
  <si>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</si>
  <si>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</si>
  <si>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</si>
  <si>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</si>
  <si>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</si>
  <si>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</si>
  <si>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</si>
  <si>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</si>
  <si>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১৭-০৯-২০২৫ তারিখে মূল্য বৃদ্ধি পেয়েছে।</t>
  </si>
  <si>
    <t>১৮-০৯-২০২৫ তারিখে মূল্য বৃদ্ধি পেয়েছে।</t>
  </si>
  <si>
    <t>(মো:হুমায়ুন কবির)</t>
  </si>
  <si>
    <t>যুগ্ম পরিচালক (বাজার তথ্য)</t>
  </si>
  <si>
    <t>২১-০৯-২০২৫ তারিখে মূল্য হ্রাস পেয়েছে।</t>
  </si>
  <si>
    <t>২২-০৯-২০২৫ তারিখে মূল্য বৃদ্ধি পেয়েছে।</t>
  </si>
  <si>
    <t>স্মারক নং-২৬.০৫.০০০০.০১৭.৩১.০১.২৫-৬৭৪</t>
  </si>
  <si>
    <t xml:space="preserve">মঙ্গলবার ২৩ সেপ্টেম্বর ২০২৫ খ্রিঃ, ০৮ আশ্বিন ১৪৩২ বাংলা, ২৯ রবিউল আউয়াল ১৪৪৭ হিজরি </t>
  </si>
  <si>
    <t xml:space="preserve">   সিরিয়াল নংঃ     ২৪০</t>
  </si>
  <si>
    <t>২৩-০৯-২০২৫ তারিখে মূল্য হ্রাস পেয়েছে।</t>
  </si>
  <si>
    <t>২৩-০৯-২০২৫ তারিখে মূল্য বৃদ্ধি পেয়েছে।</t>
  </si>
  <si>
    <t>(১)     সয়াবিন তেল লুজ, পাম অয়েল লুজ, এলাচ, তেজপাতা   এর মূল্য বৃদ্ধি পেয়েছে।</t>
  </si>
  <si>
    <t>(২ )    পেঁয়াজ (দেশী), দারুচিনি, ধনে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</si>
</sst>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45923</v>
      </c>
    </row>
    <row r="7" spans="1:12" ht="21.7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.75">
      <c r="A8" s="26"/>
      <c r="B8" s="27"/>
      <c r="C8" s="85">
        <v>45923</v>
      </c>
      <c r="D8" s="84"/>
      <c r="E8" s="85">
        <v>45916</v>
      </c>
      <c r="F8" s="84"/>
      <c r="G8" s="85">
        <v>45892</v>
      </c>
      <c r="H8" s="84"/>
      <c r="I8" s="27" t="s">
        <v>12</v>
      </c>
      <c r="J8" s="85">
        <v>45558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176</v>
      </c>
      <c r="E19" s="30">
        <v>170</v>
      </c>
      <c r="F19" s="30">
        <v>174</v>
      </c>
      <c r="G19" s="30">
        <v>165</v>
      </c>
      <c r="H19" s="30">
        <v>172</v>
      </c>
      <c r="I19" s="31">
        <f t="shared" ref="I19:I25" si="0">((C19+D19)/2-(G19+H19)/2)/((G19+H19)/2)*100</f>
        <v>2.6706231454005933</v>
      </c>
      <c r="J19" s="30">
        <v>144</v>
      </c>
      <c r="K19" s="30">
        <v>155</v>
      </c>
      <c r="L19" s="32">
        <f t="shared" ref="L19:L25" si="1">((C19+D19)/2-(J19+K19)/2)/((J19+K19)/2)*100</f>
        <v>15.719063545150503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372</v>
      </c>
      <c r="H21" s="30">
        <v>378</v>
      </c>
      <c r="I21" s="31">
        <f t="shared" si="0"/>
        <v>0.4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158</v>
      </c>
      <c r="G23" s="30">
        <v>150</v>
      </c>
      <c r="H23" s="30">
        <v>158</v>
      </c>
      <c r="I23" s="31">
        <f t="shared" si="0"/>
        <v>1.6233766233766231</v>
      </c>
      <c r="J23" s="30">
        <v>135</v>
      </c>
      <c r="K23" s="30">
        <v>140</v>
      </c>
      <c r="L23" s="32">
        <f t="shared" si="1"/>
        <v>13.818181818181818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165</v>
      </c>
      <c r="G24" s="30">
        <v>152</v>
      </c>
      <c r="H24" s="30">
        <v>163</v>
      </c>
      <c r="I24" s="31">
        <f t="shared" si="0"/>
        <v>1.5873015873015872</v>
      </c>
      <c r="J24" s="30">
        <v>140</v>
      </c>
      <c r="K24" s="30">
        <v>142</v>
      </c>
      <c r="L24" s="32">
        <f t="shared" si="1"/>
        <v>13.475177304964539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150</v>
      </c>
      <c r="H30" s="30">
        <v>180</v>
      </c>
      <c r="I30" s="31">
        <f t="shared" si="2"/>
        <v>-9.0909090909090917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125</v>
      </c>
      <c r="L32" s="32">
        <f t="shared" si="3"/>
        <v>-12.244897959183673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65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115</v>
      </c>
      <c r="L35" s="32">
        <f t="shared" ref="L35:L50" si="5">((C35+D35)/2-(J35+K35)/2)/((J35+K35)/2)*100</f>
        <v>-34.090909090909086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70</v>
      </c>
      <c r="H36" s="30">
        <v>80</v>
      </c>
      <c r="I36" s="31">
        <f t="shared" si="4"/>
        <v>-100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150</v>
      </c>
      <c r="I37" s="31">
        <f t="shared" si="4"/>
        <v>4.3478260869565215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140</v>
      </c>
      <c r="H38" s="30">
        <v>200</v>
      </c>
      <c r="I38" s="31">
        <f t="shared" si="4"/>
        <v>-2.9411764705882351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320</v>
      </c>
      <c r="K39" s="30">
        <v>350</v>
      </c>
      <c r="L39" s="32">
        <f t="shared" si="5"/>
        <v>-14.925373134328357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380</v>
      </c>
      <c r="K40" s="30">
        <v>450</v>
      </c>
      <c r="L40" s="32">
        <f t="shared" si="5"/>
        <v>-9.6385542168674707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250</v>
      </c>
      <c r="E44" s="30">
        <v>130</v>
      </c>
      <c r="F44" s="30">
        <v>260</v>
      </c>
      <c r="G44" s="30">
        <v>150</v>
      </c>
      <c r="H44" s="30">
        <v>270</v>
      </c>
      <c r="I44" s="31">
        <f t="shared" si="4"/>
        <v>-7.1428571428571423</v>
      </c>
      <c r="J44" s="30">
        <v>200</v>
      </c>
      <c r="K44" s="30">
        <v>280</v>
      </c>
      <c r="L44" s="32">
        <f t="shared" si="5"/>
        <v>-18.75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1700</v>
      </c>
      <c r="I47" s="31">
        <f t="shared" si="4"/>
        <v>-4.838709677419355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4700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250</v>
      </c>
      <c r="L49" s="32">
        <f t="shared" si="5"/>
        <v>6.666666666666667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190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1050</v>
      </c>
      <c r="L55" s="32">
        <f t="shared" si="7"/>
        <v>7.3170731707317067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0</v>
      </c>
      <c r="J56" s="30">
        <v>170</v>
      </c>
      <c r="K56" s="30">
        <v>175</v>
      </c>
      <c r="L56" s="32">
        <f t="shared" si="7"/>
        <v>2.8985507246376812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>
      <c r="A67" s="74"/>
      <c r="B67" s="65"/>
      <c r="C67" s="85">
        <v>45923</v>
      </c>
      <c r="D67" s="84"/>
      <c r="E67" s="85">
        <v>45916</v>
      </c>
      <c r="F67" s="84"/>
      <c r="G67" s="85">
        <v>45892</v>
      </c>
      <c r="H67" s="84"/>
      <c r="I67" s="27" t="s">
        <v>12</v>
      </c>
      <c r="J67" s="85">
        <v>45558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90500</v>
      </c>
      <c r="K74" s="30">
        <v>92500</v>
      </c>
      <c r="L74" s="32">
        <f t="shared" si="8"/>
        <v>-7.3770491803278686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27</v>
      </c>
      <c r="B83" s="6" t="s">
        <v>28</v>
      </c>
      <c r="C83" s="30">
        <v>170</v>
      </c>
      <c r="D83" s="30">
        <v>176</v>
      </c>
      <c r="E83" s="30">
        <v>170</v>
      </c>
      <c r="F83" s="30">
        <v>174</v>
      </c>
      <c r="G83" s="7">
        <f t="shared" ref="G83" si="10">((C83+D83)/2-(E83+F83)/2)/((E83+F83)/2)*100</f>
        <v>0.58139534883720934</v>
      </c>
      <c r="H83" s="5" t="s">
        <v>128</v>
      </c>
      <c r="I83" s="6"/>
      <c r="J83" s="6"/>
      <c r="K83" s="51"/>
      <c r="L83" s="18"/>
    </row>
    <row r="84" spans="1:12" ht="21.75">
      <c r="A84" s="70" t="s">
        <v>33</v>
      </c>
      <c r="B84" s="6" t="s">
        <v>28</v>
      </c>
      <c r="C84" s="30">
        <v>153</v>
      </c>
      <c r="D84" s="30">
        <v>160</v>
      </c>
      <c r="E84" s="30">
        <v>153</v>
      </c>
      <c r="F84" s="30">
        <v>158</v>
      </c>
      <c r="G84" s="7">
        <f t="shared" ref="G84" si="11">((C84+D84)/2-(E84+F84)/2)/((E84+F84)/2)*100</f>
        <v>0.64308681672025725</v>
      </c>
      <c r="H84" s="5" t="s">
        <v>118</v>
      </c>
      <c r="I84" s="6"/>
      <c r="J84" s="6"/>
      <c r="K84" s="51"/>
      <c r="L84" s="18"/>
    </row>
    <row r="85" spans="1:12" ht="21.75">
      <c r="A85" s="70" t="s">
        <v>90</v>
      </c>
      <c r="B85" s="6" t="s">
        <v>18</v>
      </c>
      <c r="C85" s="30">
        <v>65</v>
      </c>
      <c r="D85" s="30">
        <v>80</v>
      </c>
      <c r="E85" s="30">
        <v>70</v>
      </c>
      <c r="F85" s="30">
        <v>80</v>
      </c>
      <c r="G85" s="7">
        <f t="shared" ref="G85:G89" si="12">((C85+D85)/2-(E85+F85)/2)/((E85+F85)/2)*100</f>
        <v>-3.3333333333333335</v>
      </c>
      <c r="H85" s="5" t="s">
        <v>127</v>
      </c>
      <c r="I85" s="6"/>
      <c r="J85" s="6"/>
      <c r="K85" s="51"/>
      <c r="L85" s="18"/>
    </row>
    <row r="86" spans="1:12" ht="21.75">
      <c r="A86" s="70" t="s">
        <v>54</v>
      </c>
      <c r="B86" s="6" t="s">
        <v>18</v>
      </c>
      <c r="C86" s="30">
        <v>480</v>
      </c>
      <c r="D86" s="30">
        <v>600</v>
      </c>
      <c r="E86" s="30">
        <v>500</v>
      </c>
      <c r="F86" s="30">
        <v>600</v>
      </c>
      <c r="G86" s="7">
        <f t="shared" si="12"/>
        <v>-1.8181818181818181</v>
      </c>
      <c r="H86" s="5" t="s">
        <v>122</v>
      </c>
      <c r="I86" s="6"/>
      <c r="J86" s="6"/>
      <c r="K86" s="51"/>
      <c r="L86" s="18"/>
    </row>
    <row r="87" spans="1:12" ht="21.75">
      <c r="A87" s="70" t="s">
        <v>56</v>
      </c>
      <c r="B87" s="6" t="s">
        <v>18</v>
      </c>
      <c r="C87" s="30">
        <v>4800</v>
      </c>
      <c r="D87" s="30">
        <v>5500</v>
      </c>
      <c r="E87" s="30">
        <v>4700</v>
      </c>
      <c r="F87" s="30">
        <v>5500</v>
      </c>
      <c r="G87" s="7">
        <f t="shared" si="12"/>
        <v>0.98039215686274506</v>
      </c>
      <c r="H87" s="5" t="s">
        <v>119</v>
      </c>
      <c r="I87" s="6"/>
      <c r="J87" s="6"/>
      <c r="K87" s="51"/>
      <c r="L87" s="18"/>
    </row>
    <row r="88" spans="1:12" ht="21.75">
      <c r="A88" s="70" t="s">
        <v>57</v>
      </c>
      <c r="B88" s="6" t="s">
        <v>18</v>
      </c>
      <c r="C88" s="30">
        <v>200</v>
      </c>
      <c r="D88" s="30">
        <v>280</v>
      </c>
      <c r="E88" s="30">
        <v>220</v>
      </c>
      <c r="F88" s="30">
        <v>280</v>
      </c>
      <c r="G88" s="7">
        <f t="shared" si="12"/>
        <v>-4</v>
      </c>
      <c r="H88" s="5" t="s">
        <v>122</v>
      </c>
      <c r="I88" s="6"/>
      <c r="J88" s="6"/>
      <c r="K88" s="51"/>
      <c r="L88" s="18"/>
    </row>
    <row r="89" spans="1:12" ht="21.75">
      <c r="A89" s="70" t="s">
        <v>58</v>
      </c>
      <c r="B89" s="6" t="s">
        <v>18</v>
      </c>
      <c r="C89" s="30">
        <v>200</v>
      </c>
      <c r="D89" s="30">
        <v>225</v>
      </c>
      <c r="E89" s="30">
        <v>190</v>
      </c>
      <c r="F89" s="30">
        <v>225</v>
      </c>
      <c r="G89" s="7">
        <f t="shared" si="12"/>
        <v>2.4096385542168677</v>
      </c>
      <c r="H89" s="5" t="s">
        <v>123</v>
      </c>
      <c r="I89" s="6"/>
      <c r="J89" s="6"/>
      <c r="K89" s="51"/>
      <c r="L89" s="18"/>
    </row>
    <row r="90" spans="1:12" ht="24.75">
      <c r="A90" s="1"/>
      <c r="B90" s="3"/>
      <c r="C90" s="9"/>
      <c r="D90" s="9"/>
      <c r="E90" s="9"/>
      <c r="F90" s="9"/>
      <c r="G90" s="10"/>
      <c r="H90" s="1"/>
      <c r="I90" s="3"/>
      <c r="J90" s="3"/>
      <c r="K90" s="12"/>
      <c r="L90" s="12"/>
    </row>
    <row r="91" spans="1:12" ht="24.75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4.75">
      <c r="A92" s="1"/>
      <c r="B92" s="14"/>
      <c r="C92" s="15"/>
      <c r="D92" s="15"/>
      <c r="E92" s="14"/>
      <c r="F92" s="15"/>
      <c r="G92" s="39"/>
      <c r="H92" s="40"/>
      <c r="I92" s="41"/>
      <c r="J92" s="41"/>
      <c r="K92" s="41"/>
      <c r="L92" s="12"/>
    </row>
    <row r="93" spans="1:12" ht="24.75">
      <c r="A93" s="1"/>
      <c r="B93" s="42"/>
      <c r="C93" s="43" t="s">
        <v>120</v>
      </c>
      <c r="D93" s="11"/>
      <c r="E93" s="42"/>
      <c r="F93" s="14"/>
      <c r="G93" s="11"/>
      <c r="H93" s="40"/>
      <c r="I93" s="13"/>
      <c r="J93" s="14" t="s">
        <v>116</v>
      </c>
      <c r="K93" s="11"/>
      <c r="L93" s="11"/>
    </row>
    <row r="94" spans="1:12" ht="24.75">
      <c r="A94" s="1"/>
      <c r="B94" s="44"/>
      <c r="C94" s="43" t="s">
        <v>121</v>
      </c>
      <c r="D94" s="14"/>
      <c r="E94" s="42"/>
      <c r="F94" s="45"/>
      <c r="G94" s="47"/>
      <c r="H94" s="47"/>
      <c r="I94" s="77"/>
      <c r="J94" s="14" t="s">
        <v>117</v>
      </c>
      <c r="K94" s="14"/>
      <c r="L94" s="14"/>
    </row>
    <row r="95" spans="1:12" ht="24.75">
      <c r="A95" s="1"/>
      <c r="B95" s="14"/>
      <c r="C95" s="15"/>
      <c r="D95" s="14"/>
      <c r="E95" s="15"/>
      <c r="F95" s="45"/>
      <c r="G95" s="47"/>
      <c r="H95" s="47"/>
      <c r="I95" s="46"/>
      <c r="J95" s="11"/>
      <c r="K95" s="11"/>
      <c r="L95" s="2"/>
    </row>
    <row r="96" spans="1:12" ht="19.5">
      <c r="A96" s="56" t="s">
        <v>93</v>
      </c>
      <c r="B96" s="54"/>
      <c r="C96" s="52"/>
      <c r="D96" s="54"/>
      <c r="E96" s="52"/>
      <c r="F96" s="52"/>
      <c r="G96" s="52"/>
      <c r="H96" s="53"/>
      <c r="I96" s="58"/>
      <c r="J96" s="2"/>
      <c r="K96" s="2"/>
      <c r="L96" s="2"/>
    </row>
    <row r="97" spans="1:12" ht="19.5">
      <c r="A97" s="55" t="s">
        <v>99</v>
      </c>
      <c r="B97" s="54"/>
      <c r="C97" s="52"/>
      <c r="D97" s="54"/>
      <c r="E97" s="52"/>
      <c r="F97" s="52"/>
      <c r="G97" s="54"/>
      <c r="H97" s="53"/>
      <c r="I97" s="58"/>
      <c r="J97" s="2"/>
      <c r="K97" s="2"/>
      <c r="L97" s="2"/>
    </row>
    <row r="98" spans="1:12" ht="19.5">
      <c r="A98" s="55" t="s">
        <v>98</v>
      </c>
      <c r="B98" s="54"/>
      <c r="C98" s="54"/>
      <c r="D98" s="54"/>
      <c r="E98" s="54"/>
      <c r="F98" s="52"/>
      <c r="G98" s="54"/>
      <c r="H98" s="53"/>
      <c r="I98" s="58"/>
      <c r="J98" s="2"/>
      <c r="K98" s="2"/>
      <c r="L98" s="2"/>
    </row>
    <row r="99" spans="1:12" ht="19.5">
      <c r="A99" s="55" t="s">
        <v>85</v>
      </c>
      <c r="B99" s="54"/>
      <c r="C99" s="54"/>
      <c r="D99" s="54"/>
      <c r="E99" s="54"/>
      <c r="F99" s="53"/>
      <c r="G99" s="53"/>
      <c r="H99" s="53"/>
      <c r="I99" s="58"/>
      <c r="J99" s="2"/>
      <c r="K99" s="2"/>
      <c r="L99" s="2"/>
    </row>
    <row r="100" spans="1:12" ht="19.5">
      <c r="A100" s="55" t="s">
        <v>97</v>
      </c>
      <c r="B100" s="54"/>
      <c r="C100" s="54"/>
      <c r="D100" s="54"/>
      <c r="E100" s="54"/>
      <c r="F100" s="54"/>
      <c r="G100" s="53"/>
      <c r="H100" s="53"/>
      <c r="I100" s="58"/>
      <c r="J100" s="2"/>
      <c r="K100" s="2"/>
      <c r="L100" s="2"/>
    </row>
    <row r="101" spans="1:12" ht="19.5">
      <c r="A101" s="55" t="s">
        <v>96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9.5">
      <c r="A102" s="55" t="s">
        <v>107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95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94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86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102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103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87</v>
      </c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9.5">
      <c r="A111" s="55"/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6" t="s">
        <v>88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 t="s">
        <v>89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115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114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113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2025-09-23T07:25:28Z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