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CC85200A-1A9F-4C85-A3FE-C76DDD0F057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87" i="4"/>
  <c r="G96" i="4"/>
  <c r="G91" i="4"/>
  <c r="G94" i="4"/>
  <c r="G90" i="4"/>
  <c r="G89" i="4"/>
  <c r="G95" i="4"/>
  <c r="G98" i="4"/>
  <c r="G99" i="4"/>
  <c r="G85" i="4"/>
  <c r="G84" i="4"/>
  <c r="G97" i="4"/>
  <c r="G93" i="4"/>
  <c r="G92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<sst xmlns="http://schemas.openxmlformats.org/spreadsheetml/2006/main" count="260" uniqueCount="135">
  <si>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</si>
  <si>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</si>
  <si>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</si>
  <si>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</si>
  <si>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</si>
  <si>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</si>
  <si>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</si>
  <si>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</si>
  <si>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</si>
  <si>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</si>
  <si>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</si>
  <si>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</si>
  <si>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</si>
  <si>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</si>
  <si>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</si>
  <si>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</si>
  <si>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</si>
  <si>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</si>
  <si>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</si>
  <si>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</si>
  <si>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</si>
  <si>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</si>
  <si>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</si>
  <si>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</si>
  <si>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</si>
  <si>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</si>
  <si>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</si>
  <si>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</si>
  <si>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</si>
  <si>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</si>
  <si>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</si>
  <si>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</si>
  <si>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</si>
  <si>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</si>
  <si>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</si>
  <si>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</si>
  <si>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</si>
  <si>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</si>
  <si>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</si>
  <si>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</si>
  <si>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</si>
  <si>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</si>
  <si>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</si>
  <si>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</si>
  <si>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</si>
  <si>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</si>
  <si>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</si>
  <si>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</si>
  <si>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</si>
  <si>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</si>
  <si>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</si>
  <si>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</si>
  <si>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</si>
  <si>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</si>
  <si>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</si>
  <si>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</si>
  <si>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</si>
  <si>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</si>
  <si>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</si>
  <si>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</si>
  <si>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</si>
  <si>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</si>
  <si>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</si>
  <si>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</si>
  <si>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</si>
  <si>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</si>
  <si>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</si>
  <si>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</si>
  <si>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</si>
  <si>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</si>
  <si>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</si>
  <si>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</si>
  <si>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</si>
  <si>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</si>
  <si>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</si>
  <si>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</si>
  <si>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</si>
  <si>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</si>
  <si>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</si>
  <si>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</si>
  <si>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</si>
  <si>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</si>
  <si>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</si>
  <si>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</si>
  <si>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</si>
  <si>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</si>
  <si>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</si>
  <si>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</si>
  <si>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</si>
  <si>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</si>
  <si>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</si>
  <si>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</si>
  <si>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</si>
  <si>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</si>
  <si>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</si>
  <si>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</si>
  <si>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</si>
  <si>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</si>
  <si>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</si>
  <si>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</si>
  <si>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</si>
  <si>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</si>
  <si>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</si>
  <si>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</si>
  <si>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</si>
  <si>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</si>
  <si>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</si>
  <si>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</si>
  <si>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</si>
  <si>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</si>
  <si>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</si>
  <si>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</si>
  <si>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</si>
  <si>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</si>
  <si>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</si>
  <si>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</si>
  <si>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</si>
  <si>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>২৯-১০-২০২৫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</si>
  <si>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</si>
  <si>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</si>
  <si>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</si>
  <si>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০৩-১১-২০২৫ তারিখে মূল্য হ্রাস পেয়েছে।</t>
  </si>
  <si>
    <t>০৩-১১-২০২৫ তারিখে মূল্য বৃদ্ধি পেয়েছে।</t>
  </si>
  <si>
    <t>০৪-১১-২০২৫ তারিখে মূল্য হ্রাস পেয়েছে।</t>
  </si>
  <si>
    <t>০৫-১১-২০২৫ তারিখে মূল্য হ্রাস পেয়েছে।</t>
  </si>
  <si>
    <t>০৬-১১-২০২৫ তারিখে মূল্য বৃদ্ধি পেয়েছে।</t>
  </si>
  <si>
    <t xml:space="preserve">   সিরিয়াল নংঃ     ২৭৯</t>
  </si>
  <si>
    <t>০৭-১১-২০২৫ তারিখে মূল্য বৃদ্ধি পেয়েছে।</t>
  </si>
  <si>
    <t>স্মারক নং-২৬.০৫.০০০০.০১৭.৩১.০১.২৫-৮০৪</t>
  </si>
  <si>
    <t xml:space="preserve">রবিবার ০৯ নভেম্বর ২০২৫ খ্রিঃ, ২৪ কার্তিক ১৪৩২ বাংলা, ১৭ জমা-আউ ১৪৪৭ হিজরি </t>
  </si>
  <si>
    <t>০৯-১১-২০২৫ তারিখে মূল্য হ্রাস পেয়েছে।</t>
  </si>
  <si>
    <t>০৯-১১-২০২৫ তারিখে মূল্য বৃদ্ধি পেয়েছে।</t>
  </si>
  <si>
    <t xml:space="preserve">        ধনে, তেজপাতা, খেজুর  এর মূল্য হ্রাস পেয়েছে।</t>
  </si>
  <si>
    <t>(১)     পেঁয়াজ (দেশী), রশুন (আম), সয়াবিন তেল (৫লিঃ বোতল), মুরগী ব্রয়লার, এমএস রড (৬০,৪০ গ্রেড)    এর মূল্য বৃদ্ধি পেয়েছে।</t>
  </si>
  <si>
    <t>(২ )   চাল (মাঝারী, মোটা), আটা (প্যা:), সয়াবিন তেল (১লিঃ বোতল), পাম অয়েল (লুজ,সুপার), মসুর ডাল (বড়),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</si>
</sst>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6"/>
  <sheetViews>
    <sheetView tabSelected="1" topLeftCell="A3" zoomScale="96" zoomScaleNormal="96" workbookViewId="0">
      <selection activeCell="C11" sqref="C11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126</v>
      </c>
      <c r="L4" s="84"/>
    </row>
    <row r="5" spans="1:12" ht="19.5" customHeight="1">
      <c r="A5" s="17"/>
      <c r="B5" s="8"/>
      <c r="C5" s="8"/>
      <c r="D5" s="17"/>
      <c r="E5" s="8"/>
      <c r="F5" s="8" t="s">
        <v>129</v>
      </c>
      <c r="G5" s="8"/>
      <c r="H5" s="8"/>
      <c r="I5" s="8"/>
      <c r="J5" s="8"/>
      <c r="K5" s="8"/>
      <c r="L5" s="49"/>
    </row>
    <row r="6" spans="1:12" ht="21.75">
      <c r="A6" s="20" t="s">
        <v>128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45970</v>
      </c>
    </row>
    <row r="7" spans="1:12" ht="21.7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.75">
      <c r="A8" s="25"/>
      <c r="B8" s="26"/>
      <c r="C8" s="85">
        <v>45970</v>
      </c>
      <c r="D8" s="84"/>
      <c r="E8" s="85">
        <v>45963</v>
      </c>
      <c r="F8" s="84"/>
      <c r="G8" s="85">
        <v>45939</v>
      </c>
      <c r="H8" s="84"/>
      <c r="I8" s="26" t="s">
        <v>12</v>
      </c>
      <c r="J8" s="85">
        <v>45605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70</v>
      </c>
      <c r="K10" s="29">
        <v>80</v>
      </c>
      <c r="L10" s="31">
        <f>((C10+D10)/2-(J10+K10)/2)/((J10+K10)/2)*100</f>
        <v>4.666666666666667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58</v>
      </c>
      <c r="K11" s="29">
        <v>65</v>
      </c>
      <c r="L11" s="31">
        <f>((C11+D11)/2-(J11+K11)/2)/((J11+K11)/2)*100</f>
        <v>4.0650406504065035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178</v>
      </c>
      <c r="I19" s="30">
        <f t="shared" ref="I19:I25" si="0">((C19+D19)/2-(G19+H19)/2)/((G19+H19)/2)*100</f>
        <v>0</v>
      </c>
      <c r="J19" s="29">
        <v>163</v>
      </c>
      <c r="K19" s="29">
        <v>165</v>
      </c>
      <c r="L19" s="31">
        <f t="shared" ref="L19:L25" si="1">((C19+D19)/2-(J19+K19)/2)/((J19+K19)/2)*100</f>
        <v>6.7073170731707323</v>
      </c>
    </row>
    <row r="20" spans="1:12" ht="21.75">
      <c r="A20" s="69" t="s">
        <v>29</v>
      </c>
      <c r="B20" s="6" t="s">
        <v>30</v>
      </c>
      <c r="C20" s="29">
        <v>910</v>
      </c>
      <c r="D20" s="29">
        <v>925</v>
      </c>
      <c r="E20" s="29">
        <v>900</v>
      </c>
      <c r="F20" s="29">
        <v>930</v>
      </c>
      <c r="G20" s="29">
        <v>890</v>
      </c>
      <c r="H20" s="29">
        <v>920</v>
      </c>
      <c r="I20" s="30">
        <f t="shared" si="0"/>
        <v>1.3812154696132597</v>
      </c>
      <c r="J20" s="29">
        <v>800</v>
      </c>
      <c r="K20" s="29">
        <v>810</v>
      </c>
      <c r="L20" s="31">
        <f t="shared" si="1"/>
        <v>13.975155279503104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380</v>
      </c>
      <c r="I21" s="30">
        <f t="shared" si="0"/>
        <v>0.66225165562913912</v>
      </c>
      <c r="J21" s="29">
        <v>330</v>
      </c>
      <c r="K21" s="29">
        <v>340</v>
      </c>
      <c r="L21" s="31">
        <f t="shared" si="1"/>
        <v>13.432835820895523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195</v>
      </c>
      <c r="G22" s="29">
        <v>188</v>
      </c>
      <c r="H22" s="29">
        <v>190</v>
      </c>
      <c r="I22" s="30">
        <f t="shared" si="0"/>
        <v>0.79365079365079361</v>
      </c>
      <c r="J22" s="29">
        <v>167</v>
      </c>
      <c r="K22" s="29">
        <v>170</v>
      </c>
      <c r="L22" s="31">
        <f t="shared" si="1"/>
        <v>13.056379821958458</v>
      </c>
    </row>
    <row r="23" spans="1:12" ht="21.75">
      <c r="A23" s="69" t="s">
        <v>33</v>
      </c>
      <c r="B23" s="6" t="s">
        <v>28</v>
      </c>
      <c r="C23" s="29">
        <v>150</v>
      </c>
      <c r="D23" s="29">
        <v>162</v>
      </c>
      <c r="E23" s="29">
        <v>155</v>
      </c>
      <c r="F23" s="29">
        <v>162</v>
      </c>
      <c r="G23" s="29">
        <v>153</v>
      </c>
      <c r="H23" s="29">
        <v>160</v>
      </c>
      <c r="I23" s="30">
        <f t="shared" si="0"/>
        <v>-0.31948881789137379</v>
      </c>
      <c r="J23" s="29">
        <v>154</v>
      </c>
      <c r="K23" s="29">
        <v>155</v>
      </c>
      <c r="L23" s="31">
        <f t="shared" si="1"/>
        <v>0.97087378640776689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158</v>
      </c>
      <c r="F24" s="29">
        <v>165</v>
      </c>
      <c r="G24" s="29">
        <v>155</v>
      </c>
      <c r="H24" s="29">
        <v>166</v>
      </c>
      <c r="I24" s="30">
        <f t="shared" si="0"/>
        <v>-0.3115264797507788</v>
      </c>
      <c r="J24" s="29">
        <v>158</v>
      </c>
      <c r="K24" s="29">
        <v>160</v>
      </c>
      <c r="L24" s="31">
        <f t="shared" si="1"/>
        <v>0.62893081761006298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1050</v>
      </c>
      <c r="L25" s="31">
        <f t="shared" si="1"/>
        <v>3.9408866995073892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-3.5714285714285712</v>
      </c>
      <c r="J31" s="29">
        <v>75</v>
      </c>
      <c r="K31" s="29">
        <v>80</v>
      </c>
      <c r="L31" s="31">
        <f t="shared" si="3"/>
        <v>-12.903225806451612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130</v>
      </c>
      <c r="K32" s="29">
        <v>140</v>
      </c>
      <c r="L32" s="31">
        <f t="shared" si="3"/>
        <v>-22.222222222222221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65</v>
      </c>
      <c r="K33" s="29">
        <v>70</v>
      </c>
      <c r="L33" s="31">
        <f t="shared" si="3"/>
        <v>-66.666666666666657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110</v>
      </c>
      <c r="D35" s="29">
        <v>120</v>
      </c>
      <c r="E35" s="29">
        <v>80</v>
      </c>
      <c r="F35" s="29">
        <v>105</v>
      </c>
      <c r="G35" s="29">
        <v>70</v>
      </c>
      <c r="H35" s="29">
        <v>80</v>
      </c>
      <c r="I35" s="30">
        <f t="shared" ref="I35:I50" si="4">((C35+D35)/2-(G35+H35)/2)/((G35+H35)/2)*100</f>
        <v>53.333333333333336</v>
      </c>
      <c r="J35" s="29">
        <v>130</v>
      </c>
      <c r="K35" s="29">
        <v>150</v>
      </c>
      <c r="L35" s="31">
        <f t="shared" ref="L35:L50" si="5">((C35+D35)/2-(J35+K35)/2)/((J35+K35)/2)*100</f>
        <v>-17.857142857142858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90</v>
      </c>
      <c r="K36" s="29">
        <v>120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260</v>
      </c>
      <c r="L37" s="31">
        <f t="shared" si="5"/>
        <v>-50</v>
      </c>
    </row>
    <row r="38" spans="1:12" ht="21.75">
      <c r="A38" s="69" t="s">
        <v>46</v>
      </c>
      <c r="B38" s="6" t="s">
        <v>18</v>
      </c>
      <c r="C38" s="29">
        <v>160</v>
      </c>
      <c r="D38" s="29">
        <v>200</v>
      </c>
      <c r="E38" s="29">
        <v>150</v>
      </c>
      <c r="F38" s="29">
        <v>200</v>
      </c>
      <c r="G38" s="29">
        <v>130</v>
      </c>
      <c r="H38" s="29">
        <v>200</v>
      </c>
      <c r="I38" s="30">
        <f t="shared" si="4"/>
        <v>9.0909090909090917</v>
      </c>
      <c r="J38" s="29">
        <v>200</v>
      </c>
      <c r="K38" s="29">
        <v>230</v>
      </c>
      <c r="L38" s="31">
        <f t="shared" si="5"/>
        <v>-16.279069767441861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140</v>
      </c>
      <c r="H44" s="29">
        <v>250</v>
      </c>
      <c r="I44" s="30">
        <f t="shared" si="4"/>
        <v>-5.1282051282051277</v>
      </c>
      <c r="J44" s="29">
        <v>140</v>
      </c>
      <c r="K44" s="29">
        <v>300</v>
      </c>
      <c r="L44" s="31">
        <f t="shared" si="5"/>
        <v>-15.909090909090908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190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220</v>
      </c>
      <c r="K49" s="29">
        <v>260</v>
      </c>
      <c r="L49" s="31">
        <f t="shared" si="5"/>
        <v>-2.083333333333333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400</v>
      </c>
      <c r="L52" s="31">
        <f t="shared" ref="L52:L57" si="7">((C52+D52)/2-(J52+K52)/2)/((J52+K52)/2)*100</f>
        <v>15.384615384615385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1200</v>
      </c>
      <c r="G53" s="29">
        <v>0</v>
      </c>
      <c r="H53" s="29">
        <v>0</v>
      </c>
      <c r="I53" s="30" t="e">
        <f t="shared" si="6"/>
        <v>#DIV/0!</v>
      </c>
      <c r="J53" s="29">
        <v>0</v>
      </c>
      <c r="K53" s="29">
        <v>0</v>
      </c>
      <c r="L53" s="31" t="e">
        <f t="shared" si="7"/>
        <v>#DIV/0!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190</v>
      </c>
      <c r="E56" s="29">
        <v>170</v>
      </c>
      <c r="F56" s="29">
        <v>185</v>
      </c>
      <c r="G56" s="29">
        <v>160</v>
      </c>
      <c r="H56" s="29">
        <v>185</v>
      </c>
      <c r="I56" s="30">
        <f t="shared" si="6"/>
        <v>4.3478260869565215</v>
      </c>
      <c r="J56" s="29">
        <v>180</v>
      </c>
      <c r="K56" s="29">
        <v>200</v>
      </c>
      <c r="L56" s="31">
        <f t="shared" si="7"/>
        <v>-5.2631578947368416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>
      <c r="A67" s="73"/>
      <c r="B67" s="64"/>
      <c r="C67" s="85">
        <v>45970</v>
      </c>
      <c r="D67" s="84"/>
      <c r="E67" s="85">
        <v>45963</v>
      </c>
      <c r="F67" s="84"/>
      <c r="G67" s="85">
        <v>45939</v>
      </c>
      <c r="H67" s="84"/>
      <c r="I67" s="26" t="s">
        <v>12</v>
      </c>
      <c r="J67" s="85">
        <v>45605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130</v>
      </c>
      <c r="K69" s="29">
        <v>135</v>
      </c>
      <c r="L69" s="31">
        <f t="shared" ref="L69:L75" si="8">((C69+D69)/2-(J69+K69)/2)/((J69+K69)/2)*100</f>
        <v>-20.754716981132077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43</v>
      </c>
      <c r="D72" s="37">
        <v>50</v>
      </c>
      <c r="E72" s="37">
        <v>43</v>
      </c>
      <c r="F72" s="37">
        <v>50</v>
      </c>
      <c r="G72" s="37">
        <v>45</v>
      </c>
      <c r="H72" s="37">
        <v>50</v>
      </c>
      <c r="I72" s="30">
        <f t="shared" si="9"/>
        <v>-2.1052631578947367</v>
      </c>
      <c r="J72" s="37">
        <v>48</v>
      </c>
      <c r="K72" s="37">
        <v>50</v>
      </c>
      <c r="L72" s="31">
        <f t="shared" si="8"/>
        <v>-5.1020408163265305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84000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93000</v>
      </c>
      <c r="L74" s="31">
        <f t="shared" si="8"/>
        <v>-7.7348066298342539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77000</v>
      </c>
      <c r="G75" s="29">
        <v>76000</v>
      </c>
      <c r="H75" s="37">
        <v>79000</v>
      </c>
      <c r="I75" s="30">
        <f t="shared" si="9"/>
        <v>-0.64516129032258063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133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134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132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6"/>
      <c r="B81" s="1" t="s">
        <v>111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.75">
      <c r="A82" s="44" t="s">
        <v>80</v>
      </c>
      <c r="B82" s="45"/>
      <c r="C82" s="46"/>
      <c r="D82" s="46"/>
      <c r="E82" s="46"/>
      <c r="F82" s="46"/>
      <c r="G82" s="47"/>
      <c r="H82" s="47"/>
      <c r="I82" s="46"/>
      <c r="J82" s="46"/>
      <c r="K82" s="46"/>
      <c r="L82" s="8"/>
    </row>
    <row r="83" spans="1:12" ht="21.75">
      <c r="A83" s="5" t="s">
        <v>81</v>
      </c>
      <c r="B83" s="6" t="s">
        <v>82</v>
      </c>
      <c r="C83" s="88" t="s">
        <v>6</v>
      </c>
      <c r="D83" s="89"/>
      <c r="E83" s="90" t="s">
        <v>83</v>
      </c>
      <c r="F83" s="91"/>
      <c r="G83" s="77" t="s">
        <v>12</v>
      </c>
      <c r="H83" s="88" t="s">
        <v>84</v>
      </c>
      <c r="I83" s="92"/>
      <c r="J83" s="89"/>
      <c r="K83" s="50"/>
      <c r="L83" s="17"/>
    </row>
    <row r="84" spans="1:12" ht="21.75">
      <c r="A84" s="69" t="s">
        <v>105</v>
      </c>
      <c r="B84" s="6" t="s">
        <v>18</v>
      </c>
      <c r="C84" s="29">
        <v>58</v>
      </c>
      <c r="D84" s="29">
        <v>70</v>
      </c>
      <c r="E84" s="29">
        <v>60</v>
      </c>
      <c r="F84" s="29">
        <v>70</v>
      </c>
      <c r="G84" s="7">
        <f t="shared" ref="G84:G86" si="10">((C84+D84)/2-(E84+F84)/2)/((E84+F84)/2)*100</f>
        <v>-1.5384615384615385</v>
      </c>
      <c r="H84" s="5" t="s">
        <v>121</v>
      </c>
      <c r="I84" s="6"/>
      <c r="J84" s="6"/>
      <c r="K84" s="50"/>
      <c r="L84" s="17"/>
    </row>
    <row r="85" spans="1:12" ht="21.75">
      <c r="A85" s="69" t="s">
        <v>19</v>
      </c>
      <c r="B85" s="6" t="s">
        <v>18</v>
      </c>
      <c r="C85" s="29">
        <v>54</v>
      </c>
      <c r="D85" s="29">
        <v>60</v>
      </c>
      <c r="E85" s="29">
        <v>55</v>
      </c>
      <c r="F85" s="29">
        <v>60</v>
      </c>
      <c r="G85" s="7">
        <f t="shared" si="10"/>
        <v>-0.86956521739130432</v>
      </c>
      <c r="H85" s="5" t="s">
        <v>121</v>
      </c>
      <c r="I85" s="6"/>
      <c r="J85" s="6"/>
      <c r="K85" s="50"/>
      <c r="L85" s="17"/>
    </row>
    <row r="86" spans="1:12" ht="21.75">
      <c r="A86" s="69" t="s">
        <v>22</v>
      </c>
      <c r="B86" s="6" t="s">
        <v>23</v>
      </c>
      <c r="C86" s="29">
        <v>55</v>
      </c>
      <c r="D86" s="29">
        <v>62</v>
      </c>
      <c r="E86" s="29">
        <v>55</v>
      </c>
      <c r="F86" s="29">
        <v>65</v>
      </c>
      <c r="G86" s="7">
        <f t="shared" si="10"/>
        <v>-2.5</v>
      </c>
      <c r="H86" s="5" t="s">
        <v>117</v>
      </c>
      <c r="I86" s="6"/>
      <c r="J86" s="6"/>
      <c r="K86" s="50"/>
      <c r="L86" s="17"/>
    </row>
    <row r="87" spans="1:12" ht="21.75">
      <c r="A87" s="69" t="s">
        <v>29</v>
      </c>
      <c r="B87" s="6" t="s">
        <v>30</v>
      </c>
      <c r="C87" s="29">
        <v>910</v>
      </c>
      <c r="D87" s="29">
        <v>925</v>
      </c>
      <c r="E87" s="29">
        <v>900</v>
      </c>
      <c r="F87" s="29">
        <v>930</v>
      </c>
      <c r="G87" s="7">
        <f t="shared" ref="G87:G91" si="11">((C87+D87)/2-(E87+F87)/2)/((E87+F87)/2)*100</f>
        <v>0.27322404371584702</v>
      </c>
      <c r="H87" s="5" t="s">
        <v>131</v>
      </c>
      <c r="I87" s="6"/>
      <c r="J87" s="6"/>
      <c r="K87" s="50"/>
      <c r="L87" s="17"/>
    </row>
    <row r="88" spans="1:12" ht="21.75">
      <c r="A88" s="69" t="s">
        <v>29</v>
      </c>
      <c r="B88" s="6" t="s">
        <v>32</v>
      </c>
      <c r="C88" s="29">
        <v>189</v>
      </c>
      <c r="D88" s="29">
        <v>192</v>
      </c>
      <c r="E88" s="29">
        <v>189</v>
      </c>
      <c r="F88" s="29">
        <v>195</v>
      </c>
      <c r="G88" s="7">
        <f t="shared" si="11"/>
        <v>-0.78125</v>
      </c>
      <c r="H88" s="5" t="s">
        <v>130</v>
      </c>
      <c r="I88" s="6"/>
      <c r="J88" s="6"/>
      <c r="K88" s="50"/>
      <c r="L88" s="17"/>
    </row>
    <row r="89" spans="1:12" ht="21.75">
      <c r="A89" s="69" t="s">
        <v>33</v>
      </c>
      <c r="B89" s="6" t="s">
        <v>28</v>
      </c>
      <c r="C89" s="29">
        <v>150</v>
      </c>
      <c r="D89" s="29">
        <v>162</v>
      </c>
      <c r="E89" s="29">
        <v>155</v>
      </c>
      <c r="F89" s="29">
        <v>162</v>
      </c>
      <c r="G89" s="7">
        <f t="shared" si="11"/>
        <v>-1.5772870662460567</v>
      </c>
      <c r="H89" s="5" t="s">
        <v>130</v>
      </c>
      <c r="I89" s="6"/>
      <c r="J89" s="6"/>
      <c r="K89" s="50"/>
      <c r="L89" s="17"/>
    </row>
    <row r="90" spans="1:12" ht="21.75">
      <c r="A90" s="69" t="s">
        <v>106</v>
      </c>
      <c r="B90" s="6" t="s">
        <v>28</v>
      </c>
      <c r="C90" s="29">
        <v>155</v>
      </c>
      <c r="D90" s="29">
        <v>165</v>
      </c>
      <c r="E90" s="29">
        <v>158</v>
      </c>
      <c r="F90" s="29">
        <v>165</v>
      </c>
      <c r="G90" s="7">
        <f t="shared" si="11"/>
        <v>-0.92879256965944268</v>
      </c>
      <c r="H90" s="5" t="s">
        <v>123</v>
      </c>
      <c r="I90" s="6"/>
      <c r="J90" s="6"/>
      <c r="K90" s="50"/>
      <c r="L90" s="17"/>
    </row>
    <row r="91" spans="1:12" ht="21.75">
      <c r="A91" s="69" t="s">
        <v>37</v>
      </c>
      <c r="B91" s="6" t="s">
        <v>18</v>
      </c>
      <c r="C91" s="29">
        <v>90</v>
      </c>
      <c r="D91" s="29">
        <v>110</v>
      </c>
      <c r="E91" s="29">
        <v>95</v>
      </c>
      <c r="F91" s="29">
        <v>110</v>
      </c>
      <c r="G91" s="7">
        <f t="shared" si="11"/>
        <v>-2.4390243902439024</v>
      </c>
      <c r="H91" s="5" t="s">
        <v>124</v>
      </c>
      <c r="I91" s="6"/>
      <c r="J91" s="6"/>
      <c r="K91" s="50"/>
      <c r="L91" s="17"/>
    </row>
    <row r="92" spans="1:12" ht="21.75">
      <c r="A92" s="69" t="s">
        <v>90</v>
      </c>
      <c r="B92" s="6" t="s">
        <v>18</v>
      </c>
      <c r="C92" s="29">
        <v>110</v>
      </c>
      <c r="D92" s="29">
        <v>120</v>
      </c>
      <c r="E92" s="29">
        <v>80</v>
      </c>
      <c r="F92" s="29">
        <v>105</v>
      </c>
      <c r="G92" s="7">
        <f t="shared" ref="G92:G98" si="12">((C92+D92)/2-(E92+F92)/2)/((E92+F92)/2)*100</f>
        <v>24.324324324324326</v>
      </c>
      <c r="H92" s="5" t="s">
        <v>131</v>
      </c>
      <c r="I92" s="6"/>
      <c r="J92" s="6"/>
      <c r="K92" s="11"/>
      <c r="L92" s="11"/>
    </row>
    <row r="93" spans="1:12" ht="21.75">
      <c r="A93" s="69" t="s">
        <v>46</v>
      </c>
      <c r="B93" s="6" t="s">
        <v>18</v>
      </c>
      <c r="C93" s="29">
        <v>160</v>
      </c>
      <c r="D93" s="29">
        <v>200</v>
      </c>
      <c r="E93" s="29">
        <v>150</v>
      </c>
      <c r="F93" s="29">
        <v>200</v>
      </c>
      <c r="G93" s="7">
        <f t="shared" si="12"/>
        <v>2.8571428571428572</v>
      </c>
      <c r="H93" s="5" t="s">
        <v>125</v>
      </c>
      <c r="I93" s="6"/>
      <c r="J93" s="6"/>
      <c r="K93" s="11"/>
      <c r="L93" s="11"/>
    </row>
    <row r="94" spans="1:12" ht="21.75">
      <c r="A94" s="69" t="s">
        <v>57</v>
      </c>
      <c r="B94" s="6" t="s">
        <v>18</v>
      </c>
      <c r="C94" s="29">
        <v>190</v>
      </c>
      <c r="D94" s="29">
        <v>280</v>
      </c>
      <c r="E94" s="29">
        <v>200</v>
      </c>
      <c r="F94" s="29">
        <v>280</v>
      </c>
      <c r="G94" s="7">
        <f>((C94+D94)/2-(E94+F94)/2)/((E94+F94)/2)*100</f>
        <v>-2.083333333333333</v>
      </c>
      <c r="H94" s="5" t="s">
        <v>124</v>
      </c>
      <c r="I94" s="6"/>
      <c r="J94" s="6"/>
      <c r="K94" s="11"/>
      <c r="L94" s="11"/>
    </row>
    <row r="95" spans="1:12" ht="21.75">
      <c r="A95" s="69" t="s">
        <v>58</v>
      </c>
      <c r="B95" s="6" t="s">
        <v>18</v>
      </c>
      <c r="C95" s="29">
        <v>160</v>
      </c>
      <c r="D95" s="29">
        <v>225</v>
      </c>
      <c r="E95" s="29">
        <v>200</v>
      </c>
      <c r="F95" s="29">
        <v>225</v>
      </c>
      <c r="G95" s="7">
        <f>((C95+D95)/2-(E95+F95)/2)/((E95+F95)/2)*100</f>
        <v>-9.4117647058823533</v>
      </c>
      <c r="H95" s="5" t="s">
        <v>123</v>
      </c>
      <c r="I95" s="6"/>
      <c r="J95" s="6"/>
      <c r="K95" s="11"/>
      <c r="L95" s="11"/>
    </row>
    <row r="96" spans="1:12" ht="24.75">
      <c r="A96" s="69" t="s">
        <v>62</v>
      </c>
      <c r="B96" s="6" t="s">
        <v>18</v>
      </c>
      <c r="C96" s="29">
        <v>170</v>
      </c>
      <c r="D96" s="29">
        <v>190</v>
      </c>
      <c r="E96" s="29">
        <v>170</v>
      </c>
      <c r="F96" s="29">
        <v>185</v>
      </c>
      <c r="G96" s="7">
        <f>((C96+D96)/2-(E96+F96)/2)/((E96+F96)/2)*100</f>
        <v>1.4084507042253522</v>
      </c>
      <c r="H96" s="5" t="s">
        <v>127</v>
      </c>
      <c r="I96" s="6"/>
      <c r="J96" s="6"/>
      <c r="K96" s="40"/>
      <c r="L96" s="11"/>
    </row>
    <row r="97" spans="1:12" ht="24.75">
      <c r="A97" s="5" t="s">
        <v>72</v>
      </c>
      <c r="B97" s="6" t="s">
        <v>18</v>
      </c>
      <c r="C97" s="29">
        <v>200</v>
      </c>
      <c r="D97" s="29">
        <v>550</v>
      </c>
      <c r="E97" s="29">
        <v>220</v>
      </c>
      <c r="F97" s="29">
        <v>550</v>
      </c>
      <c r="G97" s="7">
        <f t="shared" si="12"/>
        <v>-2.5974025974025974</v>
      </c>
      <c r="H97" s="5" t="s">
        <v>123</v>
      </c>
      <c r="I97" s="6"/>
      <c r="J97" s="6"/>
      <c r="K97" s="40"/>
      <c r="L97" s="11"/>
    </row>
    <row r="98" spans="1:12" ht="24.75">
      <c r="A98" s="5" t="s">
        <v>77</v>
      </c>
      <c r="B98" s="6" t="s">
        <v>78</v>
      </c>
      <c r="C98" s="29">
        <v>81000</v>
      </c>
      <c r="D98" s="29">
        <v>86000</v>
      </c>
      <c r="E98" s="29">
        <v>81000</v>
      </c>
      <c r="F98" s="29">
        <v>84000</v>
      </c>
      <c r="G98" s="7">
        <f t="shared" si="12"/>
        <v>1.2121212121212122</v>
      </c>
      <c r="H98" s="5" t="s">
        <v>122</v>
      </c>
      <c r="I98" s="6"/>
      <c r="J98" s="6"/>
      <c r="K98" s="40"/>
      <c r="L98" s="11"/>
    </row>
    <row r="99" spans="1:12" ht="24.75">
      <c r="A99" s="5" t="s">
        <v>79</v>
      </c>
      <c r="B99" s="6" t="s">
        <v>78</v>
      </c>
      <c r="C99" s="29">
        <v>75000</v>
      </c>
      <c r="D99" s="37">
        <v>79000</v>
      </c>
      <c r="E99" s="29">
        <v>75000</v>
      </c>
      <c r="F99" s="37">
        <v>77000</v>
      </c>
      <c r="G99" s="7">
        <f>((C99+D99)/2-(E99+F99)/2)/((E99+F99)/2)*100</f>
        <v>1.3157894736842104</v>
      </c>
      <c r="H99" s="5" t="s">
        <v>122</v>
      </c>
      <c r="I99" s="6"/>
      <c r="J99" s="6"/>
      <c r="K99" s="40"/>
      <c r="L99" s="11"/>
    </row>
    <row r="100" spans="1:12" ht="24.75">
      <c r="A100" s="1"/>
      <c r="B100" s="3"/>
      <c r="C100" s="82"/>
      <c r="D100" s="82"/>
      <c r="E100" s="8"/>
      <c r="F100" s="82"/>
      <c r="G100" s="9"/>
      <c r="H100" s="1"/>
      <c r="I100" s="3"/>
      <c r="J100" s="3"/>
      <c r="K100" s="40"/>
      <c r="L100" s="11"/>
    </row>
    <row r="101" spans="1:12" ht="24.75">
      <c r="A101" s="1"/>
      <c r="B101" s="3"/>
      <c r="C101" s="82"/>
      <c r="D101" s="82"/>
      <c r="E101" s="8"/>
      <c r="F101" s="82"/>
      <c r="G101" s="38"/>
      <c r="H101" s="39"/>
      <c r="I101" s="40"/>
      <c r="J101" s="40"/>
      <c r="K101" s="40"/>
      <c r="L101" s="11"/>
    </row>
    <row r="102" spans="1:12" ht="24.75">
      <c r="A102" s="1"/>
      <c r="B102" s="13"/>
      <c r="C102" s="14"/>
      <c r="D102" s="14"/>
      <c r="E102" s="13"/>
      <c r="F102" s="14"/>
      <c r="G102" s="38"/>
      <c r="H102" s="39"/>
      <c r="I102" s="40"/>
      <c r="J102" s="40"/>
      <c r="K102" s="40"/>
      <c r="L102" s="11"/>
    </row>
    <row r="103" spans="1:12" ht="24.75">
      <c r="A103" s="1"/>
      <c r="B103" s="41"/>
      <c r="C103" s="42" t="s">
        <v>120</v>
      </c>
      <c r="D103" s="10"/>
      <c r="E103" s="41"/>
      <c r="F103" s="13"/>
      <c r="G103" s="10"/>
      <c r="H103" s="39"/>
      <c r="I103" s="12"/>
      <c r="J103" s="13" t="s">
        <v>118</v>
      </c>
      <c r="K103" s="10"/>
      <c r="L103" s="10"/>
    </row>
    <row r="104" spans="1:12" ht="24.75">
      <c r="A104" s="1"/>
      <c r="B104" s="43"/>
      <c r="C104" s="42" t="s">
        <v>116</v>
      </c>
      <c r="D104" s="13"/>
      <c r="E104" s="41"/>
      <c r="F104" s="44"/>
      <c r="G104" s="46"/>
      <c r="H104" s="46"/>
      <c r="I104" s="76"/>
      <c r="J104" s="13" t="s">
        <v>119</v>
      </c>
      <c r="K104" s="13"/>
      <c r="L104" s="13"/>
    </row>
    <row r="105" spans="1:12" ht="24.75">
      <c r="A105" s="1"/>
      <c r="B105" s="13"/>
      <c r="C105" s="14"/>
      <c r="D105" s="13"/>
      <c r="E105" s="14"/>
      <c r="F105" s="44"/>
      <c r="G105" s="46"/>
      <c r="H105" s="46"/>
      <c r="I105" s="45"/>
      <c r="J105" s="10"/>
      <c r="K105" s="10"/>
      <c r="L105" s="2"/>
    </row>
    <row r="106" spans="1:12" ht="19.5">
      <c r="A106" s="55" t="s">
        <v>93</v>
      </c>
      <c r="B106" s="53"/>
      <c r="C106" s="51"/>
      <c r="D106" s="53"/>
      <c r="E106" s="51"/>
      <c r="F106" s="51"/>
      <c r="G106" s="51"/>
      <c r="H106" s="52"/>
      <c r="I106" s="57"/>
      <c r="J106" s="2"/>
      <c r="K106" s="2"/>
      <c r="L106" s="2"/>
    </row>
    <row r="107" spans="1:12" ht="19.5">
      <c r="A107" s="54" t="s">
        <v>99</v>
      </c>
      <c r="B107" s="53"/>
      <c r="C107" s="51"/>
      <c r="D107" s="53"/>
      <c r="E107" s="51"/>
      <c r="F107" s="51"/>
      <c r="G107" s="53"/>
      <c r="H107" s="52"/>
      <c r="I107" s="57"/>
      <c r="J107" s="2"/>
      <c r="K107" s="2"/>
      <c r="L107" s="2"/>
    </row>
    <row r="108" spans="1:12" ht="19.5">
      <c r="A108" s="54" t="s">
        <v>98</v>
      </c>
      <c r="B108" s="53"/>
      <c r="C108" s="53"/>
      <c r="D108" s="53"/>
      <c r="E108" s="53"/>
      <c r="F108" s="51"/>
      <c r="G108" s="53"/>
      <c r="H108" s="52"/>
      <c r="I108" s="57"/>
      <c r="J108" s="2"/>
      <c r="K108" s="2"/>
      <c r="L108" s="2"/>
    </row>
    <row r="109" spans="1:12" ht="19.5">
      <c r="A109" s="54" t="s">
        <v>85</v>
      </c>
      <c r="B109" s="53"/>
      <c r="C109" s="53"/>
      <c r="D109" s="53"/>
      <c r="E109" s="53"/>
      <c r="F109" s="52"/>
      <c r="G109" s="52"/>
      <c r="H109" s="52"/>
      <c r="I109" s="57"/>
      <c r="J109" s="2"/>
      <c r="K109" s="2"/>
      <c r="L109" s="2"/>
    </row>
    <row r="110" spans="1:12" ht="19.5">
      <c r="A110" s="54" t="s">
        <v>97</v>
      </c>
      <c r="B110" s="53"/>
      <c r="C110" s="53"/>
      <c r="D110" s="53"/>
      <c r="E110" s="53"/>
      <c r="F110" s="53"/>
      <c r="G110" s="52"/>
      <c r="H110" s="52"/>
      <c r="I110" s="57"/>
      <c r="J110" s="2"/>
      <c r="K110" s="2"/>
      <c r="L110" s="2"/>
    </row>
    <row r="111" spans="1:12" ht="19.5">
      <c r="A111" s="54" t="s">
        <v>96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107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95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94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86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101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100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102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103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87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/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9.5">
      <c r="A122" s="55" t="s">
        <v>88</v>
      </c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  <row r="123" spans="1:12" ht="19.5">
      <c r="A123" s="54" t="s">
        <v>89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9.5">
      <c r="A124" s="54" t="s">
        <v>114</v>
      </c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  <row r="125" spans="1:12" ht="19.5">
      <c r="A125" s="54" t="s">
        <v>113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4" t="s">
        <v>112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2025-11-09T08:32:32Z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