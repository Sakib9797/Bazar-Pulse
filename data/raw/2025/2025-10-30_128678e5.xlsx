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EE8C55D4-9BAD-416B-8C22-784B925E89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6" i="4" l="1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<sst xmlns="http://schemas.openxmlformats.org/spreadsheetml/2006/main" count="223" uniqueCount="129">
  <si>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</si>
  <si>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</si>
  <si>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</si>
  <si>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</si>
  <si>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</si>
  <si>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</si>
  <si>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</si>
  <si>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</si>
  <si>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</si>
  <si>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</si>
  <si>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</si>
  <si>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</si>
  <si>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</si>
  <si>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</si>
  <si>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</si>
  <si>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</si>
  <si>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</si>
  <si>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</si>
  <si>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</si>
  <si>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</si>
  <si>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</si>
  <si>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</si>
  <si>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</si>
  <si>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</si>
  <si>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</si>
  <si>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</si>
  <si>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</si>
  <si>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</si>
  <si>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</si>
  <si>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</si>
  <si>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</si>
  <si>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</si>
  <si>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</si>
  <si>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</si>
  <si>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</si>
  <si>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</si>
  <si>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</si>
  <si>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</si>
  <si>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</si>
  <si>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</si>
  <si>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</si>
  <si>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</si>
  <si>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</si>
  <si>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</si>
  <si>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</si>
  <si>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</si>
  <si>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</si>
  <si>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</si>
  <si>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</si>
  <si>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</si>
  <si>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</si>
  <si>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</si>
  <si>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</si>
  <si>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</si>
  <si>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</si>
  <si>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</si>
  <si>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</si>
  <si>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</si>
  <si>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</si>
  <si>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</si>
  <si>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</si>
  <si>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</si>
  <si>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</si>
  <si>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</si>
  <si>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</si>
  <si>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</si>
  <si>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</si>
  <si>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</si>
  <si>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</si>
  <si>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</si>
  <si>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</si>
  <si>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</si>
  <si>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</si>
  <si>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</si>
  <si>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</si>
  <si>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</si>
  <si>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</si>
  <si>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</si>
  <si>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</si>
  <si>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</si>
  <si>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</si>
  <si>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</si>
  <si>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</si>
  <si>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</si>
  <si>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</si>
  <si>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</si>
  <si>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</si>
  <si>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</si>
  <si>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</si>
  <si>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</si>
  <si>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</si>
  <si>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</si>
  <si>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</si>
  <si>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</si>
  <si>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</si>
  <si>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</si>
  <si>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</si>
  <si>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</si>
  <si>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</si>
  <si>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</si>
  <si>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</si>
  <si>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</si>
  <si>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</si>
  <si>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</si>
  <si>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</si>
  <si>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</si>
  <si>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</si>
  <si>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</si>
  <si>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</si>
  <si>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</si>
  <si>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</si>
  <si>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</si>
  <si>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</si>
  <si>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</si>
  <si>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</si>
  <si>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</si>
  <si>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</si>
  <si>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</si>
  <si>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(মো: হুমায়ুন কবির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</si>
  <si>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</si>
  <si>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</si>
  <si>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</si>
  <si>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</si>
  <si>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নং-২৬.০৫.০০০০.০১৭.৩১.০১.২৫-৭৭৫</t>
  </si>
  <si>
    <t xml:space="preserve">বৃহস্পতিবার ৩০ অক্টোবর ২০২৫ খ্রিঃ, ১৪ কার্তিক ১৪৩২ বাংলা, ০৭ জমা-আউ ১৪৪৭ হিজরি </t>
  </si>
  <si>
    <t xml:space="preserve">   সিরিয়াল নংঃ     ২৭০</t>
  </si>
  <si>
    <t>৩০-১০-২০২৫ তারিখে মূল্য হ্রাস পেয়েছে।</t>
  </si>
  <si>
    <t>(১)     মসুর ডাল (মাঝারী)    এর মূল্য বৃদ্ধি পেয়েছে।</t>
  </si>
  <si>
    <t>(২ )   সয়াবিন তেল (লুজ, ৫লি: বোতল), আদা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</si>
</sst>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8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45960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45960</v>
      </c>
      <c r="D8" s="84"/>
      <c r="E8" s="85">
        <v>45953</v>
      </c>
      <c r="F8" s="84"/>
      <c r="G8" s="85">
        <v>45930</v>
      </c>
      <c r="H8" s="84"/>
      <c r="I8" s="26" t="s">
        <v>12</v>
      </c>
      <c r="J8" s="85">
        <v>45595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72</v>
      </c>
      <c r="K10" s="29">
        <v>80</v>
      </c>
      <c r="L10" s="31">
        <f>((C10+D10)/2-(J10+K10)/2)/((J10+K10)/2)*100</f>
        <v>3.2894736842105261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5.6910569105691051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170</v>
      </c>
      <c r="H19" s="29">
        <v>178</v>
      </c>
      <c r="I19" s="30">
        <f t="shared" ref="I19:I25" si="0">((C19+D19)/2-(G19+H19)/2)/((G19+H19)/2)*100</f>
        <v>0.57471264367816088</v>
      </c>
      <c r="J19" s="29">
        <v>157</v>
      </c>
      <c r="K19" s="29">
        <v>160</v>
      </c>
      <c r="L19" s="31">
        <f t="shared" ref="L19:L25" si="1">((C19+D19)/2-(J19+K19)/2)/((J19+K19)/2)*100</f>
        <v>10.410094637223976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910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150</v>
      </c>
      <c r="L23" s="31">
        <f t="shared" si="1"/>
        <v>6.375838926174497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154</v>
      </c>
      <c r="L24" s="31">
        <f t="shared" si="1"/>
        <v>5.9016393442622954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130</v>
      </c>
      <c r="L32" s="31">
        <f t="shared" si="3"/>
        <v>-17.647058823529413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55</v>
      </c>
      <c r="K33" s="29">
        <v>65</v>
      </c>
      <c r="L33" s="31">
        <f t="shared" si="3"/>
        <v>-62.5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130</v>
      </c>
      <c r="K35" s="29">
        <v>150</v>
      </c>
      <c r="L35" s="31">
        <f t="shared" ref="L35:L50" si="5">((C35+D35)/2-(J35+K35)/2)/((J35+K35)/2)*100</f>
        <v>-46.428571428571431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230</v>
      </c>
      <c r="L38" s="31">
        <f t="shared" si="5"/>
        <v>-23.255813953488371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250</v>
      </c>
      <c r="G44" s="29">
        <v>140</v>
      </c>
      <c r="H44" s="29">
        <v>250</v>
      </c>
      <c r="I44" s="30">
        <f t="shared" si="4"/>
        <v>-10.256410256410255</v>
      </c>
      <c r="J44" s="29">
        <v>160</v>
      </c>
      <c r="K44" s="29">
        <v>300</v>
      </c>
      <c r="L44" s="31">
        <f t="shared" si="5"/>
        <v>-23.913043478260871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1200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-35.483870967741936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185</v>
      </c>
      <c r="K56" s="29">
        <v>210</v>
      </c>
      <c r="L56" s="31">
        <f t="shared" si="7"/>
        <v>-10.126582278481013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45960</v>
      </c>
      <c r="D67" s="84"/>
      <c r="E67" s="85">
        <v>45953</v>
      </c>
      <c r="F67" s="84"/>
      <c r="G67" s="85">
        <v>45930</v>
      </c>
      <c r="H67" s="84"/>
      <c r="I67" s="26" t="s">
        <v>12</v>
      </c>
      <c r="J67" s="85">
        <v>45595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27</v>
      </c>
      <c r="B83" s="6" t="s">
        <v>28</v>
      </c>
      <c r="C83" s="29">
        <v>170</v>
      </c>
      <c r="D83" s="29">
        <v>180</v>
      </c>
      <c r="E83" s="29">
        <v>172</v>
      </c>
      <c r="F83" s="29">
        <v>180</v>
      </c>
      <c r="G83" s="7">
        <f t="shared" ref="G83" si="10">((C83+D83)/2-(E83+F83)/2)/((E83+F83)/2)*100</f>
        <v>-0.56818181818181823</v>
      </c>
      <c r="H83" s="5" t="s">
        <v>120</v>
      </c>
      <c r="I83" s="6"/>
      <c r="J83" s="6"/>
      <c r="K83" s="50"/>
      <c r="L83" s="17"/>
    </row>
    <row r="84" spans="1:12" ht="21.75">
      <c r="A84" s="69" t="s">
        <v>29</v>
      </c>
      <c r="B84" s="6" t="s">
        <v>30</v>
      </c>
      <c r="C84" s="29">
        <v>900</v>
      </c>
      <c r="D84" s="29">
        <v>930</v>
      </c>
      <c r="E84" s="29">
        <v>910</v>
      </c>
      <c r="F84" s="29">
        <v>930</v>
      </c>
      <c r="G84" s="7">
        <f>((C84+D84)/2-(E84+F84)/2)/((E84+F84)/2)*100</f>
        <v>-0.54347826086956519</v>
      </c>
      <c r="H84" s="5" t="s">
        <v>126</v>
      </c>
      <c r="I84" s="6"/>
      <c r="J84" s="6"/>
      <c r="K84" s="50"/>
      <c r="L84" s="17"/>
    </row>
    <row r="85" spans="1:12" ht="21.75">
      <c r="A85" s="69" t="s">
        <v>110</v>
      </c>
      <c r="B85" s="6" t="s">
        <v>18</v>
      </c>
      <c r="C85" s="29">
        <v>125</v>
      </c>
      <c r="D85" s="29">
        <v>140</v>
      </c>
      <c r="E85" s="29">
        <v>120</v>
      </c>
      <c r="F85" s="29">
        <v>140</v>
      </c>
      <c r="G85" s="7">
        <f t="shared" ref="G85" si="11">((C85+D85)/2-(E85+F85)/2)/((E85+F85)/2)*100</f>
        <v>1.9230769230769231</v>
      </c>
      <c r="H85" s="5" t="s">
        <v>116</v>
      </c>
      <c r="I85" s="6"/>
      <c r="J85" s="6"/>
      <c r="K85" s="11"/>
      <c r="L85" s="11"/>
    </row>
    <row r="86" spans="1:12" ht="24.75">
      <c r="A86" s="69" t="s">
        <v>52</v>
      </c>
      <c r="B86" s="6" t="s">
        <v>18</v>
      </c>
      <c r="C86" s="29">
        <v>130</v>
      </c>
      <c r="D86" s="29">
        <v>220</v>
      </c>
      <c r="E86" s="29">
        <v>130</v>
      </c>
      <c r="F86" s="29">
        <v>250</v>
      </c>
      <c r="G86" s="7">
        <f t="shared" ref="G86" si="12">((C86+D86)/2-(E86+F86)/2)/((E86+F86)/2)*100</f>
        <v>-7.8947368421052628</v>
      </c>
      <c r="H86" s="5" t="s">
        <v>117</v>
      </c>
      <c r="I86" s="6"/>
      <c r="J86" s="6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121</v>
      </c>
      <c r="K90" s="10"/>
      <c r="L90" s="10"/>
    </row>
    <row r="91" spans="1:12" ht="24.75">
      <c r="A91" s="1"/>
      <c r="B91" s="43"/>
      <c r="C91" s="42" t="s">
        <v>119</v>
      </c>
      <c r="D91" s="13"/>
      <c r="E91" s="41"/>
      <c r="F91" s="44"/>
      <c r="G91" s="46"/>
      <c r="H91" s="46"/>
      <c r="I91" s="76"/>
      <c r="J91" s="13" t="s">
        <v>122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114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113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112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2025-10-30T07:59:34Z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