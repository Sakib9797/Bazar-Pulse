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03A5C28F-E204-0248-A7ED-240906CF94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1" i="4"/>
  <c r="G83" i="4"/>
  <c r="G84" i="4"/>
  <c r="G86" i="4"/>
  <c r="G92" i="4"/>
  <c r="G90" i="4"/>
  <c r="G88" i="4"/>
  <c r="G87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<sst xmlns="http://schemas.openxmlformats.org/spreadsheetml/2006/main" count="241" uniqueCount="139">
  <si>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</si>
  <si>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</si>
  <si>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</si>
  <si>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</si>
  <si>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</si>
  <si>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</si>
  <si>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</si>
  <si>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</si>
  <si>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</si>
  <si>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</si>
  <si>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</si>
  <si>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</si>
  <si>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</si>
  <si>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</si>
  <si>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</si>
  <si>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</si>
  <si>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</si>
  <si>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</si>
  <si>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</si>
  <si>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</si>
  <si>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</si>
  <si>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</si>
  <si>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</si>
  <si>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</si>
  <si>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</si>
  <si>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</si>
  <si>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</si>
  <si>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</si>
  <si>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</si>
  <si>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</si>
  <si>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</si>
  <si>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</si>
  <si>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</si>
  <si>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</si>
  <si>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</si>
  <si>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</si>
  <si>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</si>
  <si>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</si>
  <si>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</si>
  <si>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</si>
  <si>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</si>
  <si>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</si>
  <si>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</si>
  <si>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</si>
  <si>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</si>
  <si>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</si>
  <si>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</si>
  <si>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</si>
  <si>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</si>
  <si>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</si>
  <si>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</si>
  <si>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</si>
  <si>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</si>
  <si>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</si>
  <si>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</si>
  <si>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</si>
  <si>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</si>
  <si>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</si>
  <si>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</si>
  <si>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</si>
  <si>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</si>
  <si>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</si>
  <si>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</si>
  <si>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</si>
  <si>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</si>
  <si>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</si>
  <si>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</si>
  <si>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</si>
  <si>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</si>
  <si>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</si>
  <si>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</si>
  <si>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</si>
  <si>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</si>
  <si>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</si>
  <si>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</si>
  <si>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</si>
  <si>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</si>
  <si>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</si>
  <si>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</si>
  <si>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</si>
  <si>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</si>
  <si>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</si>
  <si>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</si>
  <si>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</si>
  <si>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</si>
  <si>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</si>
  <si>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</si>
  <si>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</si>
  <si>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</si>
  <si>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</si>
  <si>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</si>
  <si>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</si>
  <si>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</si>
  <si>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</si>
  <si>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</si>
  <si>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</si>
  <si>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</si>
  <si>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</si>
  <si>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</si>
  <si>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</si>
  <si>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</si>
  <si>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</si>
  <si>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</si>
  <si>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</si>
  <si>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</si>
  <si>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</si>
  <si>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</si>
  <si>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</si>
  <si>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</si>
  <si>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</si>
  <si>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</si>
  <si>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</si>
  <si>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</si>
  <si>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</si>
  <si>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</si>
  <si>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</si>
  <si>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</si>
  <si>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</si>
  <si>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১৫-০৯-২০২৫ তারিখে মূল্য হ্রাস পেয়েছে।</t>
  </si>
  <si>
    <t>১৬-০৯-২০২৫ তারিখে মূল্য হ্রাস পেয়েছে।</t>
  </si>
  <si>
    <t>১৬-০৯-২০২৫ তারিখে মূল্য বৃদ্ধি পেয়েছে।</t>
  </si>
  <si>
    <t>১৭-০৯-২০২৫ তারিখে মূল্য বৃদ্ধি পেয়েছে।</t>
  </si>
  <si>
    <t>স্মারক নং-২৬.০৫.০০০০.০১৭.৩১.০১.২৫-৬৬৬</t>
  </si>
  <si>
    <t xml:space="preserve">শুক্রবার ১৯ সেপ্টেম্বর ২০২৫ খ্রিঃ, ০৪ আশ্বিন ১৪৩২ বাংলা, ২৫ রবিউল আউয়াল ১৪৪৭ হিজরি </t>
  </si>
  <si>
    <t xml:space="preserve">   সিরিয়াল নংঃ     ২৩৬</t>
  </si>
  <si>
    <t>১৮-০৯-২০২৫ তারিখে মূল্য হ্রাস পেয়েছে।</t>
  </si>
  <si>
    <t>১৮-০৯-২০২৫ তারিখে মূল্য বৃদ্ধি পেয়েছে।</t>
  </si>
  <si>
    <t>(১)     সয়াবিন তেল লুজ, পাম অয়েল লুজ, ছোলা, এলাচ, তেজপাতা  এর মূল্য বৃদ্ধি পেয়েছে।</t>
  </si>
  <si>
    <t>(২ )    চাল (মাঝারী), আলু, পেঁয়াজ (দেশী), রশুন (আম), আদা (আম)    এর মূল্য হ্রাস পেয়েছে।</t>
  </si>
  <si>
    <t>২০-০৯-২০২৫ তারিখে মূল্য হ্রাস পেয়েছে।</t>
  </si>
  <si>
    <t>(মো: হুমায়ুন কবির)</t>
  </si>
  <si>
    <t>যুগ্ম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</si>
</sst>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D1" zoomScale="98" zoomScaleNormal="98" workbookViewId="0">
      <selection activeCell="H28" sqref="H28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124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" x14ac:dyDescent="0.2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45919</v>
      </c>
    </row>
    <row r="7" spans="1:12" ht="21" x14ac:dyDescent="0.2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" x14ac:dyDescent="0.25">
      <c r="A8" s="26"/>
      <c r="B8" s="27"/>
      <c r="C8" s="83">
        <v>45919</v>
      </c>
      <c r="D8" s="84"/>
      <c r="E8" s="83">
        <v>45912</v>
      </c>
      <c r="F8" s="84"/>
      <c r="G8" s="83">
        <v>45888</v>
      </c>
      <c r="H8" s="84"/>
      <c r="I8" s="27" t="s">
        <v>12</v>
      </c>
      <c r="J8" s="83">
        <v>45554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43</v>
      </c>
      <c r="H14" s="30">
        <v>50</v>
      </c>
      <c r="I14" s="31">
        <f>((C14+D14)/2-(G14+H14)/2)/((G14+H14)/2)*100</f>
        <v>4.3010752688172049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170</v>
      </c>
      <c r="D19" s="30">
        <v>175</v>
      </c>
      <c r="E19" s="30">
        <v>168</v>
      </c>
      <c r="F19" s="30">
        <v>174</v>
      </c>
      <c r="G19" s="30">
        <v>165</v>
      </c>
      <c r="H19" s="30">
        <v>172</v>
      </c>
      <c r="I19" s="31">
        <f t="shared" ref="I19:I25" si="0">((C19+D19)/2-(G19+H19)/2)/((G19+H19)/2)*100</f>
        <v>2.3738872403560833</v>
      </c>
      <c r="J19" s="30">
        <v>145</v>
      </c>
      <c r="K19" s="30">
        <v>155</v>
      </c>
      <c r="L19" s="32">
        <f t="shared" ref="L19:L25" si="1">((C19+D19)/2-(J19+K19)/2)/((J19+K19)/2)*100</f>
        <v>15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372</v>
      </c>
      <c r="H21" s="30">
        <v>378</v>
      </c>
      <c r="I21" s="31">
        <f t="shared" si="0"/>
        <v>0.4</v>
      </c>
      <c r="J21" s="30">
        <v>330</v>
      </c>
      <c r="K21" s="30">
        <v>335</v>
      </c>
      <c r="L21" s="32">
        <f t="shared" si="1"/>
        <v>13.233082706766917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158</v>
      </c>
      <c r="G23" s="30">
        <v>150</v>
      </c>
      <c r="H23" s="30">
        <v>158</v>
      </c>
      <c r="I23" s="31">
        <f t="shared" si="0"/>
        <v>1.6233766233766231</v>
      </c>
      <c r="J23" s="30">
        <v>130</v>
      </c>
      <c r="K23" s="30">
        <v>135</v>
      </c>
      <c r="L23" s="32">
        <f t="shared" si="1"/>
        <v>18.113207547169811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165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4.8780487804878048</v>
      </c>
      <c r="J32" s="30">
        <v>115</v>
      </c>
      <c r="K32" s="30">
        <v>125</v>
      </c>
      <c r="L32" s="32">
        <f t="shared" si="3"/>
        <v>-10.416666666666668</v>
      </c>
    </row>
    <row r="33" spans="1:12" ht="21" x14ac:dyDescent="0.3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82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200</v>
      </c>
      <c r="K37" s="30">
        <v>250</v>
      </c>
      <c r="L37" s="32">
        <f t="shared" si="5"/>
        <v>-46.666666666666664</v>
      </c>
    </row>
    <row r="38" spans="1:12" ht="21" x14ac:dyDescent="0.3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" x14ac:dyDescent="0.3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130</v>
      </c>
      <c r="D44" s="30">
        <v>220</v>
      </c>
      <c r="E44" s="30">
        <v>140</v>
      </c>
      <c r="F44" s="30">
        <v>260</v>
      </c>
      <c r="G44" s="30">
        <v>200</v>
      </c>
      <c r="H44" s="30">
        <v>280</v>
      </c>
      <c r="I44" s="31">
        <f t="shared" si="4"/>
        <v>-27.083333333333332</v>
      </c>
      <c r="J44" s="30">
        <v>200</v>
      </c>
      <c r="K44" s="30">
        <v>260</v>
      </c>
      <c r="L44" s="32">
        <f t="shared" si="5"/>
        <v>-23.913043478260871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" x14ac:dyDescent="0.3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6.1855670103092786</v>
      </c>
      <c r="J48" s="30">
        <v>3200</v>
      </c>
      <c r="K48" s="30">
        <v>3600</v>
      </c>
      <c r="L48" s="32">
        <f t="shared" si="5"/>
        <v>51.470588235294116</v>
      </c>
    </row>
    <row r="49" spans="1:12" ht="21" x14ac:dyDescent="0.3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220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11.111111111111111</v>
      </c>
    </row>
    <row r="50" spans="1:12" ht="21" x14ac:dyDescent="0.3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850</v>
      </c>
      <c r="H53" s="30">
        <v>2000</v>
      </c>
      <c r="I53" s="31">
        <f t="shared" si="6"/>
        <v>8.7719298245614024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730</v>
      </c>
      <c r="K54" s="30">
        <v>750</v>
      </c>
      <c r="L54" s="32">
        <f t="shared" si="7"/>
        <v>4.7297297297297298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1050</v>
      </c>
      <c r="H55" s="30">
        <v>1250</v>
      </c>
      <c r="I55" s="31">
        <f t="shared" si="6"/>
        <v>-2.1739130434782608</v>
      </c>
      <c r="J55" s="30">
        <v>1000</v>
      </c>
      <c r="K55" s="30">
        <v>1100</v>
      </c>
      <c r="L55" s="32">
        <f t="shared" si="7"/>
        <v>7.1428571428571423</v>
      </c>
    </row>
    <row r="56" spans="1:12" ht="21" x14ac:dyDescent="0.3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180</v>
      </c>
      <c r="I56" s="31">
        <f t="shared" si="6"/>
        <v>1.4285714285714286</v>
      </c>
      <c r="J56" s="30">
        <v>175</v>
      </c>
      <c r="K56" s="30">
        <v>185</v>
      </c>
      <c r="L56" s="32">
        <f t="shared" si="7"/>
        <v>-1.3888888888888888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3">
        <v>45919</v>
      </c>
      <c r="D67" s="84"/>
      <c r="E67" s="83">
        <v>45912</v>
      </c>
      <c r="F67" s="84"/>
      <c r="G67" s="83">
        <v>45888</v>
      </c>
      <c r="H67" s="84"/>
      <c r="I67" s="27" t="s">
        <v>12</v>
      </c>
      <c r="J67" s="83">
        <v>45554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119</v>
      </c>
      <c r="I83" s="6"/>
      <c r="J83" s="6"/>
      <c r="K83" s="51"/>
      <c r="L83" s="18"/>
    </row>
    <row r="84" spans="1:12" ht="21" x14ac:dyDescent="0.3">
      <c r="A84" s="5" t="s">
        <v>27</v>
      </c>
      <c r="B84" s="6" t="s">
        <v>28</v>
      </c>
      <c r="C84" s="30">
        <v>170</v>
      </c>
      <c r="D84" s="30">
        <v>175</v>
      </c>
      <c r="E84" s="30">
        <v>168</v>
      </c>
      <c r="F84" s="30">
        <v>174</v>
      </c>
      <c r="G84" s="7">
        <f t="shared" si="10"/>
        <v>0.8771929824561403</v>
      </c>
      <c r="H84" s="5" t="s">
        <v>121</v>
      </c>
      <c r="I84" s="6"/>
      <c r="J84" s="6"/>
      <c r="K84" s="51"/>
      <c r="L84" s="18"/>
    </row>
    <row r="85" spans="1:12" ht="21" x14ac:dyDescent="0.3">
      <c r="A85" s="70" t="s">
        <v>33</v>
      </c>
      <c r="B85" s="6" t="s">
        <v>28</v>
      </c>
      <c r="C85" s="30">
        <v>153</v>
      </c>
      <c r="D85" s="30">
        <v>160</v>
      </c>
      <c r="E85" s="30">
        <v>153</v>
      </c>
      <c r="F85" s="30">
        <v>158</v>
      </c>
      <c r="G85" s="7">
        <f t="shared" ref="G85:G88" si="11">((C85+D85)/2-(E85+F85)/2)/((E85+F85)/2)*100</f>
        <v>0.64308681672025725</v>
      </c>
      <c r="H85" s="5" t="s">
        <v>121</v>
      </c>
      <c r="I85" s="6"/>
      <c r="J85" s="6"/>
      <c r="K85" s="51"/>
      <c r="L85" s="18"/>
    </row>
    <row r="86" spans="1:12" ht="21" x14ac:dyDescent="0.3">
      <c r="A86" s="70" t="s">
        <v>41</v>
      </c>
      <c r="B86" s="6" t="s">
        <v>18</v>
      </c>
      <c r="C86" s="30">
        <v>100</v>
      </c>
      <c r="D86" s="30">
        <v>115</v>
      </c>
      <c r="E86" s="30">
        <v>95</v>
      </c>
      <c r="F86" s="30">
        <v>110</v>
      </c>
      <c r="G86" s="7">
        <f t="shared" si="11"/>
        <v>4.8780487804878048</v>
      </c>
      <c r="H86" s="5" t="s">
        <v>120</v>
      </c>
      <c r="I86" s="6"/>
      <c r="J86" s="6"/>
      <c r="K86" s="51"/>
      <c r="L86" s="18"/>
    </row>
    <row r="87" spans="1:12" ht="21" x14ac:dyDescent="0.3">
      <c r="A87" s="70" t="s">
        <v>42</v>
      </c>
      <c r="B87" s="6" t="s">
        <v>18</v>
      </c>
      <c r="C87" s="30">
        <v>20</v>
      </c>
      <c r="D87" s="30">
        <v>25</v>
      </c>
      <c r="E87" s="30">
        <v>20</v>
      </c>
      <c r="F87" s="30">
        <v>30</v>
      </c>
      <c r="G87" s="7">
        <f t="shared" si="11"/>
        <v>-10</v>
      </c>
      <c r="H87" s="5" t="s">
        <v>118</v>
      </c>
      <c r="I87" s="6"/>
      <c r="J87" s="6"/>
      <c r="K87" s="51"/>
      <c r="L87" s="18"/>
    </row>
    <row r="88" spans="1:12" ht="21" x14ac:dyDescent="0.3">
      <c r="A88" s="70" t="s">
        <v>90</v>
      </c>
      <c r="B88" s="6" t="s">
        <v>18</v>
      </c>
      <c r="C88" s="30">
        <v>70</v>
      </c>
      <c r="D88" s="30">
        <v>80</v>
      </c>
      <c r="E88" s="30">
        <v>70</v>
      </c>
      <c r="F88" s="30">
        <v>82</v>
      </c>
      <c r="G88" s="7">
        <f t="shared" si="11"/>
        <v>-1.3157894736842104</v>
      </c>
      <c r="H88" s="5" t="s">
        <v>118</v>
      </c>
      <c r="I88" s="6"/>
      <c r="J88" s="6"/>
      <c r="K88" s="51"/>
      <c r="L88" s="18"/>
    </row>
    <row r="89" spans="1:12" ht="21" x14ac:dyDescent="0.3">
      <c r="A89" s="70" t="s">
        <v>46</v>
      </c>
      <c r="B89" s="6" t="s">
        <v>18</v>
      </c>
      <c r="C89" s="30">
        <v>130</v>
      </c>
      <c r="D89" s="30">
        <v>200</v>
      </c>
      <c r="E89" s="30">
        <v>140</v>
      </c>
      <c r="F89" s="30">
        <v>200</v>
      </c>
      <c r="G89" s="7">
        <f t="shared" ref="G89:G92" si="12">((C89+D89)/2-(E89+F89)/2)/((E89+F89)/2)*100</f>
        <v>-2.9411764705882351</v>
      </c>
      <c r="H89" s="5" t="s">
        <v>129</v>
      </c>
      <c r="I89" s="6"/>
      <c r="J89" s="6"/>
      <c r="K89" s="51"/>
      <c r="L89" s="18"/>
    </row>
    <row r="90" spans="1:12" ht="21" x14ac:dyDescent="0.3">
      <c r="A90" s="70" t="s">
        <v>52</v>
      </c>
      <c r="B90" s="6" t="s">
        <v>18</v>
      </c>
      <c r="C90" s="30">
        <v>130</v>
      </c>
      <c r="D90" s="30">
        <v>220</v>
      </c>
      <c r="E90" s="30">
        <v>140</v>
      </c>
      <c r="F90" s="30">
        <v>260</v>
      </c>
      <c r="G90" s="7">
        <f t="shared" si="12"/>
        <v>-12.5</v>
      </c>
      <c r="H90" s="5" t="s">
        <v>125</v>
      </c>
      <c r="I90" s="6"/>
      <c r="J90" s="6"/>
      <c r="K90" s="51"/>
      <c r="L90" s="18"/>
    </row>
    <row r="91" spans="1:12" ht="21" x14ac:dyDescent="0.3">
      <c r="A91" s="70" t="s">
        <v>56</v>
      </c>
      <c r="B91" s="6" t="s">
        <v>18</v>
      </c>
      <c r="C91" s="30">
        <v>4800</v>
      </c>
      <c r="D91" s="30">
        <v>5500</v>
      </c>
      <c r="E91" s="30">
        <v>4700</v>
      </c>
      <c r="F91" s="30">
        <v>5500</v>
      </c>
      <c r="G91" s="7">
        <f t="shared" si="12"/>
        <v>0.98039215686274506</v>
      </c>
      <c r="H91" s="5" t="s">
        <v>126</v>
      </c>
      <c r="I91" s="6"/>
      <c r="J91" s="6"/>
      <c r="K91" s="51"/>
      <c r="L91" s="18"/>
    </row>
    <row r="92" spans="1:12" ht="21" x14ac:dyDescent="0.3">
      <c r="A92" s="70" t="s">
        <v>58</v>
      </c>
      <c r="B92" s="6" t="s">
        <v>18</v>
      </c>
      <c r="C92" s="30">
        <v>200</v>
      </c>
      <c r="D92" s="30">
        <v>225</v>
      </c>
      <c r="E92" s="30">
        <v>190</v>
      </c>
      <c r="F92" s="30">
        <v>225</v>
      </c>
      <c r="G92" s="7">
        <f t="shared" si="12"/>
        <v>2.4096385542168677</v>
      </c>
      <c r="H92" s="5" t="s">
        <v>126</v>
      </c>
      <c r="I92" s="6"/>
      <c r="J92" s="6"/>
      <c r="K92" s="51"/>
      <c r="L92" s="18"/>
    </row>
    <row r="93" spans="1:12" ht="21" x14ac:dyDescent="0.3">
      <c r="A93" s="73"/>
      <c r="B93" s="3"/>
      <c r="C93" s="79"/>
      <c r="D93" s="79"/>
      <c r="E93" s="79"/>
      <c r="F93" s="79"/>
      <c r="G93" s="10"/>
      <c r="H93" s="1"/>
      <c r="I93" s="3"/>
      <c r="J93" s="3"/>
      <c r="K93" s="51"/>
      <c r="L93" s="18"/>
    </row>
    <row r="94" spans="1:12" ht="23.25" x14ac:dyDescent="0.3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3.25" x14ac:dyDescent="0.3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3.25" x14ac:dyDescent="0.3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3.25" x14ac:dyDescent="0.3">
      <c r="A97" s="1"/>
      <c r="B97" s="42"/>
      <c r="C97" s="43" t="s">
        <v>130</v>
      </c>
      <c r="D97" s="11"/>
      <c r="E97" s="42"/>
      <c r="F97" s="14"/>
      <c r="G97" s="11"/>
      <c r="H97" s="40"/>
      <c r="I97" s="13"/>
      <c r="J97" s="14" t="s">
        <v>116</v>
      </c>
      <c r="K97" s="11"/>
      <c r="L97" s="11"/>
    </row>
    <row r="98" spans="1:12" ht="23.25" x14ac:dyDescent="0.3">
      <c r="A98" s="1"/>
      <c r="B98" s="44"/>
      <c r="C98" s="43" t="s">
        <v>131</v>
      </c>
      <c r="D98" s="14"/>
      <c r="E98" s="42"/>
      <c r="F98" s="45"/>
      <c r="G98" s="47"/>
      <c r="H98" s="47"/>
      <c r="I98" s="77"/>
      <c r="J98" s="14" t="s">
        <v>117</v>
      </c>
      <c r="K98" s="14"/>
      <c r="L98" s="14"/>
    </row>
    <row r="99" spans="1:12" ht="23.25" x14ac:dyDescent="0.3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8.75" x14ac:dyDescent="0.25">
      <c r="A100" s="56" t="s">
        <v>93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8.75" x14ac:dyDescent="0.25">
      <c r="A101" s="55" t="s">
        <v>99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8.75" x14ac:dyDescent="0.25">
      <c r="A102" s="55" t="s">
        <v>98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8.75" x14ac:dyDescent="0.25">
      <c r="A104" s="55" t="s">
        <v>97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8.75" x14ac:dyDescent="0.25">
      <c r="A105" s="55" t="s">
        <v>96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107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95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94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101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100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 t="s">
        <v>115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114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113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2025-09-18T10:28:44Z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