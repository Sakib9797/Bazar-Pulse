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8_{32AFA17B-EC90-6C49-B6B5-424840C9CE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86" i="4"/>
  <c r="G85" i="4"/>
  <c r="G84" i="4"/>
  <c r="G83" i="4"/>
  <c r="G90" i="4"/>
  <c r="G89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<sst xmlns="http://schemas.openxmlformats.org/spreadsheetml/2006/main" count="235" uniqueCount="132">
  <si>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</si>
  <si>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</si>
  <si>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</si>
  <si>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</si>
  <si>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</si>
  <si>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</si>
  <si>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</si>
  <si>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</si>
  <si>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</si>
  <si>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</si>
  <si>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</si>
  <si>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</si>
  <si>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</si>
  <si>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</si>
  <si>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</si>
  <si>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</si>
  <si>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</si>
  <si>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</si>
  <si>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</si>
  <si>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</si>
  <si>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</si>
  <si>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</si>
  <si>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</si>
  <si>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</si>
  <si>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</si>
  <si>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</si>
  <si>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</si>
  <si>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</si>
  <si>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</si>
  <si>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</si>
  <si>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</si>
  <si>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</si>
  <si>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</si>
  <si>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</si>
  <si>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</si>
  <si>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</si>
  <si>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</si>
  <si>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</si>
  <si>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</si>
  <si>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</si>
  <si>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</si>
  <si>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</si>
  <si>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</si>
  <si>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</si>
  <si>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</si>
  <si>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</si>
  <si>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</si>
  <si>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</si>
  <si>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</si>
  <si>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</si>
  <si>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</si>
  <si>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</si>
  <si>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</si>
  <si>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</si>
  <si>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</si>
  <si>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</si>
  <si>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</si>
  <si>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</si>
  <si>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</si>
  <si>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</si>
  <si>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</si>
  <si>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</si>
  <si>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</si>
  <si>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</si>
  <si>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</si>
  <si>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</si>
  <si>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</si>
  <si>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</si>
  <si>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</si>
  <si>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</si>
  <si>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</si>
  <si>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</si>
  <si>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</si>
  <si>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</si>
  <si>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</si>
  <si>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</si>
  <si>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</si>
  <si>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</si>
  <si>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</si>
  <si>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</si>
  <si>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</si>
  <si>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</si>
  <si>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</si>
  <si>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</si>
  <si>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</si>
  <si>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</si>
  <si>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</si>
  <si>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</si>
  <si>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</si>
  <si>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</si>
  <si>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</si>
  <si>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</si>
  <si>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</si>
  <si>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</si>
  <si>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</si>
  <si>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</si>
  <si>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</si>
  <si>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</si>
  <si>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</si>
  <si>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</si>
  <si>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</si>
  <si>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</si>
  <si>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</si>
  <si>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</si>
  <si>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</si>
  <si>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</si>
  <si>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</si>
  <si>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</si>
  <si>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</si>
  <si>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</si>
  <si>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</si>
  <si>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</si>
  <si>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</si>
  <si>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</si>
  <si>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</si>
  <si>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</si>
  <si>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</si>
  <si>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</si>
  <si>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</si>
  <si>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২৭-১১-২০২৫ তারিখে মূল্য বৃদ্ধি পেয়েছে।</t>
  </si>
  <si>
    <t>(৩)  অন্যান্য পণ্যের মূল্য অপরিবর্তীত রয়েছে।</t>
  </si>
  <si>
    <t>(২ )   পাম অয়েল লুজ, আলু   এর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</si>
  <si>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</si>
  <si>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</si>
  <si>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নং-২৬.০৫.০০০০.০১৭.৩১.০১.২৫-৮৬৪</t>
  </si>
  <si>
    <t xml:space="preserve">শনিবার ২৯ নভেম্বর ২০২৫ খ্রিঃ, ১৪ অগ্রহায়ন ১৪৩২ বাংলা, ০৭ জমা-সানি ১৪৪৭ হিজরি </t>
  </si>
  <si>
    <t xml:space="preserve">   সিরিয়াল নংঃ     ২৯৭</t>
  </si>
  <si>
    <t>২৯-১১-২০২৫ তারিখে মূল্য হ্রাস পেয়েছে।</t>
  </si>
  <si>
    <t>২৮-১১-২০২৫ তারিখে মূল্য হ্রাস পেয়েছে।</t>
  </si>
  <si>
    <t>২৯-১১-২০২৫ তারিখে মূল্য বৃদ্ধি পেয়েছে।</t>
  </si>
  <si>
    <t>(১ )   চাল (সরু), মসুর ডাল (মাঝারী), আদা (আম), এলাচ, মুরগী ব্রয়লার, চিনি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</si>
</sst>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topLeftCell="B1" zoomScale="96" zoomScaleNormal="96" workbookViewId="0">
      <selection activeCell="B78" sqref="B7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" x14ac:dyDescent="0.2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45990</v>
      </c>
    </row>
    <row r="7" spans="1:12" ht="21" x14ac:dyDescent="0.2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" x14ac:dyDescent="0.25">
      <c r="A8" s="25"/>
      <c r="B8" s="26"/>
      <c r="C8" s="85">
        <v>45990</v>
      </c>
      <c r="D8" s="84"/>
      <c r="E8" s="85">
        <v>45983</v>
      </c>
      <c r="F8" s="84"/>
      <c r="G8" s="85">
        <v>45959</v>
      </c>
      <c r="H8" s="84"/>
      <c r="I8" s="26" t="s">
        <v>12</v>
      </c>
      <c r="J8" s="85">
        <v>45625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815</v>
      </c>
      <c r="K20" s="29">
        <v>818</v>
      </c>
      <c r="L20" s="31">
        <f t="shared" si="1"/>
        <v>11.757501530924678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167</v>
      </c>
      <c r="K22" s="29">
        <v>170</v>
      </c>
      <c r="L22" s="31">
        <f t="shared" si="1"/>
        <v>13.056379821958458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-0.94637223974763407</v>
      </c>
      <c r="J23" s="29">
        <v>157</v>
      </c>
      <c r="K23" s="29">
        <v>158</v>
      </c>
      <c r="L23" s="31">
        <f t="shared" si="1"/>
        <v>-0.31746031746031744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160</v>
      </c>
      <c r="K24" s="29">
        <v>161</v>
      </c>
      <c r="L24" s="31">
        <f t="shared" si="1"/>
        <v>-0.3115264797507788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" x14ac:dyDescent="0.3">
      <c r="A28" s="69" t="s">
        <v>110</v>
      </c>
      <c r="B28" s="6" t="s">
        <v>18</v>
      </c>
      <c r="C28" s="29">
        <v>115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130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125</v>
      </c>
      <c r="K32" s="29">
        <v>135</v>
      </c>
      <c r="L32" s="31">
        <f t="shared" si="3"/>
        <v>-19.230769230769234</v>
      </c>
    </row>
    <row r="33" spans="1:12" ht="21" x14ac:dyDescent="0.3">
      <c r="A33" s="69" t="s">
        <v>42</v>
      </c>
      <c r="B33" s="6" t="s">
        <v>18</v>
      </c>
      <c r="C33" s="29">
        <v>25</v>
      </c>
      <c r="D33" s="29">
        <v>30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22.222222222222221</v>
      </c>
      <c r="J33" s="29">
        <v>70</v>
      </c>
      <c r="K33" s="29">
        <v>80</v>
      </c>
      <c r="L33" s="31">
        <f t="shared" si="3"/>
        <v>-63.333333333333329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280</v>
      </c>
      <c r="L37" s="31">
        <f t="shared" si="5"/>
        <v>-57.692307692307686</v>
      </c>
    </row>
    <row r="38" spans="1:12" ht="21" x14ac:dyDescent="0.3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300</v>
      </c>
      <c r="K39" s="29">
        <v>350</v>
      </c>
      <c r="L39" s="31">
        <f t="shared" si="5"/>
        <v>-20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140</v>
      </c>
      <c r="D43" s="29">
        <v>170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220</v>
      </c>
      <c r="I44" s="30">
        <f t="shared" si="4"/>
        <v>5.7142857142857144</v>
      </c>
      <c r="J44" s="29">
        <v>120</v>
      </c>
      <c r="K44" s="29">
        <v>300</v>
      </c>
      <c r="L44" s="31">
        <f t="shared" si="5"/>
        <v>-11.904761904761903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720</v>
      </c>
      <c r="I45" s="30">
        <f t="shared" si="4"/>
        <v>2.2727272727272729</v>
      </c>
      <c r="J45" s="29">
        <v>630</v>
      </c>
      <c r="K45" s="29">
        <v>800</v>
      </c>
      <c r="L45" s="31">
        <f t="shared" si="5"/>
        <v>-5.5944055944055942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4600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-1.9417475728155338</v>
      </c>
      <c r="J48" s="29">
        <v>3400</v>
      </c>
      <c r="K48" s="29">
        <v>4250</v>
      </c>
      <c r="L48" s="31">
        <f t="shared" si="5"/>
        <v>32.026143790849673</v>
      </c>
    </row>
    <row r="49" spans="1:12" ht="21" x14ac:dyDescent="0.3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280</v>
      </c>
      <c r="L49" s="31">
        <f t="shared" si="5"/>
        <v>-7.8431372549019605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220</v>
      </c>
      <c r="L50" s="31">
        <f t="shared" si="5"/>
        <v>13.23529411764706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1000</v>
      </c>
      <c r="H53" s="29">
        <v>1600</v>
      </c>
      <c r="I53" s="30">
        <f t="shared" si="6"/>
        <v>0</v>
      </c>
      <c r="J53" s="29">
        <v>600</v>
      </c>
      <c r="K53" s="29">
        <v>1600</v>
      </c>
      <c r="L53" s="31">
        <f t="shared" si="7"/>
        <v>18.181818181818183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160</v>
      </c>
      <c r="D56" s="29">
        <v>180</v>
      </c>
      <c r="E56" s="29">
        <v>160</v>
      </c>
      <c r="F56" s="29">
        <v>190</v>
      </c>
      <c r="G56" s="29">
        <v>170</v>
      </c>
      <c r="H56" s="29">
        <v>185</v>
      </c>
      <c r="I56" s="30">
        <f t="shared" si="6"/>
        <v>-4.225352112676056</v>
      </c>
      <c r="J56" s="29">
        <v>175</v>
      </c>
      <c r="K56" s="29">
        <v>200</v>
      </c>
      <c r="L56" s="31">
        <f t="shared" si="7"/>
        <v>-9.3333333333333339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5">
        <v>45990</v>
      </c>
      <c r="D67" s="84"/>
      <c r="E67" s="85">
        <v>45983</v>
      </c>
      <c r="F67" s="84"/>
      <c r="G67" s="85">
        <v>45959</v>
      </c>
      <c r="H67" s="84"/>
      <c r="I67" s="26" t="s">
        <v>12</v>
      </c>
      <c r="J67" s="85">
        <v>45625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90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" x14ac:dyDescent="0.3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40</v>
      </c>
      <c r="D72" s="37">
        <v>50</v>
      </c>
      <c r="E72" s="37">
        <v>40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45</v>
      </c>
      <c r="K72" s="37">
        <v>50</v>
      </c>
      <c r="L72" s="31">
        <f t="shared" si="8"/>
        <v>-5.2631578947368416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 x14ac:dyDescent="0.25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120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69" t="s">
        <v>17</v>
      </c>
      <c r="B83" s="6" t="s">
        <v>18</v>
      </c>
      <c r="C83" s="29">
        <v>70</v>
      </c>
      <c r="D83" s="29">
        <v>85</v>
      </c>
      <c r="E83" s="29">
        <v>72</v>
      </c>
      <c r="F83" s="29">
        <v>85</v>
      </c>
      <c r="G83" s="7">
        <f t="shared" ref="G83:G87" si="10">((C83+D83)/2-(E83+F83)/2)/((E83+F83)/2)*100</f>
        <v>-1.2738853503184715</v>
      </c>
      <c r="H83" s="5" t="s">
        <v>118</v>
      </c>
      <c r="I83" s="6"/>
      <c r="J83" s="6"/>
      <c r="K83" s="50"/>
      <c r="L83" s="17"/>
    </row>
    <row r="84" spans="1:12" ht="21" x14ac:dyDescent="0.3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 t="shared" si="10"/>
        <v>0.64102564102564097</v>
      </c>
      <c r="H84" s="5" t="s">
        <v>119</v>
      </c>
      <c r="I84" s="6"/>
      <c r="J84" s="6"/>
      <c r="K84" s="50"/>
      <c r="L84" s="17"/>
    </row>
    <row r="85" spans="1:12" ht="21" x14ac:dyDescent="0.3">
      <c r="A85" s="69" t="s">
        <v>110</v>
      </c>
      <c r="B85" s="6" t="s">
        <v>18</v>
      </c>
      <c r="C85" s="29">
        <v>115</v>
      </c>
      <c r="D85" s="29">
        <v>140</v>
      </c>
      <c r="E85" s="29">
        <v>125</v>
      </c>
      <c r="F85" s="29">
        <v>140</v>
      </c>
      <c r="G85" s="7">
        <f t="shared" si="10"/>
        <v>-3.7735849056603774</v>
      </c>
      <c r="H85" s="5" t="s">
        <v>118</v>
      </c>
      <c r="I85" s="6"/>
      <c r="J85" s="6"/>
      <c r="K85" s="50"/>
      <c r="L85" s="17"/>
    </row>
    <row r="86" spans="1:12" ht="21" x14ac:dyDescent="0.3">
      <c r="A86" s="69" t="s">
        <v>42</v>
      </c>
      <c r="B86" s="6" t="s">
        <v>18</v>
      </c>
      <c r="C86" s="29">
        <v>25</v>
      </c>
      <c r="D86" s="29">
        <v>30</v>
      </c>
      <c r="E86" s="29">
        <v>20</v>
      </c>
      <c r="F86" s="29">
        <v>25</v>
      </c>
      <c r="G86" s="7">
        <f t="shared" si="10"/>
        <v>22.222222222222221</v>
      </c>
      <c r="H86" s="5" t="s">
        <v>129</v>
      </c>
      <c r="I86" s="6"/>
      <c r="J86" s="6"/>
      <c r="K86" s="50"/>
      <c r="L86" s="17"/>
    </row>
    <row r="87" spans="1:12" ht="21" x14ac:dyDescent="0.3">
      <c r="A87" s="69" t="s">
        <v>51</v>
      </c>
      <c r="B87" s="6" t="s">
        <v>18</v>
      </c>
      <c r="C87" s="29">
        <v>140</v>
      </c>
      <c r="D87" s="29">
        <v>170</v>
      </c>
      <c r="E87" s="29">
        <v>140</v>
      </c>
      <c r="F87" s="29">
        <v>180</v>
      </c>
      <c r="G87" s="7">
        <f t="shared" si="10"/>
        <v>-3.125</v>
      </c>
      <c r="H87" s="5" t="s">
        <v>128</v>
      </c>
      <c r="I87" s="6"/>
      <c r="J87" s="6"/>
      <c r="K87" s="50"/>
      <c r="L87" s="17"/>
    </row>
    <row r="88" spans="1:12" ht="21" x14ac:dyDescent="0.3">
      <c r="A88" s="69" t="s">
        <v>56</v>
      </c>
      <c r="B88" s="6" t="s">
        <v>18</v>
      </c>
      <c r="C88" s="29">
        <v>4600</v>
      </c>
      <c r="D88" s="29">
        <v>5500</v>
      </c>
      <c r="E88" s="29">
        <v>4800</v>
      </c>
      <c r="F88" s="29">
        <v>5500</v>
      </c>
      <c r="G88" s="7">
        <f>((C88+D88)/2-(E88+F88)/2)/((E88+F88)/2)*100</f>
        <v>-1.9417475728155338</v>
      </c>
      <c r="H88" s="5" t="s">
        <v>117</v>
      </c>
      <c r="I88" s="6"/>
      <c r="J88" s="6"/>
      <c r="K88" s="11"/>
      <c r="L88" s="11"/>
    </row>
    <row r="89" spans="1:12" ht="23.25" x14ac:dyDescent="0.3">
      <c r="A89" s="69" t="s">
        <v>62</v>
      </c>
      <c r="B89" s="6" t="s">
        <v>18</v>
      </c>
      <c r="C89" s="29">
        <v>160</v>
      </c>
      <c r="D89" s="29">
        <v>180</v>
      </c>
      <c r="E89" s="29">
        <v>160</v>
      </c>
      <c r="F89" s="29">
        <v>190</v>
      </c>
      <c r="G89" s="7">
        <f>((C89+D89)/2-(E89+F89)/2)/((E89+F89)/2)*100</f>
        <v>-2.8571428571428572</v>
      </c>
      <c r="H89" s="5" t="s">
        <v>127</v>
      </c>
      <c r="I89" s="6"/>
      <c r="J89" s="6"/>
      <c r="K89" s="40"/>
      <c r="L89" s="11"/>
    </row>
    <row r="90" spans="1:12" ht="23.25" x14ac:dyDescent="0.3">
      <c r="A90" s="69" t="s">
        <v>71</v>
      </c>
      <c r="B90" s="6" t="s">
        <v>18</v>
      </c>
      <c r="C90" s="29">
        <v>90</v>
      </c>
      <c r="D90" s="29">
        <v>110</v>
      </c>
      <c r="E90" s="29">
        <v>95</v>
      </c>
      <c r="F90" s="29">
        <v>110</v>
      </c>
      <c r="G90" s="7">
        <f>((C90+D90)/2-(E90+F90)/2)/((E90+F90)/2)*100</f>
        <v>-2.4390243902439024</v>
      </c>
      <c r="H90" s="5" t="s">
        <v>118</v>
      </c>
      <c r="I90" s="6"/>
      <c r="J90" s="6"/>
      <c r="K90" s="40"/>
      <c r="L90" s="11"/>
    </row>
    <row r="91" spans="1:12" ht="23.25" x14ac:dyDescent="0.3">
      <c r="A91" s="72"/>
      <c r="B91" s="3"/>
      <c r="C91" s="78"/>
      <c r="D91" s="78"/>
      <c r="E91" s="78"/>
      <c r="F91" s="78"/>
      <c r="G91" s="9"/>
      <c r="H91" s="1"/>
      <c r="I91" s="3"/>
      <c r="J91" s="3"/>
      <c r="K91" s="40"/>
      <c r="L91" s="11"/>
    </row>
    <row r="92" spans="1:12" ht="23.25" x14ac:dyDescent="0.3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3.25" x14ac:dyDescent="0.3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2" ht="23.25" x14ac:dyDescent="0.3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2" ht="23.25" x14ac:dyDescent="0.3">
      <c r="A95" s="1"/>
      <c r="B95" s="41"/>
      <c r="C95" s="42" t="s">
        <v>115</v>
      </c>
      <c r="D95" s="10"/>
      <c r="E95" s="41"/>
      <c r="F95" s="13"/>
      <c r="G95" s="10"/>
      <c r="H95" s="39"/>
      <c r="I95" s="12"/>
      <c r="J95" s="13" t="s">
        <v>122</v>
      </c>
      <c r="K95" s="10"/>
      <c r="L95" s="10"/>
    </row>
    <row r="96" spans="1:12" ht="23.25" x14ac:dyDescent="0.3">
      <c r="A96" s="1"/>
      <c r="B96" s="43"/>
      <c r="C96" s="42" t="s">
        <v>116</v>
      </c>
      <c r="D96" s="13"/>
      <c r="E96" s="41"/>
      <c r="F96" s="44"/>
      <c r="G96" s="46"/>
      <c r="H96" s="46"/>
      <c r="I96" s="76"/>
      <c r="J96" s="13" t="s">
        <v>123</v>
      </c>
      <c r="K96" s="13"/>
      <c r="L96" s="13"/>
    </row>
    <row r="97" spans="1:12" ht="23.25" x14ac:dyDescent="0.3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8.75" x14ac:dyDescent="0.25">
      <c r="A98" s="55" t="s">
        <v>93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8.75" x14ac:dyDescent="0.25">
      <c r="A99" s="54" t="s">
        <v>99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98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85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97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8.75" x14ac:dyDescent="0.25">
      <c r="A103" s="54" t="s">
        <v>96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107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94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86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102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103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87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5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89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4" t="s">
        <v>111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2025-11-27T10:34:20Z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