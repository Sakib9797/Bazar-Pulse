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A521FC62-9C0A-4F0D-B463-B548A3F491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8" i="4"/>
  <c r="G90" i="4"/>
  <c r="G93" i="4"/>
  <c r="G95" i="4"/>
  <c r="G92" i="4"/>
  <c r="G89" i="4"/>
  <c r="G87" i="4"/>
  <c r="G85" i="4"/>
  <c r="G84" i="4"/>
  <c r="G83" i="4"/>
  <c r="G94" i="4"/>
  <c r="G91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<sst xmlns="http://schemas.openxmlformats.org/spreadsheetml/2006/main" count="252" uniqueCount="135">
  <si>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</si>
  <si>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</si>
  <si>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</si>
  <si>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</si>
  <si>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</si>
  <si>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</si>
  <si>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</si>
  <si>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</si>
  <si>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</si>
  <si>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</si>
  <si>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</si>
  <si>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</si>
  <si>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</si>
  <si>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</si>
  <si>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</si>
  <si>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</si>
  <si>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</si>
  <si>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</si>
  <si>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</si>
  <si>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</si>
  <si>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</si>
  <si>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</si>
  <si>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</si>
  <si>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</si>
  <si>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</si>
  <si>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</si>
  <si>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</si>
  <si>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</si>
  <si>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</si>
  <si>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</si>
  <si>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</si>
  <si>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</si>
  <si>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</si>
  <si>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</si>
  <si>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</si>
  <si>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</si>
  <si>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</si>
  <si>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</si>
  <si>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</si>
  <si>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</si>
  <si>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</si>
  <si>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</si>
  <si>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</si>
  <si>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</si>
  <si>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</si>
  <si>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</si>
  <si>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</si>
  <si>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</si>
  <si>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</si>
  <si>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</si>
  <si>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</si>
  <si>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</si>
  <si>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</si>
  <si>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</si>
  <si>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</si>
  <si>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</si>
  <si>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</si>
  <si>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</si>
  <si>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</si>
  <si>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</si>
  <si>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</si>
  <si>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</si>
  <si>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</si>
  <si>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</si>
  <si>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</si>
  <si>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</si>
  <si>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</si>
  <si>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</si>
  <si>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</si>
  <si>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</si>
  <si>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</si>
  <si>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</si>
  <si>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</si>
  <si>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</si>
  <si>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</si>
  <si>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</si>
  <si>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</si>
  <si>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</si>
  <si>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</si>
  <si>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</si>
  <si>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</si>
  <si>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</si>
  <si>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</si>
  <si>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</si>
  <si>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</si>
  <si>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</si>
  <si>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</si>
  <si>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</si>
  <si>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</si>
  <si>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</si>
  <si>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</si>
  <si>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</si>
  <si>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</si>
  <si>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</si>
  <si>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</si>
  <si>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</si>
  <si>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</si>
  <si>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</si>
  <si>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</si>
  <si>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</si>
  <si>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</si>
  <si>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</si>
  <si>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</si>
  <si>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</si>
  <si>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</si>
  <si>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</si>
  <si>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</si>
  <si>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</si>
  <si>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</si>
  <si>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</si>
  <si>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</si>
  <si>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</si>
  <si>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</si>
  <si>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</si>
  <si>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</si>
  <si>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</si>
  <si>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</si>
  <si>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</si>
  <si>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</si>
  <si>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</si>
  <si>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</si>
  <si>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</si>
  <si>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>২৯-১১-২০২৫ তারিখে মূল্য হ্রাস পেয়েছে।</t>
  </si>
  <si>
    <t>২৮-১১-২০২৫ তারিখে মূল্য হ্রাস পেয়েছে।</t>
  </si>
  <si>
    <t>২৯-১১-২০২৫ তারিখে মূল্য বৃদ্ধি পেয়েছে।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</si>
  <si>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</si>
  <si>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</si>
  <si>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</si>
  <si>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</si>
  <si>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</si>
  <si>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স্মারক নং-২৬.০৫.০০০০.০১৭.৩১.০১.২৫-৮৬৮</t>
  </si>
  <si>
    <t xml:space="preserve">সোমবার ০১ ডিসেম্বর ২০২৫ খ্রিঃ, ১৬ অগ্রহায়ন ১৪৩২ বাংলা, ০৯ জমা-সানি ১৪৪৭ হিজরি </t>
  </si>
  <si>
    <t xml:space="preserve">   সিরিয়াল নংঃ     ২৯৯</t>
  </si>
  <si>
    <t>০১-১২-২০২৫ তারিখে মূল্য হ্রাস পেয়েছে।</t>
  </si>
  <si>
    <t>(১ )   চাল (মাঝারী), মসুর ডাল (মাঝারী), ছোলা, রশুন (দেশী), আদা (দেশী), জিরা, ধনে, এলাচ, মুরগী ব্রয়লার, চিনি,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</si>
</sst>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2"/>
  <sheetViews>
    <sheetView tabSelected="1" topLeftCell="A77" zoomScale="96" zoomScaleNormal="96" workbookViewId="0">
      <selection activeCell="H88" sqref="H88:J8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132</v>
      </c>
      <c r="L4" s="84"/>
    </row>
    <row r="5" spans="1:12" ht="19.5" customHeight="1">
      <c r="A5" s="17"/>
      <c r="B5" s="8"/>
      <c r="C5" s="8"/>
      <c r="D5" s="17"/>
      <c r="E5" s="8"/>
      <c r="F5" s="8" t="s">
        <v>131</v>
      </c>
      <c r="G5" s="8"/>
      <c r="H5" s="8"/>
      <c r="I5" s="8"/>
      <c r="J5" s="8"/>
      <c r="K5" s="8"/>
      <c r="L5" s="49"/>
    </row>
    <row r="6" spans="1:12" ht="21.75">
      <c r="A6" s="20" t="s">
        <v>130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45992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45992</v>
      </c>
      <c r="D8" s="84"/>
      <c r="E8" s="83">
        <v>45985</v>
      </c>
      <c r="F8" s="84"/>
      <c r="G8" s="83">
        <v>45962</v>
      </c>
      <c r="H8" s="84"/>
      <c r="I8" s="26" t="s">
        <v>12</v>
      </c>
      <c r="J8" s="83">
        <v>45627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-3.0769230769230771</v>
      </c>
      <c r="J11" s="29">
        <v>59</v>
      </c>
      <c r="K11" s="29">
        <v>65</v>
      </c>
      <c r="L11" s="31">
        <f>((C11+D11)/2-(J11+K11)/2)/((J11+K11)/2)*100</f>
        <v>1.6129032258064515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370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-0.6578947368421052</v>
      </c>
      <c r="J21" s="29">
        <v>330</v>
      </c>
      <c r="K21" s="29">
        <v>340</v>
      </c>
      <c r="L21" s="31">
        <f t="shared" si="1"/>
        <v>12.686567164179104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165</v>
      </c>
      <c r="K22" s="29">
        <v>170</v>
      </c>
      <c r="L22" s="31">
        <f t="shared" si="1"/>
        <v>13.73134328358209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157</v>
      </c>
      <c r="K23" s="29">
        <v>158</v>
      </c>
      <c r="L23" s="31">
        <f t="shared" si="1"/>
        <v>-0.31746031746031744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.75">
      <c r="A33" s="69" t="s">
        <v>42</v>
      </c>
      <c r="B33" s="6" t="s">
        <v>18</v>
      </c>
      <c r="C33" s="29">
        <v>25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22.222222222222221</v>
      </c>
      <c r="J33" s="29">
        <v>70</v>
      </c>
      <c r="K33" s="29">
        <v>80</v>
      </c>
      <c r="L33" s="31">
        <f t="shared" si="3"/>
        <v>-63.333333333333329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60</v>
      </c>
      <c r="D37" s="29">
        <v>135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-18.75</v>
      </c>
      <c r="J37" s="29">
        <v>240</v>
      </c>
      <c r="K37" s="29">
        <v>280</v>
      </c>
      <c r="L37" s="31">
        <f t="shared" si="5"/>
        <v>-62.5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220</v>
      </c>
      <c r="I44" s="30">
        <f t="shared" si="4"/>
        <v>5.7142857142857144</v>
      </c>
      <c r="J44" s="29">
        <v>120</v>
      </c>
      <c r="K44" s="29">
        <v>280</v>
      </c>
      <c r="L44" s="31">
        <f t="shared" si="5"/>
        <v>-7.5</v>
      </c>
    </row>
    <row r="45" spans="1:12" ht="21.75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4500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4250</v>
      </c>
      <c r="L48" s="31">
        <f t="shared" si="5"/>
        <v>30.718954248366014</v>
      </c>
    </row>
    <row r="49" spans="1:12" ht="21.75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-4.1666666666666661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1200</v>
      </c>
      <c r="I53" s="30">
        <f t="shared" si="6"/>
        <v>30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45992</v>
      </c>
      <c r="D67" s="84"/>
      <c r="E67" s="83">
        <v>45985</v>
      </c>
      <c r="F67" s="84"/>
      <c r="G67" s="83">
        <v>45962</v>
      </c>
      <c r="H67" s="84"/>
      <c r="I67" s="26" t="s">
        <v>12</v>
      </c>
      <c r="J67" s="83">
        <v>45627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-14.736842105263156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134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105</v>
      </c>
      <c r="B83" s="6" t="s">
        <v>18</v>
      </c>
      <c r="C83" s="29">
        <v>58</v>
      </c>
      <c r="D83" s="29">
        <v>68</v>
      </c>
      <c r="E83" s="29">
        <v>58</v>
      </c>
      <c r="F83" s="29">
        <v>70</v>
      </c>
      <c r="G83" s="7">
        <f t="shared" ref="G83:G89" si="10">((C83+D83)/2-(E83+F83)/2)/((E83+F83)/2)*100</f>
        <v>-1.5625</v>
      </c>
      <c r="H83" s="5" t="s">
        <v>133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119</v>
      </c>
      <c r="I84" s="6"/>
      <c r="J84" s="6"/>
      <c r="K84" s="50"/>
      <c r="L84" s="17"/>
    </row>
    <row r="85" spans="1:12" ht="21.75">
      <c r="A85" s="69" t="s">
        <v>110</v>
      </c>
      <c r="B85" s="6" t="s">
        <v>18</v>
      </c>
      <c r="C85" s="29">
        <v>115</v>
      </c>
      <c r="D85" s="29">
        <v>140</v>
      </c>
      <c r="E85" s="29">
        <v>125</v>
      </c>
      <c r="F85" s="29">
        <v>140</v>
      </c>
      <c r="G85" s="7">
        <f t="shared" si="10"/>
        <v>-3.7735849056603774</v>
      </c>
      <c r="H85" s="5" t="s">
        <v>118</v>
      </c>
      <c r="I85" s="6"/>
      <c r="J85" s="6"/>
      <c r="K85" s="50"/>
      <c r="L85" s="17"/>
    </row>
    <row r="86" spans="1:12" ht="21.75">
      <c r="A86" s="69" t="s">
        <v>41</v>
      </c>
      <c r="B86" s="6" t="s">
        <v>18</v>
      </c>
      <c r="C86" s="29">
        <v>95</v>
      </c>
      <c r="D86" s="29">
        <v>110</v>
      </c>
      <c r="E86" s="29">
        <v>100</v>
      </c>
      <c r="F86" s="29">
        <v>110</v>
      </c>
      <c r="G86" s="7">
        <f>((C86+D86)/2-(E86+F86)/2)/((E86+F86)/2)*100</f>
        <v>-2.3809523809523809</v>
      </c>
      <c r="H86" s="5" t="s">
        <v>125</v>
      </c>
      <c r="I86" s="6"/>
      <c r="J86" s="6"/>
      <c r="K86" s="50"/>
      <c r="L86" s="17"/>
    </row>
    <row r="87" spans="1:12" ht="21.75">
      <c r="A87" s="69" t="s">
        <v>42</v>
      </c>
      <c r="B87" s="6" t="s">
        <v>18</v>
      </c>
      <c r="C87" s="29">
        <v>25</v>
      </c>
      <c r="D87" s="29">
        <v>30</v>
      </c>
      <c r="E87" s="29">
        <v>20</v>
      </c>
      <c r="F87" s="29">
        <v>25</v>
      </c>
      <c r="G87" s="7">
        <f t="shared" si="10"/>
        <v>22.222222222222221</v>
      </c>
      <c r="H87" s="5" t="s">
        <v>124</v>
      </c>
      <c r="I87" s="6"/>
      <c r="J87" s="6"/>
      <c r="K87" s="50"/>
      <c r="L87" s="17"/>
    </row>
    <row r="88" spans="1:12" ht="21.75">
      <c r="A88" s="69" t="s">
        <v>45</v>
      </c>
      <c r="B88" s="6" t="s">
        <v>18</v>
      </c>
      <c r="C88" s="29">
        <v>60</v>
      </c>
      <c r="D88" s="29">
        <v>135</v>
      </c>
      <c r="E88" s="29">
        <v>80</v>
      </c>
      <c r="F88" s="29">
        <v>140</v>
      </c>
      <c r="G88" s="7">
        <f>((C88+D88)/2-(E88+F88)/2)/((E88+F88)/2)*100</f>
        <v>-11.363636363636363</v>
      </c>
      <c r="H88" s="5" t="s">
        <v>133</v>
      </c>
      <c r="I88" s="6"/>
      <c r="J88" s="6"/>
      <c r="K88" s="50"/>
      <c r="L88" s="17"/>
    </row>
    <row r="89" spans="1:12" ht="21.75">
      <c r="A89" s="69" t="s">
        <v>51</v>
      </c>
      <c r="B89" s="6" t="s">
        <v>18</v>
      </c>
      <c r="C89" s="29">
        <v>140</v>
      </c>
      <c r="D89" s="29">
        <v>170</v>
      </c>
      <c r="E89" s="29">
        <v>140</v>
      </c>
      <c r="F89" s="29">
        <v>180</v>
      </c>
      <c r="G89" s="7">
        <f t="shared" si="10"/>
        <v>-3.125</v>
      </c>
      <c r="H89" s="5" t="s">
        <v>123</v>
      </c>
      <c r="I89" s="6"/>
      <c r="J89" s="6"/>
      <c r="K89" s="50"/>
      <c r="L89" s="17"/>
    </row>
    <row r="90" spans="1:12" ht="21.75">
      <c r="A90" s="69" t="s">
        <v>53</v>
      </c>
      <c r="B90" s="6" t="s">
        <v>18</v>
      </c>
      <c r="C90" s="29">
        <v>580</v>
      </c>
      <c r="D90" s="29">
        <v>750</v>
      </c>
      <c r="E90" s="29">
        <v>600</v>
      </c>
      <c r="F90" s="29">
        <v>750</v>
      </c>
      <c r="G90" s="7">
        <f t="shared" ref="G90:G95" si="11">((C90+D90)/2-(E90+F90)/2)/((E90+F90)/2)*100</f>
        <v>-1.4814814814814816</v>
      </c>
      <c r="H90" s="5" t="s">
        <v>125</v>
      </c>
      <c r="I90" s="6"/>
      <c r="J90" s="6"/>
      <c r="K90" s="50"/>
      <c r="L90" s="17"/>
    </row>
    <row r="91" spans="1:12" ht="21.75">
      <c r="A91" s="69" t="s">
        <v>56</v>
      </c>
      <c r="B91" s="6" t="s">
        <v>18</v>
      </c>
      <c r="C91" s="29">
        <v>4500</v>
      </c>
      <c r="D91" s="29">
        <v>5500</v>
      </c>
      <c r="E91" s="29">
        <v>4800</v>
      </c>
      <c r="F91" s="29">
        <v>5500</v>
      </c>
      <c r="G91" s="7">
        <f t="shared" si="11"/>
        <v>-2.912621359223301</v>
      </c>
      <c r="H91" s="5" t="s">
        <v>117</v>
      </c>
      <c r="I91" s="6"/>
      <c r="J91" s="6"/>
      <c r="K91" s="11"/>
      <c r="L91" s="11"/>
    </row>
    <row r="92" spans="1:12" ht="24.75">
      <c r="A92" s="69" t="s">
        <v>57</v>
      </c>
      <c r="B92" s="6" t="s">
        <v>18</v>
      </c>
      <c r="C92" s="29">
        <v>180</v>
      </c>
      <c r="D92" s="29">
        <v>280</v>
      </c>
      <c r="E92" s="29">
        <v>190</v>
      </c>
      <c r="F92" s="29">
        <v>280</v>
      </c>
      <c r="G92" s="7">
        <f t="shared" si="11"/>
        <v>-2.1276595744680851</v>
      </c>
      <c r="H92" s="5" t="s">
        <v>122</v>
      </c>
      <c r="I92" s="6"/>
      <c r="J92" s="6"/>
      <c r="K92" s="40"/>
      <c r="L92" s="11"/>
    </row>
    <row r="93" spans="1:12" ht="24.75">
      <c r="A93" s="69" t="s">
        <v>62</v>
      </c>
      <c r="B93" s="6" t="s">
        <v>18</v>
      </c>
      <c r="C93" s="29">
        <v>150</v>
      </c>
      <c r="D93" s="29">
        <v>180</v>
      </c>
      <c r="E93" s="29">
        <v>160</v>
      </c>
      <c r="F93" s="29">
        <v>190</v>
      </c>
      <c r="G93" s="7">
        <f t="shared" si="11"/>
        <v>-5.7142857142857144</v>
      </c>
      <c r="H93" s="5" t="s">
        <v>125</v>
      </c>
      <c r="I93" s="6"/>
      <c r="J93" s="6"/>
      <c r="K93" s="40"/>
      <c r="L93" s="11"/>
    </row>
    <row r="94" spans="1:12" ht="24.75">
      <c r="A94" s="69" t="s">
        <v>71</v>
      </c>
      <c r="B94" s="6" t="s">
        <v>18</v>
      </c>
      <c r="C94" s="29">
        <v>90</v>
      </c>
      <c r="D94" s="29">
        <v>110</v>
      </c>
      <c r="E94" s="29">
        <v>95</v>
      </c>
      <c r="F94" s="29">
        <v>110</v>
      </c>
      <c r="G94" s="7">
        <f t="shared" si="11"/>
        <v>-2.4390243902439024</v>
      </c>
      <c r="H94" s="5" t="s">
        <v>118</v>
      </c>
      <c r="I94" s="6"/>
      <c r="J94" s="6"/>
      <c r="K94" s="40"/>
      <c r="L94" s="11"/>
    </row>
    <row r="95" spans="1:12" ht="24.75">
      <c r="A95" s="69" t="s">
        <v>73</v>
      </c>
      <c r="B95" s="6" t="s">
        <v>74</v>
      </c>
      <c r="C95" s="37">
        <v>36</v>
      </c>
      <c r="D95" s="37">
        <v>45</v>
      </c>
      <c r="E95" s="37">
        <v>40</v>
      </c>
      <c r="F95" s="37">
        <v>50</v>
      </c>
      <c r="G95" s="7">
        <f t="shared" si="11"/>
        <v>-10</v>
      </c>
      <c r="H95" s="5" t="s">
        <v>133</v>
      </c>
      <c r="I95" s="6"/>
      <c r="J95" s="6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3" ht="24.75">
      <c r="A97" s="1"/>
      <c r="B97" s="3"/>
      <c r="C97" s="82"/>
      <c r="D97" s="82"/>
      <c r="E97" s="8"/>
      <c r="F97" s="82"/>
      <c r="G97" s="38"/>
      <c r="H97" s="39"/>
      <c r="I97" s="40"/>
      <c r="J97" s="40"/>
      <c r="K97" s="40"/>
      <c r="L97" s="11"/>
    </row>
    <row r="98" spans="1:13" ht="24.75">
      <c r="A98" s="1"/>
      <c r="B98" s="13"/>
      <c r="C98" s="14"/>
      <c r="D98" s="14"/>
      <c r="E98" s="13"/>
      <c r="F98" s="14"/>
      <c r="G98" s="38"/>
      <c r="H98" s="39"/>
      <c r="I98" s="40"/>
      <c r="J98" s="40"/>
      <c r="K98" s="40"/>
      <c r="L98" s="11"/>
    </row>
    <row r="99" spans="1:13" ht="24.75">
      <c r="A99" s="41"/>
      <c r="B99" s="42" t="s">
        <v>115</v>
      </c>
      <c r="C99" s="10"/>
      <c r="E99" s="41"/>
      <c r="F99" s="41"/>
      <c r="G99" s="42" t="s">
        <v>126</v>
      </c>
      <c r="H99" s="10"/>
      <c r="K99" s="12"/>
      <c r="L99" s="13" t="s">
        <v>128</v>
      </c>
      <c r="M99" s="10"/>
    </row>
    <row r="100" spans="1:13" ht="24.75">
      <c r="A100" s="43"/>
      <c r="B100" s="42" t="s">
        <v>116</v>
      </c>
      <c r="C100" s="13"/>
      <c r="E100" s="41"/>
      <c r="F100" s="43"/>
      <c r="G100" s="42" t="s">
        <v>127</v>
      </c>
      <c r="H100" s="13"/>
      <c r="K100" s="76"/>
      <c r="L100" s="13" t="s">
        <v>129</v>
      </c>
      <c r="M100" s="13"/>
    </row>
    <row r="101" spans="1:13" ht="24.75">
      <c r="A101" s="1"/>
      <c r="B101" s="13"/>
      <c r="C101" s="14"/>
      <c r="D101" s="13"/>
      <c r="E101" s="14"/>
      <c r="F101" s="44"/>
      <c r="G101" s="46"/>
      <c r="H101" s="46"/>
      <c r="I101" s="45"/>
      <c r="J101" s="10"/>
      <c r="K101" s="10"/>
      <c r="L101" s="2"/>
    </row>
    <row r="102" spans="1:13" ht="19.5">
      <c r="A102" s="55" t="s">
        <v>93</v>
      </c>
      <c r="B102" s="53"/>
      <c r="C102" s="51"/>
      <c r="D102" s="53"/>
      <c r="E102" s="51"/>
      <c r="F102" s="51"/>
      <c r="G102" s="51"/>
      <c r="H102" s="52"/>
      <c r="I102" s="57"/>
      <c r="J102" s="2"/>
      <c r="K102" s="2"/>
      <c r="L102" s="2"/>
    </row>
    <row r="103" spans="1:13" ht="19.5">
      <c r="A103" s="54" t="s">
        <v>99</v>
      </c>
      <c r="B103" s="53"/>
      <c r="C103" s="51"/>
      <c r="D103" s="53"/>
      <c r="E103" s="51"/>
      <c r="F103" s="51"/>
      <c r="G103" s="53"/>
      <c r="H103" s="52"/>
      <c r="I103" s="57"/>
      <c r="J103" s="2"/>
      <c r="K103" s="2"/>
      <c r="L103" s="2"/>
    </row>
    <row r="104" spans="1:13" ht="19.5">
      <c r="A104" s="54" t="s">
        <v>98</v>
      </c>
      <c r="B104" s="53"/>
      <c r="C104" s="53"/>
      <c r="D104" s="53"/>
      <c r="E104" s="53"/>
      <c r="F104" s="51"/>
      <c r="G104" s="53"/>
      <c r="H104" s="52"/>
      <c r="I104" s="57"/>
      <c r="J104" s="2"/>
      <c r="K104" s="2"/>
      <c r="L104" s="2"/>
    </row>
    <row r="105" spans="1:13" ht="19.5">
      <c r="A105" s="54" t="s">
        <v>85</v>
      </c>
      <c r="B105" s="53"/>
      <c r="C105" s="53"/>
      <c r="D105" s="53"/>
      <c r="E105" s="53"/>
      <c r="F105" s="52"/>
      <c r="G105" s="52"/>
      <c r="H105" s="52"/>
      <c r="I105" s="57"/>
      <c r="J105" s="2"/>
      <c r="K105" s="2"/>
      <c r="L105" s="2"/>
    </row>
    <row r="106" spans="1:13" ht="19.5">
      <c r="A106" s="54" t="s">
        <v>97</v>
      </c>
      <c r="B106" s="53"/>
      <c r="C106" s="53"/>
      <c r="D106" s="53"/>
      <c r="E106" s="53"/>
      <c r="F106" s="53"/>
      <c r="G106" s="52"/>
      <c r="H106" s="52"/>
      <c r="I106" s="57"/>
      <c r="J106" s="2"/>
      <c r="K106" s="2"/>
      <c r="L106" s="2"/>
    </row>
    <row r="107" spans="1:13" ht="19.5">
      <c r="A107" s="54" t="s">
        <v>96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3" ht="19.5">
      <c r="A108" s="54" t="s">
        <v>107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3" ht="19.5">
      <c r="A109" s="54" t="s">
        <v>95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3" ht="19.5">
      <c r="A110" s="54" t="s">
        <v>94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3" ht="19.5">
      <c r="A111" s="54" t="s">
        <v>86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3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102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/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5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89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2025-12-01T05:56:49Z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