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D65525B0-1AE2-4EBE-AA44-4D07098FEFD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9"/>
</workbook>
</file>

<file path=xl/calcChain.xml><?xml version="1.0" encoding="utf-8"?>
<calcChain xmlns="http://schemas.openxmlformats.org/spreadsheetml/2006/main">
  <c r="G88" i="4" l="1"/>
  <c r="G91" i="4"/>
  <c r="G90" i="4"/>
  <c r="G84" i="4"/>
  <c r="G89" i="4"/>
  <c r="G87" i="4" l="1"/>
  <c r="G86" i="4" l="1"/>
  <c r="G85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<sst xmlns="http://schemas.openxmlformats.org/spreadsheetml/2006/main" count="238" uniqueCount="130">
  <si>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</si>
  <si>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</si>
  <si>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</si>
  <si>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</si>
  <si>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</si>
  <si>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</si>
  <si>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</si>
  <si>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</si>
  <si>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</si>
  <si>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</si>
  <si>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</si>
  <si>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</si>
  <si>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</si>
  <si>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</si>
  <si>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</si>
  <si>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</si>
  <si>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</si>
  <si>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</si>
  <si>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</si>
  <si>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</si>
  <si>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</si>
  <si>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</si>
  <si>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</si>
  <si>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</si>
  <si>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</si>
  <si>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</si>
  <si>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</si>
  <si>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</si>
  <si>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</si>
  <si>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</si>
  <si>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</si>
  <si>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</si>
  <si>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</si>
  <si>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</si>
  <si>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</si>
  <si>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</si>
  <si>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</si>
  <si>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</si>
  <si>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</si>
  <si>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</si>
  <si>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</si>
  <si>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</si>
  <si>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</si>
  <si>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</si>
  <si>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</si>
  <si>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</si>
  <si>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</si>
  <si>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</si>
  <si>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</si>
  <si>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</si>
  <si>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</si>
  <si>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</si>
  <si>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</si>
  <si>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</si>
  <si>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</si>
  <si>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</si>
  <si>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</si>
  <si>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</si>
  <si>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</si>
  <si>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</si>
  <si>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</si>
  <si>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</si>
  <si>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</si>
  <si>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</si>
  <si>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</si>
  <si>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</si>
  <si>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</si>
  <si>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</si>
  <si>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</si>
  <si>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</si>
  <si>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</si>
  <si>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</si>
  <si>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</si>
  <si>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</si>
  <si>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</si>
  <si>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</si>
  <si>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</si>
  <si>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</si>
  <si>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</si>
  <si>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</si>
  <si>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</si>
  <si>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</si>
  <si>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</si>
  <si>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</si>
  <si>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</si>
  <si>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</si>
  <si>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</si>
  <si>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</si>
  <si>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</si>
  <si>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</si>
  <si>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</si>
  <si>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</si>
  <si>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</si>
  <si>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</si>
  <si>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</si>
  <si>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</si>
  <si>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</si>
  <si>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</si>
  <si>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</si>
  <si>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</si>
  <si>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</si>
  <si>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</si>
  <si>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</si>
  <si>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</si>
  <si>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</si>
  <si>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</si>
  <si>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</si>
  <si>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</si>
  <si>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</si>
  <si>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</si>
  <si>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</si>
  <si>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</si>
  <si>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</si>
  <si>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</si>
  <si>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</si>
  <si>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</si>
  <si>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</si>
  <si>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</si>
  <si>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</si>
  <si>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১৪-১০-২০২৫ তারিখে মূল্য বৃদ্ধি পেয়েছে।</t>
  </si>
  <si>
    <t>১৪-১০-২০২৫ তারিখে মূল্য  বৃদ্ধি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</si>
  <si>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</si>
  <si>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১২-১০-২০২৫ তারিখে মূল্য হ্রাস পেয়েছে।</t>
  </si>
  <si>
    <t>(১)      সয়াবিন তেল (লুজ, ১লি:,২লি:,৫লি: বোতল), পাম অয়েল লুজ   এর মূল্য বৃদ্ধি পেয়েছে।</t>
  </si>
  <si>
    <t>স্মারক নং-২৬.০৫.০০০০.০১৭.৩১.০১.২৫-৭৩২</t>
  </si>
  <si>
    <t xml:space="preserve">বুধবার ১৫ অক্টোবর ২০২৫ খ্রিঃ, ৩০ আশ্বিন ১৪৩২ বাংলা, ২০ রবিউল সানি ১৪৪৭ হিজরি </t>
  </si>
  <si>
    <t xml:space="preserve">   সিরিয়াল নংঃ     ২৫৫</t>
  </si>
  <si>
    <t>১৫-১০-২০২৫ তারিখে মূল্য বৃদ্ধি পেয়েছে।</t>
  </si>
  <si>
    <t>১৫-১০-২০২৫ তারিখে মূল্য হ্রাস পেয়েছে।</t>
  </si>
  <si>
    <t>(২ )    ছোলা, চিনি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</si>
</sst>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zoomScale="98" zoomScaleNormal="98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4" t="s">
        <v>126</v>
      </c>
      <c r="L4" s="83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45945</v>
      </c>
    </row>
    <row r="7" spans="1:12" ht="21.75">
      <c r="A7" s="25" t="s">
        <v>4</v>
      </c>
      <c r="B7" s="26" t="s">
        <v>5</v>
      </c>
      <c r="C7" s="84" t="s">
        <v>6</v>
      </c>
      <c r="D7" s="83"/>
      <c r="E7" s="84" t="s">
        <v>7</v>
      </c>
      <c r="F7" s="83"/>
      <c r="G7" s="84" t="s">
        <v>8</v>
      </c>
      <c r="H7" s="83"/>
      <c r="I7" s="26" t="s">
        <v>9</v>
      </c>
      <c r="J7" s="84" t="s">
        <v>10</v>
      </c>
      <c r="K7" s="83"/>
      <c r="L7" s="27" t="s">
        <v>11</v>
      </c>
    </row>
    <row r="8" spans="1:12" ht="21.75">
      <c r="A8" s="25"/>
      <c r="B8" s="26"/>
      <c r="C8" s="82">
        <v>45945</v>
      </c>
      <c r="D8" s="83"/>
      <c r="E8" s="82">
        <v>45938</v>
      </c>
      <c r="F8" s="83"/>
      <c r="G8" s="82">
        <v>45915</v>
      </c>
      <c r="H8" s="83"/>
      <c r="I8" s="26" t="s">
        <v>12</v>
      </c>
      <c r="J8" s="82">
        <v>45580</v>
      </c>
      <c r="K8" s="83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75</v>
      </c>
      <c r="I11" s="30">
        <f>((C11+D11)/2-(G11+H11)/2)/((G11+H11)/2)*100</f>
        <v>-3.7037037037037033</v>
      </c>
      <c r="J11" s="29">
        <v>55</v>
      </c>
      <c r="K11" s="29">
        <v>60</v>
      </c>
      <c r="L11" s="31">
        <f>((C11+D11)/2-(J11+K11)/2)/((J11+K11)/2)*100</f>
        <v>13.043478260869565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180</v>
      </c>
      <c r="E19" s="29">
        <v>172</v>
      </c>
      <c r="F19" s="29">
        <v>178</v>
      </c>
      <c r="G19" s="29">
        <v>168</v>
      </c>
      <c r="H19" s="29">
        <v>174</v>
      </c>
      <c r="I19" s="30">
        <f t="shared" ref="I19:I25" si="0">((C19+D19)/2-(G19+H19)/2)/((G19+H19)/2)*100</f>
        <v>2.9239766081871341</v>
      </c>
      <c r="J19" s="29">
        <v>152</v>
      </c>
      <c r="K19" s="29">
        <v>156</v>
      </c>
      <c r="L19" s="31">
        <f t="shared" ref="L19:L25" si="1">((C19+D19)/2-(J19+K19)/2)/((J19+K19)/2)*100</f>
        <v>14.285714285714285</v>
      </c>
    </row>
    <row r="20" spans="1:12" ht="21.75">
      <c r="A20" s="69" t="s">
        <v>29</v>
      </c>
      <c r="B20" s="6" t="s">
        <v>30</v>
      </c>
      <c r="C20" s="29">
        <v>900</v>
      </c>
      <c r="D20" s="29">
        <v>935</v>
      </c>
      <c r="E20" s="29">
        <v>890</v>
      </c>
      <c r="F20" s="29">
        <v>920</v>
      </c>
      <c r="G20" s="29">
        <v>890</v>
      </c>
      <c r="H20" s="29">
        <v>920</v>
      </c>
      <c r="I20" s="30">
        <f t="shared" si="0"/>
        <v>1.3812154696132597</v>
      </c>
      <c r="J20" s="29">
        <v>800</v>
      </c>
      <c r="K20" s="29">
        <v>810</v>
      </c>
      <c r="L20" s="31">
        <f t="shared" si="1"/>
        <v>13.975155279503104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388</v>
      </c>
      <c r="E21" s="29">
        <v>375</v>
      </c>
      <c r="F21" s="29">
        <v>380</v>
      </c>
      <c r="G21" s="29">
        <v>375</v>
      </c>
      <c r="H21" s="29">
        <v>378</v>
      </c>
      <c r="I21" s="30">
        <f t="shared" si="0"/>
        <v>1.3280212483399734</v>
      </c>
      <c r="J21" s="29">
        <v>330</v>
      </c>
      <c r="K21" s="29">
        <v>335</v>
      </c>
      <c r="L21" s="31">
        <f t="shared" si="1"/>
        <v>14.736842105263156</v>
      </c>
    </row>
    <row r="22" spans="1:12" ht="21.75">
      <c r="A22" s="69" t="s">
        <v>29</v>
      </c>
      <c r="B22" s="6" t="s">
        <v>32</v>
      </c>
      <c r="C22" s="29">
        <v>188</v>
      </c>
      <c r="D22" s="29">
        <v>195</v>
      </c>
      <c r="E22" s="29">
        <v>188</v>
      </c>
      <c r="F22" s="29">
        <v>190</v>
      </c>
      <c r="G22" s="29">
        <v>188</v>
      </c>
      <c r="H22" s="29">
        <v>190</v>
      </c>
      <c r="I22" s="30">
        <f t="shared" si="0"/>
        <v>1.3227513227513228</v>
      </c>
      <c r="J22" s="29">
        <v>165</v>
      </c>
      <c r="K22" s="29">
        <v>170</v>
      </c>
      <c r="L22" s="31">
        <f t="shared" si="1"/>
        <v>14.328358208955224</v>
      </c>
    </row>
    <row r="23" spans="1:12" ht="21.75">
      <c r="A23" s="69" t="s">
        <v>33</v>
      </c>
      <c r="B23" s="6" t="s">
        <v>28</v>
      </c>
      <c r="C23" s="29">
        <v>153</v>
      </c>
      <c r="D23" s="29">
        <v>162</v>
      </c>
      <c r="E23" s="29">
        <v>153</v>
      </c>
      <c r="F23" s="29">
        <v>160</v>
      </c>
      <c r="G23" s="29">
        <v>153</v>
      </c>
      <c r="H23" s="29">
        <v>158</v>
      </c>
      <c r="I23" s="30">
        <f t="shared" si="0"/>
        <v>1.2861736334405145</v>
      </c>
      <c r="J23" s="29">
        <v>145</v>
      </c>
      <c r="K23" s="29">
        <v>146</v>
      </c>
      <c r="L23" s="31">
        <f t="shared" si="1"/>
        <v>8.2474226804123703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166</v>
      </c>
      <c r="E24" s="29">
        <v>155</v>
      </c>
      <c r="F24" s="29">
        <v>166</v>
      </c>
      <c r="G24" s="29">
        <v>155</v>
      </c>
      <c r="H24" s="29">
        <v>165</v>
      </c>
      <c r="I24" s="30">
        <f t="shared" si="0"/>
        <v>0.3125</v>
      </c>
      <c r="J24" s="29">
        <v>147</v>
      </c>
      <c r="K24" s="29">
        <v>150</v>
      </c>
      <c r="L24" s="31">
        <f t="shared" si="1"/>
        <v>8.0808080808080813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100</v>
      </c>
      <c r="K27" s="29">
        <v>105</v>
      </c>
      <c r="L27" s="31">
        <f t="shared" ref="L27:L33" si="3">((C27+D27)/2-(J27+K27)/2)/((J27+K27)/2)*100</f>
        <v>0</v>
      </c>
    </row>
    <row r="28" spans="1:12" ht="21.75">
      <c r="A28" s="69" t="s">
        <v>110</v>
      </c>
      <c r="B28" s="6" t="s">
        <v>18</v>
      </c>
      <c r="C28" s="29">
        <v>120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110</v>
      </c>
      <c r="K28" s="29">
        <v>115</v>
      </c>
      <c r="L28" s="31">
        <f t="shared" si="3"/>
        <v>15.555555555555555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85</v>
      </c>
      <c r="L31" s="31">
        <f t="shared" si="3"/>
        <v>-15.625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115</v>
      </c>
      <c r="G32" s="29">
        <v>95</v>
      </c>
      <c r="H32" s="29">
        <v>115</v>
      </c>
      <c r="I32" s="30">
        <f t="shared" si="2"/>
        <v>0</v>
      </c>
      <c r="J32" s="29">
        <v>125</v>
      </c>
      <c r="K32" s="29">
        <v>135</v>
      </c>
      <c r="L32" s="31">
        <f t="shared" si="3"/>
        <v>-19.230769230769234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18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55</v>
      </c>
      <c r="K33" s="29">
        <v>60</v>
      </c>
      <c r="L33" s="31">
        <f t="shared" si="3"/>
        <v>-60.869565217391312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80</v>
      </c>
      <c r="E35" s="29">
        <v>70</v>
      </c>
      <c r="F35" s="29">
        <v>80</v>
      </c>
      <c r="G35" s="29">
        <v>70</v>
      </c>
      <c r="H35" s="29">
        <v>80</v>
      </c>
      <c r="I35" s="30">
        <f t="shared" ref="I35:I50" si="4">((C35+D35)/2-(G35+H35)/2)/((G35+H35)/2)*100</f>
        <v>0</v>
      </c>
      <c r="J35" s="29">
        <v>110</v>
      </c>
      <c r="K35" s="29">
        <v>120</v>
      </c>
      <c r="L35" s="31">
        <f t="shared" ref="L35:L50" si="5">((C35+D35)/2-(J35+K35)/2)/((J35+K35)/2)*100</f>
        <v>-34.782608695652172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100</v>
      </c>
      <c r="K36" s="29">
        <v>110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240</v>
      </c>
      <c r="L37" s="31">
        <f t="shared" si="5"/>
        <v>-47.826086956521742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-3.5087719298245612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400</v>
      </c>
      <c r="G40" s="29">
        <v>320</v>
      </c>
      <c r="H40" s="29">
        <v>430</v>
      </c>
      <c r="I40" s="30">
        <f t="shared" si="4"/>
        <v>-6.666666666666667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140</v>
      </c>
      <c r="D44" s="29">
        <v>250</v>
      </c>
      <c r="E44" s="29">
        <v>140</v>
      </c>
      <c r="F44" s="29">
        <v>250</v>
      </c>
      <c r="G44" s="29">
        <v>130</v>
      </c>
      <c r="H44" s="29">
        <v>260</v>
      </c>
      <c r="I44" s="30">
        <f t="shared" si="4"/>
        <v>0</v>
      </c>
      <c r="J44" s="29">
        <v>180</v>
      </c>
      <c r="K44" s="29">
        <v>280</v>
      </c>
      <c r="L44" s="31">
        <f t="shared" si="5"/>
        <v>-15.217391304347828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500</v>
      </c>
      <c r="H46" s="29">
        <v>600</v>
      </c>
      <c r="I46" s="30">
        <f t="shared" si="4"/>
        <v>-1.8181818181818181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1500</v>
      </c>
      <c r="L47" s="31">
        <f t="shared" si="5"/>
        <v>5.3571428571428568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4700</v>
      </c>
      <c r="H48" s="29">
        <v>5500</v>
      </c>
      <c r="I48" s="30">
        <f t="shared" si="4"/>
        <v>0.98039215686274506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220</v>
      </c>
      <c r="H49" s="29">
        <v>280</v>
      </c>
      <c r="I49" s="30">
        <f t="shared" si="4"/>
        <v>-4</v>
      </c>
      <c r="J49" s="29">
        <v>200</v>
      </c>
      <c r="K49" s="29">
        <v>280</v>
      </c>
      <c r="L49" s="31">
        <f t="shared" si="5"/>
        <v>0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190</v>
      </c>
      <c r="H50" s="29">
        <v>225</v>
      </c>
      <c r="I50" s="30">
        <f t="shared" si="4"/>
        <v>2.4096385542168677</v>
      </c>
      <c r="J50" s="29">
        <v>120</v>
      </c>
      <c r="K50" s="29">
        <v>200</v>
      </c>
      <c r="L50" s="31">
        <f t="shared" si="5"/>
        <v>32.8125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400</v>
      </c>
      <c r="L52" s="31">
        <f t="shared" ref="L52:L57" si="7">((C52+D52)/2-(J52+K52)/2)/((J52+K52)/2)*100</f>
        <v>10.294117647058822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-100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780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-1.2903225806451613</v>
      </c>
      <c r="J54" s="29">
        <v>650</v>
      </c>
      <c r="K54" s="29">
        <v>800</v>
      </c>
      <c r="L54" s="31">
        <f t="shared" si="7"/>
        <v>5.5172413793103452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190</v>
      </c>
      <c r="E56" s="29">
        <v>160</v>
      </c>
      <c r="F56" s="29">
        <v>185</v>
      </c>
      <c r="G56" s="29">
        <v>170</v>
      </c>
      <c r="H56" s="29">
        <v>185</v>
      </c>
      <c r="I56" s="30">
        <f t="shared" si="6"/>
        <v>1.4084507042253522</v>
      </c>
      <c r="J56" s="29">
        <v>190</v>
      </c>
      <c r="K56" s="29">
        <v>210</v>
      </c>
      <c r="L56" s="31">
        <f t="shared" si="7"/>
        <v>-10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700</v>
      </c>
      <c r="I57" s="30">
        <f t="shared" si="6"/>
        <v>-4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840</v>
      </c>
      <c r="H60" s="29">
        <v>920</v>
      </c>
      <c r="I60" s="30">
        <f>((C60+D60)/2-(G60+H60)/2)/((G60+H60)/2)*100</f>
        <v>0.56818181818181823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4" t="s">
        <v>6</v>
      </c>
      <c r="D66" s="83"/>
      <c r="E66" s="84" t="s">
        <v>7</v>
      </c>
      <c r="F66" s="83"/>
      <c r="G66" s="84" t="s">
        <v>8</v>
      </c>
      <c r="H66" s="83"/>
      <c r="I66" s="26" t="s">
        <v>9</v>
      </c>
      <c r="J66" s="84" t="s">
        <v>10</v>
      </c>
      <c r="K66" s="83"/>
      <c r="L66" s="26" t="s">
        <v>11</v>
      </c>
    </row>
    <row r="67" spans="1:12" ht="18" customHeight="1">
      <c r="A67" s="73"/>
      <c r="B67" s="64"/>
      <c r="C67" s="82">
        <v>45945</v>
      </c>
      <c r="D67" s="83"/>
      <c r="E67" s="82">
        <v>45938</v>
      </c>
      <c r="F67" s="83"/>
      <c r="G67" s="82">
        <v>45915</v>
      </c>
      <c r="H67" s="83"/>
      <c r="I67" s="26" t="s">
        <v>12</v>
      </c>
      <c r="J67" s="82">
        <v>45580</v>
      </c>
      <c r="K67" s="83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105</v>
      </c>
      <c r="D69" s="29">
        <v>110</v>
      </c>
      <c r="E69" s="29">
        <v>105</v>
      </c>
      <c r="F69" s="29">
        <v>115</v>
      </c>
      <c r="G69" s="29">
        <v>105</v>
      </c>
      <c r="H69" s="29">
        <v>115</v>
      </c>
      <c r="I69" s="30">
        <f>((C69+D69)/2-(G69+H69)/2)/((G69+H69)/2)*100</f>
        <v>-2.2727272727272729</v>
      </c>
      <c r="J69" s="29">
        <v>125</v>
      </c>
      <c r="K69" s="29">
        <v>135</v>
      </c>
      <c r="L69" s="31">
        <f t="shared" ref="L69:L75" si="8">((C69+D69)/2-(J69+K69)/2)/((J69+K69)/2)*100</f>
        <v>-17.307692307692307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450</v>
      </c>
      <c r="L70" s="31">
        <f t="shared" si="8"/>
        <v>10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58</v>
      </c>
      <c r="K72" s="37">
        <v>65</v>
      </c>
      <c r="L72" s="31">
        <f t="shared" si="8"/>
        <v>-22.76422764227642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35</v>
      </c>
      <c r="L73" s="31">
        <f t="shared" si="8"/>
        <v>7.6923076923076925</v>
      </c>
    </row>
    <row r="74" spans="1:12" ht="21.75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86500</v>
      </c>
      <c r="K74" s="29">
        <v>93000</v>
      </c>
      <c r="L74" s="31">
        <f t="shared" si="8"/>
        <v>-5.5710306406685239</v>
      </c>
    </row>
    <row r="75" spans="1:12" ht="21.75">
      <c r="A75" s="69" t="s">
        <v>79</v>
      </c>
      <c r="B75" s="6" t="s">
        <v>78</v>
      </c>
      <c r="C75" s="29">
        <v>76000</v>
      </c>
      <c r="D75" s="37">
        <v>79000</v>
      </c>
      <c r="E75" s="29">
        <v>76000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82500</v>
      </c>
      <c r="K75" s="37">
        <v>85000</v>
      </c>
      <c r="L75" s="31">
        <f t="shared" si="8"/>
        <v>-7.4626865671641784</v>
      </c>
    </row>
    <row r="76" spans="1:12" ht="36" customHeight="1">
      <c r="A76" s="85" t="s">
        <v>121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7" t="s">
        <v>6</v>
      </c>
      <c r="D82" s="88"/>
      <c r="E82" s="89" t="s">
        <v>83</v>
      </c>
      <c r="F82" s="90"/>
      <c r="G82" s="77" t="s">
        <v>12</v>
      </c>
      <c r="H82" s="87" t="s">
        <v>84</v>
      </c>
      <c r="I82" s="91"/>
      <c r="J82" s="88"/>
      <c r="K82" s="50"/>
      <c r="L82" s="17"/>
    </row>
    <row r="83" spans="1:12" ht="21.75">
      <c r="A83" s="5" t="s">
        <v>27</v>
      </c>
      <c r="B83" s="6" t="s">
        <v>28</v>
      </c>
      <c r="C83" s="29">
        <v>172</v>
      </c>
      <c r="D83" s="29">
        <v>180</v>
      </c>
      <c r="E83" s="29">
        <v>172</v>
      </c>
      <c r="F83" s="29">
        <v>178</v>
      </c>
      <c r="G83" s="7">
        <f t="shared" ref="G83:G86" si="10">((C83+D83)/2-(E83+F83)/2)/((E83+F83)/2)*100</f>
        <v>0.5714285714285714</v>
      </c>
      <c r="H83" s="5" t="s">
        <v>119</v>
      </c>
      <c r="I83" s="6"/>
      <c r="J83" s="6"/>
      <c r="K83" s="50"/>
      <c r="L83" s="17"/>
    </row>
    <row r="84" spans="1:12" ht="21.75">
      <c r="A84" s="5" t="s">
        <v>29</v>
      </c>
      <c r="B84" s="6" t="s">
        <v>30</v>
      </c>
      <c r="C84" s="29">
        <v>900</v>
      </c>
      <c r="D84" s="29">
        <v>935</v>
      </c>
      <c r="E84" s="29">
        <v>890</v>
      </c>
      <c r="F84" s="29">
        <v>920</v>
      </c>
      <c r="G84" s="7">
        <f t="shared" si="10"/>
        <v>1.3812154696132597</v>
      </c>
      <c r="H84" s="5" t="s">
        <v>119</v>
      </c>
      <c r="I84" s="6"/>
      <c r="J84" s="6"/>
      <c r="K84" s="50"/>
      <c r="L84" s="17"/>
    </row>
    <row r="85" spans="1:12" ht="21.75">
      <c r="A85" s="69" t="s">
        <v>29</v>
      </c>
      <c r="B85" s="6" t="s">
        <v>31</v>
      </c>
      <c r="C85" s="29">
        <v>375</v>
      </c>
      <c r="D85" s="29">
        <v>388</v>
      </c>
      <c r="E85" s="29">
        <v>375</v>
      </c>
      <c r="F85" s="29">
        <v>380</v>
      </c>
      <c r="G85" s="7">
        <f t="shared" si="10"/>
        <v>1.0596026490066226</v>
      </c>
      <c r="H85" s="5" t="s">
        <v>119</v>
      </c>
      <c r="I85" s="6"/>
      <c r="J85" s="6"/>
      <c r="K85" s="50"/>
      <c r="L85" s="17"/>
    </row>
    <row r="86" spans="1:12" ht="21.75">
      <c r="A86" s="69" t="s">
        <v>29</v>
      </c>
      <c r="B86" s="6" t="s">
        <v>32</v>
      </c>
      <c r="C86" s="29">
        <v>188</v>
      </c>
      <c r="D86" s="29">
        <v>195</v>
      </c>
      <c r="E86" s="29">
        <v>188</v>
      </c>
      <c r="F86" s="29">
        <v>190</v>
      </c>
      <c r="G86" s="7">
        <f t="shared" si="10"/>
        <v>1.3227513227513228</v>
      </c>
      <c r="H86" s="5" t="s">
        <v>120</v>
      </c>
      <c r="I86" s="6"/>
      <c r="J86" s="6"/>
      <c r="K86" s="11"/>
      <c r="L86" s="11"/>
    </row>
    <row r="87" spans="1:12" ht="21.75">
      <c r="A87" s="69" t="s">
        <v>33</v>
      </c>
      <c r="B87" s="6" t="s">
        <v>28</v>
      </c>
      <c r="C87" s="29">
        <v>153</v>
      </c>
      <c r="D87" s="29">
        <v>162</v>
      </c>
      <c r="E87" s="29">
        <v>153</v>
      </c>
      <c r="F87" s="29">
        <v>160</v>
      </c>
      <c r="G87" s="7">
        <f t="shared" ref="G87:G91" si="11">((C87+D87)/2-(E87+F87)/2)/((E87+F87)/2)*100</f>
        <v>0.63897763578274758</v>
      </c>
      <c r="H87" s="5" t="s">
        <v>119</v>
      </c>
      <c r="I87" s="6"/>
      <c r="J87" s="6"/>
      <c r="K87" s="11"/>
      <c r="L87" s="11"/>
    </row>
    <row r="88" spans="1:12" ht="21.75">
      <c r="A88" s="69" t="s">
        <v>41</v>
      </c>
      <c r="B88" s="6" t="s">
        <v>18</v>
      </c>
      <c r="C88" s="29">
        <v>100</v>
      </c>
      <c r="D88" s="29">
        <v>110</v>
      </c>
      <c r="E88" s="29">
        <v>100</v>
      </c>
      <c r="F88" s="29">
        <v>115</v>
      </c>
      <c r="G88" s="7">
        <f t="shared" si="11"/>
        <v>-2.3255813953488373</v>
      </c>
      <c r="H88" s="5" t="s">
        <v>128</v>
      </c>
      <c r="I88" s="6"/>
      <c r="J88" s="6"/>
      <c r="K88" s="11"/>
      <c r="L88" s="11"/>
    </row>
    <row r="89" spans="1:12" ht="21.75">
      <c r="A89" s="69" t="s">
        <v>42</v>
      </c>
      <c r="B89" s="6" t="s">
        <v>18</v>
      </c>
      <c r="C89" s="29">
        <v>20</v>
      </c>
      <c r="D89" s="29">
        <v>25</v>
      </c>
      <c r="E89" s="29">
        <v>18</v>
      </c>
      <c r="F89" s="29">
        <v>25</v>
      </c>
      <c r="G89" s="7">
        <f t="shared" si="11"/>
        <v>4.6511627906976747</v>
      </c>
      <c r="H89" s="5" t="s">
        <v>127</v>
      </c>
      <c r="I89" s="6"/>
      <c r="J89" s="6"/>
      <c r="K89" s="11"/>
      <c r="L89" s="11"/>
    </row>
    <row r="90" spans="1:12" ht="21.75">
      <c r="A90" s="69" t="s">
        <v>62</v>
      </c>
      <c r="B90" s="6" t="s">
        <v>18</v>
      </c>
      <c r="C90" s="29">
        <v>170</v>
      </c>
      <c r="D90" s="29">
        <v>190</v>
      </c>
      <c r="E90" s="29">
        <v>160</v>
      </c>
      <c r="F90" s="29">
        <v>185</v>
      </c>
      <c r="G90" s="7">
        <f t="shared" si="11"/>
        <v>4.3478260869565215</v>
      </c>
      <c r="H90" s="5" t="s">
        <v>119</v>
      </c>
      <c r="I90" s="6"/>
      <c r="J90" s="6"/>
      <c r="K90" s="11"/>
      <c r="L90" s="11"/>
    </row>
    <row r="91" spans="1:12" ht="24.75">
      <c r="A91" s="5" t="s">
        <v>71</v>
      </c>
      <c r="B91" s="6" t="s">
        <v>18</v>
      </c>
      <c r="C91" s="37">
        <v>105</v>
      </c>
      <c r="D91" s="37">
        <v>110</v>
      </c>
      <c r="E91" s="26">
        <v>105</v>
      </c>
      <c r="F91" s="37">
        <v>115</v>
      </c>
      <c r="G91" s="7">
        <f t="shared" si="11"/>
        <v>-2.2727272727272729</v>
      </c>
      <c r="H91" s="5" t="s">
        <v>122</v>
      </c>
      <c r="I91" s="6"/>
      <c r="J91" s="6"/>
      <c r="K91" s="40"/>
      <c r="L91" s="11"/>
    </row>
    <row r="92" spans="1:12" ht="24.75">
      <c r="A92" s="1"/>
      <c r="B92" s="3"/>
      <c r="C92" s="92"/>
      <c r="D92" s="92"/>
      <c r="E92" s="8"/>
      <c r="F92" s="92"/>
      <c r="G92" s="38"/>
      <c r="H92" s="39"/>
      <c r="I92" s="40"/>
      <c r="J92" s="40"/>
      <c r="K92" s="40"/>
      <c r="L92" s="11"/>
    </row>
    <row r="93" spans="1:12" ht="24.75">
      <c r="A93" s="1"/>
      <c r="B93" s="13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4.75">
      <c r="A94" s="1"/>
      <c r="B94" s="41"/>
      <c r="C94" s="42" t="s">
        <v>115</v>
      </c>
      <c r="D94" s="10"/>
      <c r="E94" s="41"/>
      <c r="F94" s="13"/>
      <c r="G94" s="10"/>
      <c r="H94" s="39"/>
      <c r="I94" s="12"/>
      <c r="J94" s="13" t="s">
        <v>117</v>
      </c>
      <c r="K94" s="10"/>
      <c r="L94" s="10"/>
    </row>
    <row r="95" spans="1:12" ht="24.75">
      <c r="A95" s="1"/>
      <c r="B95" s="43"/>
      <c r="C95" s="42" t="s">
        <v>116</v>
      </c>
      <c r="D95" s="13"/>
      <c r="E95" s="41"/>
      <c r="F95" s="44"/>
      <c r="G95" s="46"/>
      <c r="H95" s="46"/>
      <c r="I95" s="76"/>
      <c r="J95" s="13" t="s">
        <v>118</v>
      </c>
      <c r="K95" s="13"/>
      <c r="L95" s="13"/>
    </row>
    <row r="96" spans="1:12" ht="24.75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9.5">
      <c r="A97" s="55" t="s">
        <v>93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9.5">
      <c r="A98" s="54" t="s">
        <v>99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9.5">
      <c r="A99" s="54" t="s">
        <v>98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9.5">
      <c r="A100" s="54" t="s">
        <v>85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9.5">
      <c r="A101" s="54" t="s">
        <v>97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9.5">
      <c r="A102" s="54" t="s">
        <v>96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107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94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86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100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102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103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87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5" t="s">
        <v>88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89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114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113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112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2025-10-15T08:24:45Z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