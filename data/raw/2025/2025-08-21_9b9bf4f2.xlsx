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D7651E56-FAE3-4E83-8252-E6333B9C20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92" i="4"/>
  <c r="G93" i="4"/>
  <c r="G86" i="4"/>
  <c r="G89" i="4"/>
  <c r="G94" i="4"/>
  <c r="G91" i="4"/>
  <c r="G85" i="4"/>
  <c r="G88" i="4"/>
  <c r="G87" i="4"/>
  <c r="G96" i="4"/>
  <c r="G84" i="4"/>
  <c r="G83" i="4"/>
  <c r="G9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<sst xmlns="http://schemas.openxmlformats.org/spreadsheetml/2006/main" count="252" uniqueCount="134">
  <si>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</si>
  <si>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</si>
  <si>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</si>
  <si>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</si>
  <si>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</si>
  <si>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</si>
  <si>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</si>
  <si>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</si>
  <si>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</si>
  <si>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</si>
  <si>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</si>
  <si>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</si>
  <si>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</si>
  <si>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</si>
  <si>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</si>
  <si>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</si>
  <si>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</si>
  <si>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</si>
  <si>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</si>
  <si>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</si>
  <si>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</si>
  <si>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</si>
  <si>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</si>
  <si>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</si>
  <si>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</si>
  <si>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</si>
  <si>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</si>
  <si>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</si>
  <si>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</si>
  <si>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</si>
  <si>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</si>
  <si>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</si>
  <si>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</si>
  <si>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</si>
  <si>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</si>
  <si>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</si>
  <si>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</si>
  <si>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</si>
  <si>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</si>
  <si>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</si>
  <si>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</si>
  <si>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</si>
  <si>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</si>
  <si>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</si>
  <si>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</si>
  <si>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</si>
  <si>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</si>
  <si>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</si>
  <si>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</si>
  <si>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</si>
  <si>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</si>
  <si>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</si>
  <si>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</si>
  <si>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</si>
  <si>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</si>
  <si>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</si>
  <si>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</si>
  <si>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</si>
  <si>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</si>
  <si>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</si>
  <si>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</si>
  <si>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</si>
  <si>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</si>
  <si>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</si>
  <si>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</si>
  <si>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</si>
  <si>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</si>
  <si>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</si>
  <si>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</si>
  <si>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</si>
  <si>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</si>
  <si>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</si>
  <si>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</si>
  <si>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</si>
  <si>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</si>
  <si>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</si>
  <si>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</si>
  <si>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</si>
  <si>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</si>
  <si>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</si>
  <si>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</si>
  <si>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</si>
  <si>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</si>
  <si>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</si>
  <si>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</si>
  <si>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</si>
  <si>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</si>
  <si>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</si>
  <si>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</si>
  <si>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</si>
  <si>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</si>
  <si>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</si>
  <si>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</si>
  <si>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</si>
  <si>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</si>
  <si>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</si>
  <si>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</si>
  <si>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</si>
  <si>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</si>
  <si>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</si>
  <si>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</si>
  <si>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</si>
  <si>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</si>
  <si>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</si>
  <si>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</si>
  <si>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</si>
  <si>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</si>
  <si>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</si>
  <si>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</si>
  <si>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</si>
  <si>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</si>
  <si>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</si>
  <si>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</si>
  <si>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</si>
  <si>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</si>
  <si>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১৫-০৮-২০২৫ তারিখে মূল্য হ্রাস পেয়েছে।</t>
  </si>
  <si>
    <t>(মোঃ হুমায়ুন কবির )</t>
  </si>
  <si>
    <t>যুগ্ম পরিচালক (বাজার তথ্য)</t>
  </si>
  <si>
    <t>১৭-০৮-২০২৫ তারিখে মূল্য বৃদ্ধি পেয়েছে।</t>
  </si>
  <si>
    <t>১৭-০৮-২০২৫ তারিখে মূল্য হ্রাস পেয়েছে।</t>
  </si>
  <si>
    <t>১৮-০৮-২০২৫ তারিখে মূল্য বৃদ্ধি পেয়েছে।</t>
  </si>
  <si>
    <t>১৮-০৮-২০২৫ তারিখে মূল্য হ্রাস পেয়েছে।</t>
  </si>
  <si>
    <t>১৯-০৮-২০২৫ তারিখে মূল্য বৃদ্ধি পেয়েছে।</t>
  </si>
  <si>
    <t>২০-০৮-২০২৫ তারিখে মূল্য হ্রাস পেয়েছে।</t>
  </si>
  <si>
    <t>২০-০৮-২০২৫ তারিখে মূল্য বৃদ্ধি পেয়েছে।</t>
  </si>
  <si>
    <t>স্মারক নং-২৬.০৫.০০০০.০১৭.৩১.০১.২৫-৫৮৭</t>
  </si>
  <si>
    <t xml:space="preserve">বৃহস্পতিবার ২১ আগষ্ট ২০২৫ খ্রিঃ, ০৬ ভাদ্র ১৪৩২ বাংলা, ২৬ সফর ১৪৪৭ হিজরি </t>
  </si>
  <si>
    <t xml:space="preserve">   সিরিয়াল নংঃ     ২০৭</t>
  </si>
  <si>
    <t>২১-০৮-২০২৫ তারিখে মূল্য হ্রাস পেয়েছে।</t>
  </si>
  <si>
    <t>২১-০৮-২০২৫ তারিখে মূল্য বৃদ্ধি পেয়েছে।</t>
  </si>
  <si>
    <t>(২ )   পাম অয়েল লুজ, রশুন (দেশী,আম), আদা (আম), চিনি   এর মূল্য হ্রাস পেয়েছে।</t>
  </si>
  <si>
    <t>(১)    আটা (খোলা, প্যা:), সয়াবিন তেল (লুজ, ১লি:, ২লি: বোতল), এলাচ, ধনে, তেজপাতা, মুরগী ব্রয়লার  এর মূল্য বৃদ্ধি পেয়েছে।</t>
  </si>
  <si>
    <t xml:space="preserve"> (মোঃ আবুল হাসনাত চৌধুরী)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</si>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</sst>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5"/>
  <sheetViews>
    <sheetView tabSelected="1" topLeftCell="A92" zoomScale="98" zoomScaleNormal="98" workbookViewId="0">
      <selection activeCell="J103" sqref="J103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127</v>
      </c>
      <c r="L4" s="92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45890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45890</v>
      </c>
      <c r="D8" s="92"/>
      <c r="E8" s="93">
        <v>45883</v>
      </c>
      <c r="F8" s="92"/>
      <c r="G8" s="93">
        <v>45859</v>
      </c>
      <c r="H8" s="92"/>
      <c r="I8" s="27" t="s">
        <v>12</v>
      </c>
      <c r="J8" s="101">
        <v>45525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64</v>
      </c>
      <c r="K10" s="62">
        <v>80</v>
      </c>
      <c r="L10" s="32">
        <f>((C10+D10)/2-(J10+K10)/2)/((J10+K10)/2)*100</f>
        <v>11.111111111111111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55</v>
      </c>
      <c r="K11" s="62">
        <v>60</v>
      </c>
      <c r="L11" s="32">
        <f>((C11+D11)/2-(J11+K11)/2)/((J11+K11)/2)*100</f>
        <v>17.391304347826086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52</v>
      </c>
      <c r="K12" s="62">
        <v>55</v>
      </c>
      <c r="L12" s="32">
        <f>((C12+D12)/2-(J12+K12)/2)/((J12+K12)/2)*100</f>
        <v>7.4766355140186906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44</v>
      </c>
      <c r="D14" s="30">
        <v>50</v>
      </c>
      <c r="E14" s="30">
        <v>42</v>
      </c>
      <c r="F14" s="30">
        <v>45</v>
      </c>
      <c r="G14" s="30">
        <v>40</v>
      </c>
      <c r="H14" s="30">
        <v>45</v>
      </c>
      <c r="I14" s="31">
        <f>((C14+D14)/2-(G14+H14)/2)/((G14+H14)/2)*100</f>
        <v>10.588235294117647</v>
      </c>
      <c r="J14" s="62">
        <v>40</v>
      </c>
      <c r="K14" s="62">
        <v>45</v>
      </c>
      <c r="L14" s="32">
        <f>((C14+D14)/2-(J14+K14)/2)/((J14+K14)/2)*100</f>
        <v>10.588235294117647</v>
      </c>
    </row>
    <row r="15" spans="1:12" ht="21.75">
      <c r="A15" s="76" t="s">
        <v>22</v>
      </c>
      <c r="B15" s="6" t="s">
        <v>23</v>
      </c>
      <c r="C15" s="30">
        <v>55</v>
      </c>
      <c r="D15" s="30">
        <v>65</v>
      </c>
      <c r="E15" s="30">
        <v>52</v>
      </c>
      <c r="F15" s="30">
        <v>60</v>
      </c>
      <c r="G15" s="30">
        <v>50</v>
      </c>
      <c r="H15" s="30">
        <v>55</v>
      </c>
      <c r="I15" s="31">
        <f>((C15+D15)/2-(G15+H15)/2)/((G15+H15)/2)*100</f>
        <v>14.285714285714285</v>
      </c>
      <c r="J15" s="62">
        <v>50</v>
      </c>
      <c r="K15" s="62">
        <v>55</v>
      </c>
      <c r="L15" s="32">
        <f>((C15+D15)/2-(J15+K15)/2)/((J15+K15)/2)*100</f>
        <v>14.285714285714285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165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2.1212121212121215</v>
      </c>
      <c r="J19" s="62">
        <v>145</v>
      </c>
      <c r="K19" s="62">
        <v>152</v>
      </c>
      <c r="L19" s="32">
        <f t="shared" ref="L19:L25" si="1">((C19+D19)/2-(J19+K19)/2)/((J19+K19)/2)*100</f>
        <v>13.468013468013467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372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0.26737967914438499</v>
      </c>
      <c r="J21" s="62">
        <v>325</v>
      </c>
      <c r="K21" s="62">
        <v>330</v>
      </c>
      <c r="L21" s="32">
        <f t="shared" si="1"/>
        <v>14.503816793893129</v>
      </c>
    </row>
    <row r="22" spans="1:12" ht="21.75">
      <c r="A22" s="76" t="s">
        <v>29</v>
      </c>
      <c r="B22" s="6" t="s">
        <v>32</v>
      </c>
      <c r="C22" s="30">
        <v>188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62">
        <v>165</v>
      </c>
      <c r="K22" s="62">
        <v>167</v>
      </c>
      <c r="L22" s="32">
        <f t="shared" si="1"/>
        <v>13.855421686746988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158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1.9867549668874174</v>
      </c>
      <c r="J23" s="62">
        <v>125</v>
      </c>
      <c r="K23" s="62">
        <v>135</v>
      </c>
      <c r="L23" s="32">
        <f t="shared" si="1"/>
        <v>18.461538461538463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140</v>
      </c>
      <c r="I29" s="31">
        <f t="shared" si="2"/>
        <v>15.09433962264151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150</v>
      </c>
      <c r="D30" s="30">
        <v>180</v>
      </c>
      <c r="E30" s="30">
        <v>160</v>
      </c>
      <c r="F30" s="30">
        <v>180</v>
      </c>
      <c r="G30" s="30">
        <v>125</v>
      </c>
      <c r="H30" s="30">
        <v>180</v>
      </c>
      <c r="I30" s="31">
        <f t="shared" si="2"/>
        <v>8.1967213114754092</v>
      </c>
      <c r="J30" s="62">
        <v>160</v>
      </c>
      <c r="K30" s="62">
        <v>185</v>
      </c>
      <c r="L30" s="32">
        <f t="shared" si="3"/>
        <v>-4.3478260869565215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115</v>
      </c>
      <c r="K32" s="62">
        <v>120</v>
      </c>
      <c r="L32" s="32">
        <f t="shared" si="3"/>
        <v>-12.76595744680851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50</v>
      </c>
      <c r="K33" s="62">
        <v>55</v>
      </c>
      <c r="L33" s="32">
        <f t="shared" si="3"/>
        <v>-47.619047619047613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105</v>
      </c>
      <c r="K35" s="62">
        <v>115</v>
      </c>
      <c r="L35" s="32">
        <f t="shared" ref="L35:L50" si="5">((C35+D35)/2-(J35+K35)/2)/((J35+K35)/2)*100</f>
        <v>-27.27272727272727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80</v>
      </c>
      <c r="K36" s="62">
        <v>100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-8</v>
      </c>
      <c r="J37" s="62">
        <v>200</v>
      </c>
      <c r="K37" s="62">
        <v>220</v>
      </c>
      <c r="L37" s="32">
        <f t="shared" si="5"/>
        <v>-45.238095238095241</v>
      </c>
    </row>
    <row r="38" spans="1:12" ht="21.75">
      <c r="A38" s="76" t="s">
        <v>46</v>
      </c>
      <c r="B38" s="6" t="s">
        <v>18</v>
      </c>
      <c r="C38" s="30">
        <v>140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62">
        <v>200</v>
      </c>
      <c r="K38" s="62">
        <v>220</v>
      </c>
      <c r="L38" s="32">
        <f t="shared" si="5"/>
        <v>-19.047619047619047</v>
      </c>
    </row>
    <row r="39" spans="1:12" ht="21.75">
      <c r="A39" s="76" t="s">
        <v>47</v>
      </c>
      <c r="B39" s="6" t="s">
        <v>18</v>
      </c>
      <c r="C39" s="30">
        <v>250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5.2631578947368416</v>
      </c>
      <c r="J39" s="62">
        <v>320</v>
      </c>
      <c r="K39" s="62">
        <v>400</v>
      </c>
      <c r="L39" s="32">
        <f t="shared" si="5"/>
        <v>-16.666666666666664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150</v>
      </c>
      <c r="D44" s="30">
        <v>270</v>
      </c>
      <c r="E44" s="30">
        <v>180</v>
      </c>
      <c r="F44" s="30">
        <v>280</v>
      </c>
      <c r="G44" s="30">
        <v>120</v>
      </c>
      <c r="H44" s="30">
        <v>200</v>
      </c>
      <c r="I44" s="31">
        <f t="shared" si="4"/>
        <v>31.25</v>
      </c>
      <c r="J44" s="62">
        <v>200</v>
      </c>
      <c r="K44" s="62">
        <v>260</v>
      </c>
      <c r="L44" s="32">
        <f t="shared" si="5"/>
        <v>-8.695652173913043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680</v>
      </c>
      <c r="K45" s="62">
        <v>800</v>
      </c>
      <c r="L45" s="32">
        <f t="shared" si="5"/>
        <v>-8.7837837837837842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600</v>
      </c>
      <c r="I46" s="31">
        <f t="shared" si="4"/>
        <v>1.8518518518518516</v>
      </c>
      <c r="J46" s="62">
        <v>500</v>
      </c>
      <c r="K46" s="62">
        <v>600</v>
      </c>
      <c r="L46" s="32">
        <f t="shared" si="5"/>
        <v>0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1300</v>
      </c>
      <c r="K47" s="62">
        <v>1600</v>
      </c>
      <c r="L47" s="32">
        <f t="shared" si="5"/>
        <v>3.4482758620689653</v>
      </c>
    </row>
    <row r="48" spans="1:12" ht="21.75">
      <c r="A48" s="76" t="s">
        <v>56</v>
      </c>
      <c r="B48" s="6" t="s">
        <v>18</v>
      </c>
      <c r="C48" s="30">
        <v>4600</v>
      </c>
      <c r="D48" s="30">
        <v>5400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4.1666666666666661</v>
      </c>
      <c r="J48" s="62">
        <v>3200</v>
      </c>
      <c r="K48" s="62">
        <v>3600</v>
      </c>
      <c r="L48" s="32">
        <f t="shared" si="5"/>
        <v>47.058823529411761</v>
      </c>
    </row>
    <row r="49" spans="1:12" ht="21.75">
      <c r="A49" s="76" t="s">
        <v>57</v>
      </c>
      <c r="B49" s="6" t="s">
        <v>18</v>
      </c>
      <c r="C49" s="30">
        <v>200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62">
        <v>220</v>
      </c>
      <c r="K49" s="62">
        <v>260</v>
      </c>
      <c r="L49" s="32">
        <f t="shared" si="5"/>
        <v>0</v>
      </c>
    </row>
    <row r="50" spans="1:12" ht="21.75">
      <c r="A50" s="76" t="s">
        <v>58</v>
      </c>
      <c r="B50" s="6" t="s">
        <v>18</v>
      </c>
      <c r="C50" s="30">
        <v>200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62">
        <v>150</v>
      </c>
      <c r="K50" s="62">
        <v>200</v>
      </c>
      <c r="L50" s="32">
        <f t="shared" si="5"/>
        <v>20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350</v>
      </c>
      <c r="K52" s="62">
        <v>400</v>
      </c>
      <c r="L52" s="32">
        <f t="shared" ref="L52:L57" si="7">((C52+D52)/2-(J52+K52)/2)/((J52+K52)/2)*100</f>
        <v>0</v>
      </c>
    </row>
    <row r="53" spans="1:12" ht="21.75">
      <c r="A53" s="76" t="s">
        <v>61</v>
      </c>
      <c r="B53" s="6" t="s">
        <v>18</v>
      </c>
      <c r="C53" s="30">
        <v>900</v>
      </c>
      <c r="D53" s="30">
        <v>2200</v>
      </c>
      <c r="E53" s="30">
        <v>800</v>
      </c>
      <c r="F53" s="30">
        <v>2000</v>
      </c>
      <c r="G53" s="30">
        <v>1000</v>
      </c>
      <c r="H53" s="30">
        <v>2000</v>
      </c>
      <c r="I53" s="31">
        <f t="shared" si="6"/>
        <v>3.3333333333333335</v>
      </c>
      <c r="J53" s="62">
        <v>800</v>
      </c>
      <c r="K53" s="62">
        <v>1600</v>
      </c>
      <c r="L53" s="32">
        <f t="shared" si="7"/>
        <v>29.166666666666668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700</v>
      </c>
      <c r="K54" s="62">
        <v>780</v>
      </c>
      <c r="L54" s="32">
        <f t="shared" si="7"/>
        <v>4.7297297297297298</v>
      </c>
    </row>
    <row r="55" spans="1:12" ht="21.75">
      <c r="A55" s="76" t="s">
        <v>94</v>
      </c>
      <c r="B55" s="6" t="s">
        <v>18</v>
      </c>
      <c r="C55" s="30">
        <v>1000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62">
        <v>950</v>
      </c>
      <c r="K55" s="62">
        <v>1100</v>
      </c>
      <c r="L55" s="32">
        <f t="shared" si="7"/>
        <v>9.7560975609756095</v>
      </c>
    </row>
    <row r="56" spans="1:12" ht="21.75">
      <c r="A56" s="76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175</v>
      </c>
      <c r="G56" s="30">
        <v>150</v>
      </c>
      <c r="H56" s="30">
        <v>170</v>
      </c>
      <c r="I56" s="31">
        <f t="shared" si="6"/>
        <v>10.9375</v>
      </c>
      <c r="J56" s="62">
        <v>160</v>
      </c>
      <c r="K56" s="62">
        <v>170</v>
      </c>
      <c r="L56" s="32">
        <f t="shared" si="7"/>
        <v>7.5757575757575761</v>
      </c>
    </row>
    <row r="57" spans="1:12" ht="21.75">
      <c r="A57" s="76" t="s">
        <v>63</v>
      </c>
      <c r="B57" s="6" t="s">
        <v>18</v>
      </c>
      <c r="C57" s="30">
        <v>550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62">
        <v>520</v>
      </c>
      <c r="K57" s="62">
        <v>650</v>
      </c>
      <c r="L57" s="32">
        <f t="shared" si="7"/>
        <v>6.8376068376068382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0.5714285714285714</v>
      </c>
      <c r="J60" s="62">
        <v>800</v>
      </c>
      <c r="K60" s="62">
        <v>820</v>
      </c>
      <c r="L60" s="32">
        <f>((C60+D60)/2-(J60+K60)/2)/((J60+K60)/2)*100</f>
        <v>8.6419753086419746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45890</v>
      </c>
      <c r="D67" s="92"/>
      <c r="E67" s="93">
        <v>45883</v>
      </c>
      <c r="F67" s="92"/>
      <c r="G67" s="93">
        <v>45859</v>
      </c>
      <c r="H67" s="92"/>
      <c r="I67" s="27" t="s">
        <v>12</v>
      </c>
      <c r="J67" s="101">
        <v>45525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-2.2727272727272729</v>
      </c>
      <c r="J69" s="62">
        <v>130</v>
      </c>
      <c r="K69" s="62">
        <v>135</v>
      </c>
      <c r="L69" s="32">
        <f t="shared" ref="L69:L75" si="8">((C69+D69)/2-(J69+K69)/2)/((J69+K69)/2)*100</f>
        <v>-18.867924528301888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450</v>
      </c>
      <c r="L70" s="32">
        <f t="shared" si="8"/>
        <v>10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63">
        <v>48</v>
      </c>
      <c r="K72" s="63">
        <v>50</v>
      </c>
      <c r="L72" s="32">
        <f t="shared" si="8"/>
        <v>-3.0612244897959182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114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.75">
      <c r="A83" s="5" t="s">
        <v>21</v>
      </c>
      <c r="B83" s="6" t="s">
        <v>18</v>
      </c>
      <c r="C83" s="30">
        <v>44</v>
      </c>
      <c r="D83" s="30">
        <v>50</v>
      </c>
      <c r="E83" s="30">
        <v>42</v>
      </c>
      <c r="F83" s="30">
        <v>45</v>
      </c>
      <c r="G83" s="7">
        <f t="shared" ref="G83:G96" si="10">((C83+D83)/2-(E83+F83)/2)/((E83+F83)/2)*100</f>
        <v>8.0459770114942533</v>
      </c>
      <c r="H83" s="5" t="s">
        <v>122</v>
      </c>
      <c r="I83" s="6"/>
      <c r="J83" s="6"/>
      <c r="K83" s="51"/>
      <c r="L83" s="18"/>
    </row>
    <row r="84" spans="1:12" ht="21.75">
      <c r="A84" s="5" t="s">
        <v>22</v>
      </c>
      <c r="B84" s="6" t="s">
        <v>23</v>
      </c>
      <c r="C84" s="30">
        <v>55</v>
      </c>
      <c r="D84" s="30">
        <v>65</v>
      </c>
      <c r="E84" s="30">
        <v>52</v>
      </c>
      <c r="F84" s="30">
        <v>60</v>
      </c>
      <c r="G84" s="7">
        <f t="shared" si="10"/>
        <v>7.1428571428571423</v>
      </c>
      <c r="H84" s="5" t="s">
        <v>120</v>
      </c>
      <c r="I84" s="6"/>
      <c r="J84" s="6"/>
      <c r="K84" s="51"/>
      <c r="L84" s="18"/>
    </row>
    <row r="85" spans="1:12" ht="21.75">
      <c r="A85" s="76" t="s">
        <v>27</v>
      </c>
      <c r="B85" s="6" t="s">
        <v>28</v>
      </c>
      <c r="C85" s="30">
        <v>165</v>
      </c>
      <c r="D85" s="30">
        <v>172</v>
      </c>
      <c r="E85" s="30">
        <v>162</v>
      </c>
      <c r="F85" s="30">
        <v>172</v>
      </c>
      <c r="G85" s="7">
        <f t="shared" si="10"/>
        <v>0.89820359281437123</v>
      </c>
      <c r="H85" s="5" t="s">
        <v>118</v>
      </c>
      <c r="I85" s="6"/>
      <c r="J85" s="6"/>
      <c r="K85" s="51"/>
      <c r="L85" s="18"/>
    </row>
    <row r="86" spans="1:12" ht="21.75">
      <c r="A86" s="76" t="s">
        <v>29</v>
      </c>
      <c r="B86" s="6" t="s">
        <v>31</v>
      </c>
      <c r="C86" s="30">
        <v>372</v>
      </c>
      <c r="D86" s="30">
        <v>378</v>
      </c>
      <c r="E86" s="30">
        <v>370</v>
      </c>
      <c r="F86" s="30">
        <v>378</v>
      </c>
      <c r="G86" s="7">
        <f t="shared" si="10"/>
        <v>0.26737967914438499</v>
      </c>
      <c r="H86" s="5" t="s">
        <v>122</v>
      </c>
      <c r="I86" s="6"/>
      <c r="J86" s="6"/>
      <c r="K86" s="51"/>
      <c r="L86" s="18"/>
    </row>
    <row r="87" spans="1:12" ht="21.75">
      <c r="A87" s="76" t="s">
        <v>29</v>
      </c>
      <c r="B87" s="6" t="s">
        <v>32</v>
      </c>
      <c r="C87" s="30">
        <v>188</v>
      </c>
      <c r="D87" s="30">
        <v>190</v>
      </c>
      <c r="E87" s="30">
        <v>185</v>
      </c>
      <c r="F87" s="30">
        <v>190</v>
      </c>
      <c r="G87" s="7">
        <f t="shared" si="10"/>
        <v>0.8</v>
      </c>
      <c r="H87" s="5" t="s">
        <v>118</v>
      </c>
      <c r="I87" s="6"/>
      <c r="J87" s="6"/>
      <c r="K87" s="51"/>
      <c r="L87" s="18"/>
    </row>
    <row r="88" spans="1:12" ht="21.75">
      <c r="A88" s="76" t="s">
        <v>33</v>
      </c>
      <c r="B88" s="6" t="s">
        <v>28</v>
      </c>
      <c r="C88" s="30">
        <v>150</v>
      </c>
      <c r="D88" s="30">
        <v>158</v>
      </c>
      <c r="E88" s="30">
        <v>150</v>
      </c>
      <c r="F88" s="30">
        <v>160</v>
      </c>
      <c r="G88" s="7">
        <f t="shared" si="10"/>
        <v>-0.64516129032258063</v>
      </c>
      <c r="H88" s="5" t="s">
        <v>119</v>
      </c>
      <c r="I88" s="6"/>
      <c r="J88" s="6"/>
      <c r="K88" s="51"/>
      <c r="L88" s="18"/>
    </row>
    <row r="89" spans="1:12" ht="21.75">
      <c r="A89" s="76" t="s">
        <v>45</v>
      </c>
      <c r="B89" s="6" t="s">
        <v>18</v>
      </c>
      <c r="C89" s="30">
        <v>80</v>
      </c>
      <c r="D89" s="30">
        <v>150</v>
      </c>
      <c r="E89" s="30">
        <v>80</v>
      </c>
      <c r="F89" s="30">
        <v>160</v>
      </c>
      <c r="G89" s="7">
        <f t="shared" si="10"/>
        <v>-4.1666666666666661</v>
      </c>
      <c r="H89" s="5" t="s">
        <v>121</v>
      </c>
      <c r="I89" s="6"/>
      <c r="J89" s="6"/>
      <c r="K89" s="51"/>
      <c r="L89" s="18"/>
    </row>
    <row r="90" spans="1:12" ht="21.75">
      <c r="A90" s="76" t="s">
        <v>46</v>
      </c>
      <c r="B90" s="6" t="s">
        <v>18</v>
      </c>
      <c r="C90" s="30">
        <v>140</v>
      </c>
      <c r="D90" s="30">
        <v>200</v>
      </c>
      <c r="E90" s="30">
        <v>160</v>
      </c>
      <c r="F90" s="30">
        <v>200</v>
      </c>
      <c r="G90" s="7">
        <f>((C90+D90)/2-(E90+F90)/2)/((E90+F90)/2)*100</f>
        <v>-5.5555555555555554</v>
      </c>
      <c r="H90" s="5" t="s">
        <v>123</v>
      </c>
      <c r="I90" s="6"/>
      <c r="J90" s="6"/>
      <c r="K90" s="51"/>
      <c r="L90" s="18"/>
    </row>
    <row r="91" spans="1:12" ht="21.75">
      <c r="A91" s="76" t="s">
        <v>52</v>
      </c>
      <c r="B91" s="6" t="s">
        <v>18</v>
      </c>
      <c r="C91" s="30">
        <v>150</v>
      </c>
      <c r="D91" s="30">
        <v>270</v>
      </c>
      <c r="E91" s="30">
        <v>180</v>
      </c>
      <c r="F91" s="30">
        <v>280</v>
      </c>
      <c r="G91" s="7">
        <f t="shared" si="10"/>
        <v>-8.695652173913043</v>
      </c>
      <c r="H91" s="5" t="s">
        <v>128</v>
      </c>
      <c r="I91" s="6"/>
      <c r="J91" s="6"/>
      <c r="K91" s="51"/>
      <c r="L91" s="18"/>
    </row>
    <row r="92" spans="1:12" ht="21.75">
      <c r="A92" s="76" t="s">
        <v>56</v>
      </c>
      <c r="B92" s="6" t="s">
        <v>18</v>
      </c>
      <c r="C92" s="30">
        <v>4600</v>
      </c>
      <c r="D92" s="30">
        <v>5400</v>
      </c>
      <c r="E92" s="30">
        <v>4500</v>
      </c>
      <c r="F92" s="30">
        <v>5200</v>
      </c>
      <c r="G92" s="7">
        <f>((C92+D92)/2-(E92+F92)/2)/((E92+F92)/2)*100</f>
        <v>3.0927835051546393</v>
      </c>
      <c r="H92" s="5" t="s">
        <v>124</v>
      </c>
      <c r="I92" s="6"/>
      <c r="J92" s="6"/>
      <c r="K92" s="51"/>
      <c r="L92" s="18"/>
    </row>
    <row r="93" spans="1:12" ht="21.75">
      <c r="A93" s="76" t="s">
        <v>57</v>
      </c>
      <c r="B93" s="6" t="s">
        <v>18</v>
      </c>
      <c r="C93" s="30">
        <v>200</v>
      </c>
      <c r="D93" s="30">
        <v>280</v>
      </c>
      <c r="E93" s="30">
        <v>180</v>
      </c>
      <c r="F93" s="30">
        <v>280</v>
      </c>
      <c r="G93" s="7">
        <f>((C93+D93)/2-(E93+F93)/2)/((E93+F93)/2)*100</f>
        <v>4.3478260869565215</v>
      </c>
      <c r="H93" s="5" t="s">
        <v>129</v>
      </c>
      <c r="I93" s="6"/>
      <c r="J93" s="6"/>
      <c r="K93" s="51"/>
      <c r="L93" s="18"/>
    </row>
    <row r="94" spans="1:12" ht="21.75">
      <c r="A94" s="76" t="s">
        <v>58</v>
      </c>
      <c r="B94" s="6" t="s">
        <v>18</v>
      </c>
      <c r="C94" s="30">
        <v>200</v>
      </c>
      <c r="D94" s="30">
        <v>220</v>
      </c>
      <c r="E94" s="30">
        <v>180</v>
      </c>
      <c r="F94" s="30">
        <v>220</v>
      </c>
      <c r="G94" s="7">
        <f t="shared" si="10"/>
        <v>5</v>
      </c>
      <c r="H94" s="5" t="s">
        <v>129</v>
      </c>
      <c r="I94" s="6"/>
      <c r="J94" s="6"/>
      <c r="K94" s="51"/>
      <c r="L94" s="18"/>
    </row>
    <row r="95" spans="1:12" ht="21.75">
      <c r="A95" s="76" t="s">
        <v>62</v>
      </c>
      <c r="B95" s="6" t="s">
        <v>18</v>
      </c>
      <c r="C95" s="30">
        <v>170</v>
      </c>
      <c r="D95" s="30">
        <v>185</v>
      </c>
      <c r="E95" s="30">
        <v>160</v>
      </c>
      <c r="F95" s="30">
        <v>175</v>
      </c>
      <c r="G95" s="7">
        <f t="shared" si="10"/>
        <v>5.9701492537313428</v>
      </c>
      <c r="H95" s="5" t="s">
        <v>120</v>
      </c>
      <c r="I95" s="6"/>
      <c r="J95" s="6"/>
      <c r="K95" s="51"/>
      <c r="L95" s="18"/>
    </row>
    <row r="96" spans="1:12" ht="21.75">
      <c r="A96" s="76" t="s">
        <v>71</v>
      </c>
      <c r="B96" s="6" t="s">
        <v>18</v>
      </c>
      <c r="C96" s="30">
        <v>105</v>
      </c>
      <c r="D96" s="30">
        <v>110</v>
      </c>
      <c r="E96" s="30">
        <v>105</v>
      </c>
      <c r="F96" s="30">
        <v>115</v>
      </c>
      <c r="G96" s="7">
        <f t="shared" si="10"/>
        <v>-2.2727272727272729</v>
      </c>
      <c r="H96" s="5" t="s">
        <v>115</v>
      </c>
      <c r="I96" s="6"/>
      <c r="J96" s="6"/>
      <c r="K96" s="51"/>
      <c r="L96" s="18"/>
    </row>
    <row r="97" spans="1:12" ht="21.75">
      <c r="A97" s="79"/>
      <c r="B97" s="3"/>
      <c r="C97" s="90"/>
      <c r="D97" s="90"/>
      <c r="E97" s="90"/>
      <c r="F97" s="90"/>
      <c r="G97" s="10"/>
      <c r="H97" s="1"/>
      <c r="I97" s="3"/>
      <c r="J97" s="3"/>
      <c r="K97" s="51"/>
      <c r="L97" s="18"/>
    </row>
    <row r="98" spans="1:12" ht="21.75">
      <c r="A98" s="79"/>
      <c r="B98" s="3"/>
      <c r="C98" s="90"/>
      <c r="D98" s="90"/>
      <c r="E98" s="90"/>
      <c r="F98" s="90"/>
      <c r="G98" s="10"/>
      <c r="H98" s="1"/>
      <c r="I98" s="3"/>
      <c r="J98" s="3"/>
      <c r="K98" s="51"/>
      <c r="L98" s="18"/>
    </row>
    <row r="99" spans="1:12" ht="24.75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14"/>
      <c r="C101" s="15"/>
      <c r="D101" s="15"/>
      <c r="E101" s="14"/>
      <c r="F101" s="15"/>
      <c r="G101" s="39"/>
      <c r="H101" s="40"/>
      <c r="I101" s="41"/>
      <c r="J101" s="41"/>
      <c r="K101" s="41"/>
      <c r="L101" s="12"/>
    </row>
    <row r="102" spans="1:12" ht="24.75">
      <c r="A102" s="1"/>
      <c r="B102" s="42"/>
      <c r="C102" s="43" t="s">
        <v>116</v>
      </c>
      <c r="D102" s="11"/>
      <c r="E102" s="42"/>
      <c r="F102" s="14"/>
      <c r="G102" s="11"/>
      <c r="H102" s="40"/>
      <c r="I102" s="13"/>
      <c r="J102" s="14" t="s">
        <v>132</v>
      </c>
      <c r="K102" s="11"/>
      <c r="L102" s="11"/>
    </row>
    <row r="103" spans="1:12" ht="24.75">
      <c r="A103" s="1"/>
      <c r="B103" s="44"/>
      <c r="C103" s="43" t="s">
        <v>117</v>
      </c>
      <c r="D103" s="14"/>
      <c r="E103" s="42"/>
      <c r="F103" s="45"/>
      <c r="G103" s="47"/>
      <c r="H103" s="47"/>
      <c r="I103" s="86"/>
      <c r="J103" s="14" t="s">
        <v>133</v>
      </c>
      <c r="K103" s="14"/>
      <c r="L103" s="14"/>
    </row>
    <row r="104" spans="1:12" ht="24.75">
      <c r="A104" s="1"/>
      <c r="B104" s="14"/>
      <c r="C104" s="15"/>
      <c r="D104" s="14"/>
      <c r="E104" s="15"/>
      <c r="F104" s="45"/>
      <c r="G104" s="47"/>
      <c r="H104" s="47"/>
      <c r="I104" s="46"/>
      <c r="J104" s="11"/>
      <c r="K104" s="11"/>
      <c r="L104" s="2"/>
    </row>
    <row r="105" spans="1:12" ht="19.5">
      <c r="A105" s="56" t="s">
        <v>95</v>
      </c>
      <c r="B105" s="54"/>
      <c r="C105" s="52"/>
      <c r="D105" s="54"/>
      <c r="E105" s="52"/>
      <c r="F105" s="52"/>
      <c r="G105" s="52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2"/>
      <c r="D106" s="54"/>
      <c r="E106" s="52"/>
      <c r="F106" s="52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85</v>
      </c>
      <c r="B108" s="54"/>
      <c r="C108" s="54"/>
      <c r="D108" s="54"/>
      <c r="E108" s="54"/>
      <c r="F108" s="53"/>
      <c r="G108" s="53"/>
      <c r="H108" s="53"/>
      <c r="I108" s="58"/>
      <c r="J108" s="2"/>
      <c r="K108" s="2"/>
      <c r="L108" s="2"/>
    </row>
    <row r="109" spans="1:12" ht="19.5">
      <c r="A109" s="55" t="s">
        <v>99</v>
      </c>
      <c r="B109" s="54"/>
      <c r="C109" s="54"/>
      <c r="D109" s="54"/>
      <c r="E109" s="54"/>
      <c r="F109" s="54"/>
      <c r="G109" s="53"/>
      <c r="H109" s="53"/>
      <c r="I109" s="58"/>
      <c r="J109" s="2"/>
      <c r="K109" s="2"/>
      <c r="L109" s="2"/>
    </row>
    <row r="110" spans="1:12" ht="19.5">
      <c r="A110" s="55" t="s">
        <v>98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109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97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103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102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104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105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87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/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6" t="s">
        <v>88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89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90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91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">
      <c r="A125" s="60"/>
      <c r="B125" s="58"/>
      <c r="C125" s="58"/>
      <c r="D125" s="58"/>
      <c r="E125" s="58"/>
      <c r="F125" s="58"/>
      <c r="G125" s="58"/>
      <c r="H125" s="61"/>
      <c r="I125" s="59"/>
      <c r="J125" s="12"/>
      <c r="K125" s="12"/>
      <c r="L125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2025-08-21T09:39:55Z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