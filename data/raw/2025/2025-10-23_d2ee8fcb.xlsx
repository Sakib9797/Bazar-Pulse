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A1209D78-327A-4A0F-9DBA-1CC3AF88AD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84" i="4"/>
  <c r="G85" i="4"/>
  <c r="G86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<sst xmlns="http://schemas.openxmlformats.org/spreadsheetml/2006/main" count="229" uniqueCount="128">
  <si>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</si>
  <si>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</si>
  <si>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</si>
  <si>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</si>
  <si>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</si>
  <si>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</si>
  <si>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</si>
  <si>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</si>
  <si>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</si>
  <si>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</si>
  <si>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</si>
  <si>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</si>
  <si>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</si>
  <si>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</si>
  <si>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</si>
  <si>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</si>
  <si>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</si>
  <si>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</si>
  <si>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</si>
  <si>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</si>
  <si>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</si>
  <si>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</si>
  <si>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</si>
  <si>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</si>
  <si>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</si>
  <si>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</si>
  <si>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</si>
  <si>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</si>
  <si>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</si>
  <si>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</si>
  <si>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</si>
  <si>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</si>
  <si>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</si>
  <si>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</si>
  <si>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</si>
  <si>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</si>
  <si>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</si>
  <si>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</si>
  <si>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</si>
  <si>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</si>
  <si>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</si>
  <si>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</si>
  <si>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</si>
  <si>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</si>
  <si>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</si>
  <si>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</si>
  <si>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</si>
  <si>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</si>
  <si>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</si>
  <si>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</si>
  <si>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</si>
  <si>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</si>
  <si>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</si>
  <si>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</si>
  <si>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</si>
  <si>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</si>
  <si>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</si>
  <si>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</si>
  <si>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</si>
  <si>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</si>
  <si>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</si>
  <si>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</si>
  <si>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</si>
  <si>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</si>
  <si>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</si>
  <si>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</si>
  <si>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</si>
  <si>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</si>
  <si>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</si>
  <si>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</si>
  <si>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</si>
  <si>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</si>
  <si>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</si>
  <si>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</si>
  <si>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</si>
  <si>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</si>
  <si>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</si>
  <si>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</si>
  <si>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</si>
  <si>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</si>
  <si>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</si>
  <si>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</si>
  <si>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</si>
  <si>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</si>
  <si>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</si>
  <si>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</si>
  <si>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</si>
  <si>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</si>
  <si>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</si>
  <si>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</si>
  <si>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</si>
  <si>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</si>
  <si>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</si>
  <si>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</si>
  <si>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</si>
  <si>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</si>
  <si>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</si>
  <si>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</si>
  <si>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</si>
  <si>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</si>
  <si>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</si>
  <si>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</si>
  <si>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</si>
  <si>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</si>
  <si>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</si>
  <si>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</si>
  <si>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</si>
  <si>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</si>
  <si>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</si>
  <si>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</si>
  <si>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</si>
  <si>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</si>
  <si>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</si>
  <si>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</si>
  <si>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</si>
  <si>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</si>
  <si>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</si>
  <si>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</si>
  <si>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</si>
  <si>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</si>
  <si>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</si>
  <si>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স্মারক নং-২৬.০৫.০০০০.০১৭.৩১.০১.২৫-৭৫৭</t>
  </si>
  <si>
    <t xml:space="preserve">বৃহস্পতিবার ২৩ অক্টোবর ২০২৫ খ্রিঃ, ০৭ কার্তিক ১৪৩২ বাংলা, ২৮ রবিউল সানি ১৪৪৭ হিজরি </t>
  </si>
  <si>
    <t xml:space="preserve">   সিরিয়াল নংঃ     ২৬৩</t>
  </si>
  <si>
    <t>২৩-১০-২০২৫ তারিখে মূল্য হ্রাস পেয়েছে।</t>
  </si>
  <si>
    <t>২৩-১০-২০২৫ তারিখে মূল্য বৃদ্ধি পেয়েছে।</t>
  </si>
  <si>
    <t>(১)    সয়াবিন তেল (১লি:, ৫লি: বোতল), পাম অয়েল (লুজ)    এর মূল্য বৃদ্ধি পেয়েছে।</t>
  </si>
  <si>
    <t>(২ )    পেঁয়াজ (দেশী), এম এস রড (৬০,৪০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</si>
</sst>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74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"/>
      <c r="I5" s="8"/>
      <c r="J5" s="8"/>
      <c r="K5" s="8"/>
      <c r="L5" s="49"/>
    </row>
    <row r="6" spans="1:12" ht="21.75">
      <c r="A6" s="20" t="s">
        <v>121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45953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45953</v>
      </c>
      <c r="D8" s="84"/>
      <c r="E8" s="83">
        <v>45946</v>
      </c>
      <c r="F8" s="84"/>
      <c r="G8" s="83">
        <v>45923</v>
      </c>
      <c r="H8" s="84"/>
      <c r="I8" s="26" t="s">
        <v>12</v>
      </c>
      <c r="J8" s="83">
        <v>45588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153</v>
      </c>
      <c r="K19" s="29">
        <v>156</v>
      </c>
      <c r="L19" s="31">
        <f t="shared" ref="L19:L25" si="1">((C19+D19)/2-(J19+K19)/2)/((J19+K19)/2)*100</f>
        <v>13.915857605177994</v>
      </c>
    </row>
    <row r="20" spans="1:12" ht="21.75">
      <c r="A20" s="69" t="s">
        <v>29</v>
      </c>
      <c r="B20" s="6" t="s">
        <v>30</v>
      </c>
      <c r="C20" s="29">
        <v>910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1.6574585635359116</v>
      </c>
      <c r="J20" s="29">
        <v>800</v>
      </c>
      <c r="K20" s="29">
        <v>810</v>
      </c>
      <c r="L20" s="31">
        <f t="shared" si="1"/>
        <v>14.285714285714285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149</v>
      </c>
      <c r="L23" s="31">
        <f t="shared" si="1"/>
        <v>6.7340067340067336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165</v>
      </c>
      <c r="I24" s="30">
        <f t="shared" si="0"/>
        <v>0.9375</v>
      </c>
      <c r="J24" s="29">
        <v>150</v>
      </c>
      <c r="K24" s="29">
        <v>151</v>
      </c>
      <c r="L24" s="31">
        <f t="shared" si="1"/>
        <v>7.3089700996677749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85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115</v>
      </c>
      <c r="K35" s="29">
        <v>130</v>
      </c>
      <c r="L35" s="31">
        <f t="shared" ref="L35:L50" si="5">((C35+D35)/2-(J35+K35)/2)/((J35+K35)/2)*100</f>
        <v>-38.775510204081634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180</v>
      </c>
      <c r="F43" s="29">
        <v>200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130</v>
      </c>
      <c r="F44" s="29">
        <v>250</v>
      </c>
      <c r="G44" s="29">
        <v>140</v>
      </c>
      <c r="H44" s="29">
        <v>250</v>
      </c>
      <c r="I44" s="30">
        <f t="shared" si="4"/>
        <v>-2.5641025641025639</v>
      </c>
      <c r="J44" s="29">
        <v>180</v>
      </c>
      <c r="K44" s="29">
        <v>300</v>
      </c>
      <c r="L44" s="31">
        <f t="shared" si="5"/>
        <v>-20.833333333333336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750</v>
      </c>
      <c r="L54" s="31">
        <f t="shared" si="7"/>
        <v>6.8965517241379306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45953</v>
      </c>
      <c r="D67" s="84"/>
      <c r="E67" s="83">
        <v>45946</v>
      </c>
      <c r="F67" s="84"/>
      <c r="G67" s="83">
        <v>45923</v>
      </c>
      <c r="H67" s="84"/>
      <c r="I67" s="26" t="s">
        <v>12</v>
      </c>
      <c r="J67" s="83">
        <v>45588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128</v>
      </c>
      <c r="K69" s="29">
        <v>135</v>
      </c>
      <c r="L69" s="31">
        <f t="shared" ref="L69:L75" si="8">((C69+D69)/2-(J69+K69)/2)/((J69+K69)/2)*100</f>
        <v>-20.15209125475285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119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29</v>
      </c>
      <c r="B83" s="6" t="s">
        <v>30</v>
      </c>
      <c r="C83" s="29">
        <v>910</v>
      </c>
      <c r="D83" s="29">
        <v>930</v>
      </c>
      <c r="E83" s="29">
        <v>900</v>
      </c>
      <c r="F83" s="29">
        <v>930</v>
      </c>
      <c r="G83" s="7">
        <f t="shared" ref="G83" si="10">((C83+D83)/2-(E83+F83)/2)/((E83+F83)/2)*100</f>
        <v>0.54644808743169404</v>
      </c>
      <c r="H83" s="5" t="s">
        <v>125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195</v>
      </c>
      <c r="E84" s="29">
        <v>188</v>
      </c>
      <c r="F84" s="29">
        <v>195</v>
      </c>
      <c r="G84" s="7">
        <f>((C84+D84)/2-(E84+F84)/2)/((E84+F84)/2)*100</f>
        <v>0.26109660574412535</v>
      </c>
      <c r="H84" s="5" t="s">
        <v>125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153</v>
      </c>
      <c r="F85" s="29">
        <v>162</v>
      </c>
      <c r="G85" s="7">
        <f>((C85+D85)/2-(E85+F85)/2)/((E85+F85)/2)*100</f>
        <v>0.63492063492063489</v>
      </c>
      <c r="H85" s="5" t="s">
        <v>120</v>
      </c>
      <c r="I85" s="6"/>
      <c r="J85" s="6"/>
      <c r="K85" s="11"/>
      <c r="L85" s="11"/>
    </row>
    <row r="86" spans="1:12" ht="21.75">
      <c r="A86" s="69" t="s">
        <v>90</v>
      </c>
      <c r="B86" s="6" t="s">
        <v>18</v>
      </c>
      <c r="C86" s="29">
        <v>70</v>
      </c>
      <c r="D86" s="29">
        <v>80</v>
      </c>
      <c r="E86" s="29">
        <v>70</v>
      </c>
      <c r="F86" s="29">
        <v>85</v>
      </c>
      <c r="G86" s="7">
        <f t="shared" ref="G86" si="11">((C86+D86)/2-(E86+F86)/2)/((E86+F86)/2)*100</f>
        <v>-3.225806451612903</v>
      </c>
      <c r="H86" s="5" t="s">
        <v>124</v>
      </c>
      <c r="I86" s="6"/>
      <c r="J86" s="6"/>
      <c r="K86" s="11"/>
      <c r="L86" s="11"/>
    </row>
    <row r="87" spans="1:12" ht="24.75">
      <c r="A87" s="69" t="s">
        <v>77</v>
      </c>
      <c r="B87" s="6" t="s">
        <v>78</v>
      </c>
      <c r="C87" s="37">
        <v>81000</v>
      </c>
      <c r="D87" s="37">
        <v>84000</v>
      </c>
      <c r="E87" s="37">
        <v>83500</v>
      </c>
      <c r="F87" s="37">
        <v>86000</v>
      </c>
      <c r="G87" s="7">
        <f t="shared" ref="G87:G88" si="12">((C87+D87)/2-(E87+F87)/2)/((E87+F87)/2)*100</f>
        <v>-2.6548672566371683</v>
      </c>
      <c r="H87" s="5" t="s">
        <v>124</v>
      </c>
      <c r="I87" s="6"/>
      <c r="J87" s="6"/>
      <c r="K87" s="40"/>
      <c r="L87" s="11"/>
    </row>
    <row r="88" spans="1:12" ht="24.75">
      <c r="A88" s="69" t="s">
        <v>79</v>
      </c>
      <c r="B88" s="6" t="s">
        <v>78</v>
      </c>
      <c r="C88" s="37">
        <v>75000</v>
      </c>
      <c r="D88" s="37">
        <v>77000</v>
      </c>
      <c r="E88" s="37">
        <v>76000</v>
      </c>
      <c r="F88" s="37">
        <v>79000</v>
      </c>
      <c r="G88" s="7">
        <f t="shared" si="12"/>
        <v>-1.935483870967742</v>
      </c>
      <c r="H88" s="5" t="s">
        <v>124</v>
      </c>
      <c r="I88" s="6"/>
      <c r="J88" s="6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9"/>
      <c r="H89" s="1"/>
      <c r="I89" s="3"/>
      <c r="J89" s="3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1"/>
      <c r="B92" s="41"/>
      <c r="C92" s="42" t="s">
        <v>115</v>
      </c>
      <c r="D92" s="10"/>
      <c r="E92" s="41"/>
      <c r="F92" s="13"/>
      <c r="G92" s="10"/>
      <c r="H92" s="39"/>
      <c r="I92" s="12"/>
      <c r="J92" s="13" t="s">
        <v>117</v>
      </c>
      <c r="K92" s="10"/>
      <c r="L92" s="10"/>
    </row>
    <row r="93" spans="1:12" ht="24.75">
      <c r="A93" s="1"/>
      <c r="B93" s="43"/>
      <c r="C93" s="42" t="s">
        <v>116</v>
      </c>
      <c r="D93" s="13"/>
      <c r="E93" s="41"/>
      <c r="F93" s="44"/>
      <c r="G93" s="46"/>
      <c r="H93" s="46"/>
      <c r="I93" s="76"/>
      <c r="J93" s="13" t="s">
        <v>118</v>
      </c>
      <c r="K93" s="13"/>
      <c r="L93" s="13"/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93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99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98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85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107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114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113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112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2025-10-23T09:42:34Z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