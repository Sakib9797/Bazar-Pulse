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3508BDB8-27BB-A44D-9AE7-4E19B490119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<sst xmlns="http://schemas.openxmlformats.org/spreadsheetml/2006/main" count="220" uniqueCount="130">
  <si>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</si>
  <si>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</si>
  <si>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</si>
  <si>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</si>
  <si>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</si>
  <si>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</si>
  <si>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</si>
  <si>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</si>
  <si>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</si>
  <si>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</si>
  <si>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</si>
  <si>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</si>
  <si>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</si>
  <si>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</si>
  <si>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</si>
  <si>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</si>
  <si>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</si>
  <si>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</si>
  <si>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</si>
  <si>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</si>
  <si>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</si>
  <si>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</si>
  <si>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</si>
  <si>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</si>
  <si>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</si>
  <si>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</si>
  <si>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</si>
  <si>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</si>
  <si>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</si>
  <si>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</si>
  <si>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</si>
  <si>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</si>
  <si>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</si>
  <si>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</si>
  <si>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</si>
  <si>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</si>
  <si>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</si>
  <si>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</si>
  <si>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</si>
  <si>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</si>
  <si>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</si>
  <si>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</si>
  <si>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</si>
  <si>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</si>
  <si>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</si>
  <si>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</si>
  <si>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</si>
  <si>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</si>
  <si>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</si>
  <si>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</si>
  <si>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</si>
  <si>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</si>
  <si>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</si>
  <si>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</si>
  <si>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</si>
  <si>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</si>
  <si>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</si>
  <si>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</si>
  <si>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</si>
  <si>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</si>
  <si>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</si>
  <si>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</si>
  <si>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</si>
  <si>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</si>
  <si>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</si>
  <si>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</si>
  <si>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</si>
  <si>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</si>
  <si>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</si>
  <si>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</si>
  <si>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</si>
  <si>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</si>
  <si>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</si>
  <si>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</si>
  <si>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</si>
  <si>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</si>
  <si>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</si>
  <si>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</si>
  <si>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</si>
  <si>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</si>
  <si>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</si>
  <si>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</si>
  <si>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</si>
  <si>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</si>
  <si>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</si>
  <si>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</si>
  <si>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</si>
  <si>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</si>
  <si>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</si>
  <si>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</si>
  <si>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</si>
  <si>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</si>
  <si>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</si>
  <si>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</si>
  <si>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</si>
  <si>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</si>
  <si>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</si>
  <si>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</si>
  <si>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</si>
  <si>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</si>
  <si>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</si>
  <si>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</si>
  <si>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</si>
  <si>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</si>
  <si>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</si>
  <si>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</si>
  <si>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</si>
  <si>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</si>
  <si>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</si>
  <si>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</si>
  <si>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</si>
  <si>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</si>
  <si>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</si>
  <si>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</si>
  <si>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</si>
  <si>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</si>
  <si>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২৬-১০-২০২৫ তারিখে মূল্য বৃদ্ধি পেয়েছে।</t>
  </si>
  <si>
    <t>(মো: হুমায়ুন কবির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</si>
  <si>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</si>
  <si>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</si>
  <si>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</si>
  <si>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</si>
  <si>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৩০-১০-২০২৫ তারিখে মূল্য হ্রাস পেয়েছে।</t>
  </si>
  <si>
    <t>(১)     মসুর ডাল (মাঝারী)    এর মূল্য বৃদ্ধি পেয়েছে।</t>
  </si>
  <si>
    <t>স্মারক নং-২৬.০৫.০০০০.০১৭.৩১.০১.২৫-৭৮১</t>
  </si>
  <si>
    <t xml:space="preserve">শনিবার ০১ নভেম্বর ২০২৫ খ্রিঃ, ১৬ কার্তিক ১৪৩২ বাংলা, ০৯ জমা-আউ ১৪৪৭ হিজরি </t>
  </si>
  <si>
    <t xml:space="preserve">   সিরিয়াল নংঃ     ২৭২</t>
  </si>
  <si>
    <t>(২ )   সয়াবিন তেল (লুজ, ৫লি: বোতল)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</si>
</sst>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2"/>
  <sheetViews>
    <sheetView tabSelected="1" topLeftCell="B1" zoomScale="96" zoomScaleNormal="96" workbookViewId="0">
      <selection activeCell="B79" sqref="B79"/>
    </sheetView>
  </sheetViews>
  <sheetFormatPr defaultRowHeight="16.5" x14ac:dyDescent="0.25"/>
  <cols>
    <col min="1" max="1" width="16.0078125" customWidth="1"/>
    <col min="2" max="2" width="11.02734375" customWidth="1"/>
    <col min="3" max="3" width="9.55078125" customWidth="1"/>
    <col min="4" max="4" width="8.47265625" customWidth="1"/>
    <col min="5" max="5" width="9.14453125" customWidth="1"/>
    <col min="6" max="6" width="8.47265625" customWidth="1"/>
    <col min="7" max="7" width="9.55078125" customWidth="1"/>
    <col min="8" max="8" width="8.609375" customWidth="1"/>
    <col min="9" max="9" width="8.875" customWidth="1"/>
    <col min="10" max="10" width="9.953125" customWidth="1"/>
    <col min="11" max="11" width="9.4140625" customWidth="1"/>
    <col min="12" max="12" width="9.81640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45962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45962</v>
      </c>
      <c r="D8" s="84"/>
      <c r="E8" s="85">
        <v>45955</v>
      </c>
      <c r="F8" s="84"/>
      <c r="G8" s="85">
        <v>45930</v>
      </c>
      <c r="H8" s="84"/>
      <c r="I8" s="26" t="s">
        <v>12</v>
      </c>
      <c r="J8" s="85">
        <v>45597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70</v>
      </c>
      <c r="K10" s="29">
        <v>80</v>
      </c>
      <c r="L10" s="31">
        <f>((C10+D10)/2-(J10+K10)/2)/((J10+K10)/2)*100</f>
        <v>4.666666666666667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59</v>
      </c>
      <c r="K11" s="29">
        <v>65</v>
      </c>
      <c r="L11" s="31">
        <f>((C11+D11)/2-(J11+K11)/2)/((J11+K11)/2)*100</f>
        <v>4.838709677419355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170</v>
      </c>
      <c r="H19" s="29">
        <v>178</v>
      </c>
      <c r="I19" s="30">
        <f t="shared" ref="I19:I25" si="0">((C19+D19)/2-(G19+H19)/2)/((G19+H19)/2)*100</f>
        <v>0.57471264367816088</v>
      </c>
      <c r="J19" s="29">
        <v>158</v>
      </c>
      <c r="K19" s="29">
        <v>160</v>
      </c>
      <c r="L19" s="31">
        <f t="shared" ref="L19:L25" si="1">((C19+D19)/2-(J19+K19)/2)/((J19+K19)/2)*100</f>
        <v>10.062893081761008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930</v>
      </c>
      <c r="E20" s="29">
        <v>910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" x14ac:dyDescent="0.3">
      <c r="A23" s="69" t="s">
        <v>33</v>
      </c>
      <c r="B23" s="6" t="s">
        <v>28</v>
      </c>
      <c r="C23" s="29">
        <v>155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149</v>
      </c>
      <c r="K23" s="29">
        <v>150</v>
      </c>
      <c r="L23" s="31">
        <f t="shared" si="1"/>
        <v>6.0200668896321075</v>
      </c>
    </row>
    <row r="24" spans="1:12" ht="21" x14ac:dyDescent="0.3">
      <c r="A24" s="69" t="s">
        <v>106</v>
      </c>
      <c r="B24" s="6" t="s">
        <v>28</v>
      </c>
      <c r="C24" s="29">
        <v>158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0.62305295950155759</v>
      </c>
      <c r="J24" s="29">
        <v>151</v>
      </c>
      <c r="K24" s="29">
        <v>154</v>
      </c>
      <c r="L24" s="31">
        <f t="shared" si="1"/>
        <v>5.9016393442622954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130</v>
      </c>
      <c r="L32" s="31">
        <f t="shared" si="3"/>
        <v>-17.647058823529413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55</v>
      </c>
      <c r="K33" s="29">
        <v>65</v>
      </c>
      <c r="L33" s="31">
        <f t="shared" si="3"/>
        <v>-62.5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3.4482758620689653</v>
      </c>
      <c r="J35" s="29">
        <v>130</v>
      </c>
      <c r="K35" s="29">
        <v>150</v>
      </c>
      <c r="L35" s="31">
        <f t="shared" ref="L35:L50" si="5">((C35+D35)/2-(J35+K35)/2)/((J35+K35)/2)*100</f>
        <v>-46.428571428571431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230</v>
      </c>
      <c r="L38" s="31">
        <f t="shared" si="5"/>
        <v>-23.255813953488371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130</v>
      </c>
      <c r="D44" s="29">
        <v>220</v>
      </c>
      <c r="E44" s="29">
        <v>130</v>
      </c>
      <c r="F44" s="29">
        <v>220</v>
      </c>
      <c r="G44" s="29">
        <v>140</v>
      </c>
      <c r="H44" s="29">
        <v>250</v>
      </c>
      <c r="I44" s="30">
        <f t="shared" si="4"/>
        <v>-10.256410256410255</v>
      </c>
      <c r="J44" s="29">
        <v>150</v>
      </c>
      <c r="K44" s="29">
        <v>300</v>
      </c>
      <c r="L44" s="31">
        <f t="shared" si="5"/>
        <v>-22.222222222222221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150</v>
      </c>
      <c r="K50" s="29">
        <v>210</v>
      </c>
      <c r="L50" s="31">
        <f t="shared" si="5"/>
        <v>18.055555555555554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1200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-35.483870967741936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180</v>
      </c>
      <c r="K56" s="29">
        <v>210</v>
      </c>
      <c r="L56" s="31">
        <f t="shared" si="7"/>
        <v>-8.9743589743589745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45962</v>
      </c>
      <c r="D67" s="84"/>
      <c r="E67" s="85">
        <v>45955</v>
      </c>
      <c r="F67" s="84"/>
      <c r="G67" s="85">
        <v>45930</v>
      </c>
      <c r="H67" s="84"/>
      <c r="I67" s="26" t="s">
        <v>12</v>
      </c>
      <c r="J67" s="85">
        <v>45597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84000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77000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 x14ac:dyDescent="0.25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69" t="s">
        <v>27</v>
      </c>
      <c r="B83" s="6" t="s">
        <v>28</v>
      </c>
      <c r="C83" s="29">
        <v>170</v>
      </c>
      <c r="D83" s="29">
        <v>180</v>
      </c>
      <c r="E83" s="29">
        <v>172</v>
      </c>
      <c r="F83" s="29">
        <v>180</v>
      </c>
      <c r="G83" s="7">
        <f t="shared" ref="G83" si="10">((C83+D83)/2-(E83+F83)/2)/((E83+F83)/2)*100</f>
        <v>-0.56818181818181823</v>
      </c>
      <c r="H83" s="5" t="s">
        <v>119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30</v>
      </c>
      <c r="C84" s="29">
        <v>900</v>
      </c>
      <c r="D84" s="29">
        <v>930</v>
      </c>
      <c r="E84" s="29">
        <v>910</v>
      </c>
      <c r="F84" s="29">
        <v>930</v>
      </c>
      <c r="G84" s="7">
        <f>((C84+D84)/2-(E84+F84)/2)/((E84+F84)/2)*100</f>
        <v>-0.54347826086956519</v>
      </c>
      <c r="H84" s="5" t="s">
        <v>122</v>
      </c>
      <c r="I84" s="6"/>
      <c r="J84" s="6"/>
      <c r="K84" s="50"/>
      <c r="L84" s="17"/>
    </row>
    <row r="85" spans="1:12" ht="21" x14ac:dyDescent="0.3">
      <c r="A85" s="69" t="s">
        <v>110</v>
      </c>
      <c r="B85" s="6" t="s">
        <v>18</v>
      </c>
      <c r="C85" s="29">
        <v>125</v>
      </c>
      <c r="D85" s="29">
        <v>140</v>
      </c>
      <c r="E85" s="29">
        <v>120</v>
      </c>
      <c r="F85" s="29">
        <v>140</v>
      </c>
      <c r="G85" s="7">
        <f t="shared" ref="G85" si="11">((C85+D85)/2-(E85+F85)/2)/((E85+F85)/2)*100</f>
        <v>1.9230769230769231</v>
      </c>
      <c r="H85" s="5" t="s">
        <v>116</v>
      </c>
      <c r="I85" s="6"/>
      <c r="J85" s="6"/>
      <c r="K85" s="11"/>
      <c r="L85" s="11"/>
    </row>
    <row r="86" spans="1:12" ht="23.25" x14ac:dyDescent="0.3">
      <c r="A86" s="1"/>
      <c r="B86" s="3"/>
      <c r="C86" s="82"/>
      <c r="D86" s="82"/>
      <c r="E86" s="8"/>
      <c r="F86" s="82"/>
      <c r="G86" s="9"/>
      <c r="H86" s="1"/>
      <c r="I86" s="3"/>
      <c r="J86" s="3"/>
      <c r="K86" s="40"/>
      <c r="L86" s="11"/>
    </row>
    <row r="87" spans="1:12" ht="23.25" x14ac:dyDescent="0.3">
      <c r="A87" s="1"/>
      <c r="B87" s="3"/>
      <c r="C87" s="82"/>
      <c r="D87" s="82"/>
      <c r="E87" s="8"/>
      <c r="F87" s="82"/>
      <c r="G87" s="38"/>
      <c r="H87" s="39"/>
      <c r="I87" s="40"/>
      <c r="J87" s="40"/>
      <c r="K87" s="40"/>
      <c r="L87" s="11"/>
    </row>
    <row r="88" spans="1:12" ht="23.25" x14ac:dyDescent="0.3">
      <c r="A88" s="1"/>
      <c r="B88" s="13"/>
      <c r="C88" s="14"/>
      <c r="D88" s="14"/>
      <c r="E88" s="13"/>
      <c r="F88" s="14"/>
      <c r="G88" s="38"/>
      <c r="H88" s="39"/>
      <c r="I88" s="40"/>
      <c r="J88" s="40"/>
      <c r="K88" s="40"/>
      <c r="L88" s="11"/>
    </row>
    <row r="89" spans="1:12" ht="23.25" x14ac:dyDescent="0.3">
      <c r="A89" s="1"/>
      <c r="B89" s="41"/>
      <c r="C89" s="42" t="s">
        <v>117</v>
      </c>
      <c r="D89" s="10"/>
      <c r="E89" s="41"/>
      <c r="F89" s="13"/>
      <c r="G89" s="10"/>
      <c r="H89" s="39"/>
      <c r="I89" s="12"/>
      <c r="J89" s="13" t="s">
        <v>120</v>
      </c>
      <c r="K89" s="10"/>
      <c r="L89" s="10"/>
    </row>
    <row r="90" spans="1:12" ht="23.25" x14ac:dyDescent="0.3">
      <c r="A90" s="1"/>
      <c r="B90" s="43"/>
      <c r="C90" s="42" t="s">
        <v>118</v>
      </c>
      <c r="D90" s="13"/>
      <c r="E90" s="41"/>
      <c r="F90" s="44"/>
      <c r="G90" s="46"/>
      <c r="H90" s="46"/>
      <c r="I90" s="76"/>
      <c r="J90" s="13" t="s">
        <v>121</v>
      </c>
      <c r="K90" s="13"/>
      <c r="L90" s="13"/>
    </row>
    <row r="91" spans="1:12" ht="23.25" x14ac:dyDescent="0.3">
      <c r="A91" s="1"/>
      <c r="B91" s="13"/>
      <c r="C91" s="14"/>
      <c r="D91" s="13"/>
      <c r="E91" s="14"/>
      <c r="F91" s="44"/>
      <c r="G91" s="46"/>
      <c r="H91" s="46"/>
      <c r="I91" s="45"/>
      <c r="J91" s="10"/>
      <c r="K91" s="10"/>
      <c r="L91" s="2"/>
    </row>
    <row r="92" spans="1:12" ht="18.75" x14ac:dyDescent="0.25">
      <c r="A92" s="55" t="s">
        <v>93</v>
      </c>
      <c r="B92" s="53"/>
      <c r="C92" s="51"/>
      <c r="D92" s="53"/>
      <c r="E92" s="51"/>
      <c r="F92" s="51"/>
      <c r="G92" s="51"/>
      <c r="H92" s="52"/>
      <c r="I92" s="57"/>
      <c r="J92" s="2"/>
      <c r="K92" s="2"/>
      <c r="L92" s="2"/>
    </row>
    <row r="93" spans="1:12" ht="18.75" x14ac:dyDescent="0.25">
      <c r="A93" s="54" t="s">
        <v>99</v>
      </c>
      <c r="B93" s="53"/>
      <c r="C93" s="51"/>
      <c r="D93" s="53"/>
      <c r="E93" s="51"/>
      <c r="F93" s="51"/>
      <c r="G93" s="53"/>
      <c r="H93" s="52"/>
      <c r="I93" s="57"/>
      <c r="J93" s="2"/>
      <c r="K93" s="2"/>
      <c r="L93" s="2"/>
    </row>
    <row r="94" spans="1:12" ht="18.75" x14ac:dyDescent="0.25">
      <c r="A94" s="54" t="s">
        <v>98</v>
      </c>
      <c r="B94" s="53"/>
      <c r="C94" s="53"/>
      <c r="D94" s="53"/>
      <c r="E94" s="53"/>
      <c r="F94" s="51"/>
      <c r="G94" s="53"/>
      <c r="H94" s="52"/>
      <c r="I94" s="57"/>
      <c r="J94" s="2"/>
      <c r="K94" s="2"/>
      <c r="L94" s="2"/>
    </row>
    <row r="95" spans="1:12" ht="18.75" x14ac:dyDescent="0.25">
      <c r="A95" s="54" t="s">
        <v>85</v>
      </c>
      <c r="B95" s="53"/>
      <c r="C95" s="53"/>
      <c r="D95" s="53"/>
      <c r="E95" s="53"/>
      <c r="F95" s="52"/>
      <c r="G95" s="52"/>
      <c r="H95" s="52"/>
      <c r="I95" s="57"/>
      <c r="J95" s="2"/>
      <c r="K95" s="2"/>
      <c r="L95" s="2"/>
    </row>
    <row r="96" spans="1:12" ht="18.75" x14ac:dyDescent="0.25">
      <c r="A96" s="54" t="s">
        <v>97</v>
      </c>
      <c r="B96" s="53"/>
      <c r="C96" s="53"/>
      <c r="D96" s="53"/>
      <c r="E96" s="53"/>
      <c r="F96" s="53"/>
      <c r="G96" s="52"/>
      <c r="H96" s="52"/>
      <c r="I96" s="57"/>
      <c r="J96" s="2"/>
      <c r="K96" s="2"/>
      <c r="L96" s="2"/>
    </row>
    <row r="97" spans="1:12" ht="18.75" x14ac:dyDescent="0.25">
      <c r="A97" s="54" t="s">
        <v>96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8.75" x14ac:dyDescent="0.25">
      <c r="A98" s="54" t="s">
        <v>107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8.75" x14ac:dyDescent="0.25">
      <c r="A99" s="54" t="s">
        <v>95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86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101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100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87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8.75" x14ac:dyDescent="0.25">
      <c r="A107" s="54"/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8.75" x14ac:dyDescent="0.25">
      <c r="A108" s="55" t="s">
        <v>88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4" t="s">
        <v>89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 t="s">
        <v>114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113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112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2025-10-30T10:29:51Z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