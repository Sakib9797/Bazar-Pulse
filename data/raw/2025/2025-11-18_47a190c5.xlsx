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E448CA3C-C107-431C-8F65-690DE64B739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4" i="4"/>
  <c r="G82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<sst xmlns="http://schemas.openxmlformats.org/spreadsheetml/2006/main" count="219" uniqueCount="126">
  <si>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</si>
  <si>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</si>
  <si>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</si>
  <si>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</si>
  <si>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</si>
  <si>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</si>
  <si>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</si>
  <si>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</si>
  <si>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</si>
  <si>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</si>
  <si>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</si>
  <si>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</si>
  <si>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</si>
  <si>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</si>
  <si>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</si>
  <si>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</si>
  <si>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</si>
  <si>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</si>
  <si>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</si>
  <si>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</si>
  <si>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</si>
  <si>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</si>
  <si>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</si>
  <si>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</si>
  <si>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</si>
  <si>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</si>
  <si>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</si>
  <si>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</si>
  <si>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</si>
  <si>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</si>
  <si>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</si>
  <si>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</si>
  <si>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</si>
  <si>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</si>
  <si>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</si>
  <si>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</si>
  <si>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</si>
  <si>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</si>
  <si>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</si>
  <si>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</si>
  <si>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</si>
  <si>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</si>
  <si>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</si>
  <si>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</si>
  <si>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</si>
  <si>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</si>
  <si>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</si>
  <si>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</si>
  <si>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</si>
  <si>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</si>
  <si>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</si>
  <si>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</si>
  <si>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</si>
  <si>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</si>
  <si>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</si>
  <si>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</si>
  <si>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</si>
  <si>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</si>
  <si>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</si>
  <si>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</si>
  <si>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</si>
  <si>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</si>
  <si>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</si>
  <si>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</si>
  <si>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</si>
  <si>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</si>
  <si>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</si>
  <si>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</si>
  <si>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</si>
  <si>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</si>
  <si>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</si>
  <si>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</si>
  <si>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</si>
  <si>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</si>
  <si>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</si>
  <si>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</si>
  <si>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</si>
  <si>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</si>
  <si>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</si>
  <si>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</si>
  <si>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</si>
  <si>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</si>
  <si>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</si>
  <si>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</si>
  <si>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</si>
  <si>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</si>
  <si>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</si>
  <si>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</si>
  <si>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</si>
  <si>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</si>
  <si>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</si>
  <si>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</si>
  <si>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</si>
  <si>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</si>
  <si>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</si>
  <si>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</si>
  <si>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</si>
  <si>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</si>
  <si>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</si>
  <si>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</si>
  <si>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</si>
  <si>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</si>
  <si>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</si>
  <si>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</si>
  <si>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</si>
  <si>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</si>
  <si>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</si>
  <si>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</si>
  <si>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</si>
  <si>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</si>
  <si>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</si>
  <si>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</si>
  <si>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</si>
  <si>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</si>
  <si>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</si>
  <si>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</si>
  <si>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</si>
  <si>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</si>
  <si>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</si>
  <si>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১৩-১১-২০২৫ তারিখে মূল্য হ্রাস পেয়েছে।</t>
  </si>
  <si>
    <t>১৭-১১-২০২৫ তারিখে মূল্য হ্রাস পেয়েছে।</t>
  </si>
  <si>
    <t>স্মারক নং-২৬.০৫.০০০০.০১৭.৩১.০১.২৫-৮৩৬</t>
  </si>
  <si>
    <t xml:space="preserve">মঙ্গলবার ১৮ নভেম্বর ২০২৫ খ্রিঃ, ০৩ অগ্রহায়ন ১৪৩২ বাংলা, ২৬ জমা-আউ ১৪৪৭ হিজরি </t>
  </si>
  <si>
    <t xml:space="preserve">   সিরিয়াল নংঃ     ২৮৮</t>
  </si>
  <si>
    <t>(২)  অন্যান্য পণ্যের মূল্য অপরিবর্তীত রয়েছে।</t>
  </si>
  <si>
    <t>(১ )   পেঁয়াজ (দেশী), মুরগী ব্রয়লার, ডিম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</si>
</sst>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1"/>
  <sheetViews>
    <sheetView tabSelected="1" topLeftCell="A76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123</v>
      </c>
      <c r="L4" s="84"/>
    </row>
    <row r="5" spans="1:12" ht="19.5" customHeight="1">
      <c r="A5" s="17"/>
      <c r="B5" s="8"/>
      <c r="C5" s="8"/>
      <c r="D5" s="17"/>
      <c r="E5" s="8"/>
      <c r="F5" s="8" t="s">
        <v>122</v>
      </c>
      <c r="G5" s="8"/>
      <c r="H5" s="8"/>
      <c r="I5" s="8"/>
      <c r="J5" s="8"/>
      <c r="K5" s="8"/>
      <c r="L5" s="49"/>
    </row>
    <row r="6" spans="1:12" ht="21.75">
      <c r="A6" s="20" t="s">
        <v>121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45979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45979</v>
      </c>
      <c r="D8" s="84"/>
      <c r="E8" s="83">
        <v>45972</v>
      </c>
      <c r="F8" s="84"/>
      <c r="G8" s="83">
        <v>45948</v>
      </c>
      <c r="H8" s="84"/>
      <c r="I8" s="26" t="s">
        <v>12</v>
      </c>
      <c r="J8" s="83">
        <v>45614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170</v>
      </c>
      <c r="K19" s="29">
        <v>172</v>
      </c>
      <c r="L19" s="31">
        <f t="shared" ref="L19:L25" si="1">((C19+D19)/2-(J19+K19)/2)/((J19+K19)/2)*100</f>
        <v>2.3391812865497075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-0.27322404371584702</v>
      </c>
      <c r="J20" s="29">
        <v>810</v>
      </c>
      <c r="K20" s="29">
        <v>818</v>
      </c>
      <c r="L20" s="31">
        <f t="shared" si="1"/>
        <v>12.100737100737101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188</v>
      </c>
      <c r="H22" s="29">
        <v>195</v>
      </c>
      <c r="I22" s="30">
        <f t="shared" si="0"/>
        <v>-0.52219321148825071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150</v>
      </c>
      <c r="F23" s="29">
        <v>162</v>
      </c>
      <c r="G23" s="29">
        <v>153</v>
      </c>
      <c r="H23" s="29">
        <v>162</v>
      </c>
      <c r="I23" s="30">
        <f t="shared" si="0"/>
        <v>-0.95238095238095244</v>
      </c>
      <c r="J23" s="29">
        <v>163</v>
      </c>
      <c r="K23" s="29">
        <v>164</v>
      </c>
      <c r="L23" s="31">
        <f t="shared" si="1"/>
        <v>-4.5871559633027523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168</v>
      </c>
      <c r="I24" s="30">
        <f t="shared" si="0"/>
        <v>-0.92879256965944268</v>
      </c>
      <c r="J24" s="29">
        <v>165</v>
      </c>
      <c r="K24" s="29">
        <v>166</v>
      </c>
      <c r="L24" s="31">
        <f t="shared" si="1"/>
        <v>-3.3232628398791544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75</v>
      </c>
      <c r="L33" s="31">
        <f t="shared" si="3"/>
        <v>-67.857142857142861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110</v>
      </c>
      <c r="F35" s="29">
        <v>120</v>
      </c>
      <c r="G35" s="29">
        <v>70</v>
      </c>
      <c r="H35" s="29">
        <v>85</v>
      </c>
      <c r="I35" s="30">
        <f t="shared" ref="I35:I50" si="4">((C35+D35)/2-(G35+H35)/2)/((G35+H35)/2)*100</f>
        <v>41.935483870967744</v>
      </c>
      <c r="J35" s="29">
        <v>130</v>
      </c>
      <c r="K35" s="29">
        <v>150</v>
      </c>
      <c r="L35" s="31">
        <f t="shared" ref="L35:L50" si="5">((C35+D35)/2-(J35+K35)/2)/((J35+K35)/2)*100</f>
        <v>-21.428571428571427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90</v>
      </c>
      <c r="D37" s="29">
        <v>150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240</v>
      </c>
      <c r="K37" s="29">
        <v>270</v>
      </c>
      <c r="L37" s="31">
        <f t="shared" si="5"/>
        <v>-52.941176470588239</v>
      </c>
    </row>
    <row r="38" spans="1:12" ht="21.75">
      <c r="A38" s="69" t="s">
        <v>46</v>
      </c>
      <c r="B38" s="6" t="s">
        <v>18</v>
      </c>
      <c r="C38" s="29">
        <v>160</v>
      </c>
      <c r="D38" s="29">
        <v>220</v>
      </c>
      <c r="E38" s="29">
        <v>160</v>
      </c>
      <c r="F38" s="29">
        <v>220</v>
      </c>
      <c r="G38" s="29">
        <v>130</v>
      </c>
      <c r="H38" s="29">
        <v>200</v>
      </c>
      <c r="I38" s="30">
        <f t="shared" si="4"/>
        <v>15.151515151515152</v>
      </c>
      <c r="J38" s="29">
        <v>230</v>
      </c>
      <c r="K38" s="29">
        <v>250</v>
      </c>
      <c r="L38" s="31">
        <f t="shared" si="5"/>
        <v>-20.833333333333336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140</v>
      </c>
      <c r="D43" s="29">
        <v>180</v>
      </c>
      <c r="E43" s="29">
        <v>140</v>
      </c>
      <c r="F43" s="29">
        <v>150</v>
      </c>
      <c r="G43" s="29">
        <v>180</v>
      </c>
      <c r="H43" s="29">
        <v>200</v>
      </c>
      <c r="I43" s="30">
        <f t="shared" si="4"/>
        <v>-15.789473684210526</v>
      </c>
      <c r="J43" s="29">
        <v>450</v>
      </c>
      <c r="K43" s="29">
        <v>500</v>
      </c>
      <c r="L43" s="31">
        <f t="shared" si="5"/>
        <v>-66.315789473684205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250</v>
      </c>
      <c r="I44" s="30">
        <f t="shared" si="4"/>
        <v>-2.6315789473684208</v>
      </c>
      <c r="J44" s="29">
        <v>120</v>
      </c>
      <c r="K44" s="29">
        <v>300</v>
      </c>
      <c r="L44" s="31">
        <f t="shared" si="5"/>
        <v>-11.904761904761903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3400</v>
      </c>
      <c r="K48" s="29">
        <v>4250</v>
      </c>
      <c r="L48" s="31">
        <f t="shared" si="5"/>
        <v>34.640522875816991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280</v>
      </c>
      <c r="L49" s="31">
        <f t="shared" si="5"/>
        <v>-7.8431372549019605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780</v>
      </c>
      <c r="I54" s="30">
        <f t="shared" si="6"/>
        <v>1.3071895424836601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190</v>
      </c>
      <c r="E56" s="29">
        <v>170</v>
      </c>
      <c r="F56" s="29">
        <v>190</v>
      </c>
      <c r="G56" s="29">
        <v>170</v>
      </c>
      <c r="H56" s="29">
        <v>185</v>
      </c>
      <c r="I56" s="30">
        <f t="shared" si="6"/>
        <v>-1.4084507042253522</v>
      </c>
      <c r="J56" s="29">
        <v>180</v>
      </c>
      <c r="K56" s="29">
        <v>200</v>
      </c>
      <c r="L56" s="31">
        <f t="shared" si="7"/>
        <v>-7.8947368421052628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45979</v>
      </c>
      <c r="D67" s="84"/>
      <c r="E67" s="83">
        <v>45972</v>
      </c>
      <c r="F67" s="84"/>
      <c r="G67" s="83">
        <v>45948</v>
      </c>
      <c r="H67" s="84"/>
      <c r="I67" s="26" t="s">
        <v>12</v>
      </c>
      <c r="J67" s="83">
        <v>45614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135</v>
      </c>
      <c r="L69" s="31">
        <f t="shared" ref="L69:L75" si="8">((C69+D69)/2-(J69+K69)/2)/((J69+K69)/2)*100</f>
        <v>-21.153846153846153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40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48</v>
      </c>
      <c r="K72" s="37">
        <v>50</v>
      </c>
      <c r="L72" s="31">
        <f t="shared" si="8"/>
        <v>-8.1632653061224492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92500</v>
      </c>
      <c r="L74" s="31">
        <f t="shared" si="8"/>
        <v>-7.4792243767313016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124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.75">
      <c r="A80" s="44" t="s">
        <v>80</v>
      </c>
      <c r="B80" s="45"/>
      <c r="C80" s="46"/>
      <c r="D80" s="46"/>
      <c r="E80" s="46"/>
      <c r="F80" s="46"/>
      <c r="G80" s="47"/>
      <c r="H80" s="47"/>
      <c r="I80" s="46"/>
      <c r="J80" s="46"/>
      <c r="K80" s="46"/>
      <c r="L80" s="8"/>
    </row>
    <row r="81" spans="1:12" ht="21.75">
      <c r="A81" s="5" t="s">
        <v>81</v>
      </c>
      <c r="B81" s="6" t="s">
        <v>82</v>
      </c>
      <c r="C81" s="88" t="s">
        <v>6</v>
      </c>
      <c r="D81" s="89"/>
      <c r="E81" s="90" t="s">
        <v>83</v>
      </c>
      <c r="F81" s="91"/>
      <c r="G81" s="77" t="s">
        <v>12</v>
      </c>
      <c r="H81" s="88" t="s">
        <v>84</v>
      </c>
      <c r="I81" s="92"/>
      <c r="J81" s="89"/>
      <c r="K81" s="50"/>
      <c r="L81" s="17"/>
    </row>
    <row r="82" spans="1:12" ht="21.75">
      <c r="A82" s="69" t="s">
        <v>90</v>
      </c>
      <c r="B82" s="6" t="s">
        <v>18</v>
      </c>
      <c r="C82" s="29">
        <v>100</v>
      </c>
      <c r="D82" s="29">
        <v>120</v>
      </c>
      <c r="E82" s="29">
        <v>110</v>
      </c>
      <c r="F82" s="29">
        <v>120</v>
      </c>
      <c r="G82" s="7">
        <f t="shared" ref="G82:G83" si="10">((C82+D82)/2-(E82+F82)/2)/((E82+F82)/2)*100</f>
        <v>-4.3478260869565215</v>
      </c>
      <c r="H82" s="5" t="s">
        <v>119</v>
      </c>
      <c r="I82" s="6"/>
      <c r="J82" s="6"/>
      <c r="K82" s="11"/>
      <c r="L82" s="11"/>
    </row>
    <row r="83" spans="1:12" ht="21.75">
      <c r="A83" s="69" t="s">
        <v>62</v>
      </c>
      <c r="B83" s="6" t="s">
        <v>18</v>
      </c>
      <c r="C83" s="29">
        <v>160</v>
      </c>
      <c r="D83" s="29">
        <v>190</v>
      </c>
      <c r="E83" s="29">
        <v>170</v>
      </c>
      <c r="F83" s="29">
        <v>190</v>
      </c>
      <c r="G83" s="7">
        <f t="shared" si="10"/>
        <v>-2.7777777777777777</v>
      </c>
      <c r="H83" s="5" t="s">
        <v>120</v>
      </c>
      <c r="I83" s="6"/>
      <c r="J83" s="6"/>
      <c r="K83" s="11"/>
      <c r="L83" s="11"/>
    </row>
    <row r="84" spans="1:12" ht="24.75">
      <c r="A84" s="69" t="s">
        <v>73</v>
      </c>
      <c r="B84" s="6" t="s">
        <v>74</v>
      </c>
      <c r="C84" s="37">
        <v>40</v>
      </c>
      <c r="D84" s="37">
        <v>50</v>
      </c>
      <c r="E84" s="37">
        <v>43</v>
      </c>
      <c r="F84" s="37">
        <v>50</v>
      </c>
      <c r="G84" s="7">
        <f>((C84+D84)/2-(E84+F84)/2)/((E84+F84)/2)*100</f>
        <v>-3.225806451612903</v>
      </c>
      <c r="H84" s="5" t="s">
        <v>120</v>
      </c>
      <c r="I84" s="6"/>
      <c r="J84" s="6"/>
      <c r="K84" s="40"/>
      <c r="L84" s="11"/>
    </row>
    <row r="85" spans="1:12" ht="24.75">
      <c r="A85" s="1"/>
      <c r="B85" s="3"/>
      <c r="C85" s="82"/>
      <c r="D85" s="82"/>
      <c r="E85" s="8"/>
      <c r="F85" s="82"/>
      <c r="G85" s="9"/>
      <c r="H85" s="1"/>
      <c r="I85" s="3"/>
      <c r="J85" s="3"/>
      <c r="K85" s="40"/>
      <c r="L85" s="11"/>
    </row>
    <row r="86" spans="1:12" ht="24.75">
      <c r="A86" s="1"/>
      <c r="B86" s="3"/>
      <c r="C86" s="82"/>
      <c r="D86" s="82"/>
      <c r="E86" s="8"/>
      <c r="F86" s="82"/>
      <c r="G86" s="38"/>
      <c r="H86" s="39"/>
      <c r="I86" s="40"/>
      <c r="J86" s="40"/>
      <c r="K86" s="40"/>
      <c r="L86" s="11"/>
    </row>
    <row r="87" spans="1:12" ht="24.75">
      <c r="A87" s="1"/>
      <c r="B87" s="13"/>
      <c r="C87" s="14"/>
      <c r="D87" s="14"/>
      <c r="E87" s="13"/>
      <c r="F87" s="14"/>
      <c r="G87" s="38"/>
      <c r="H87" s="39"/>
      <c r="I87" s="40"/>
      <c r="J87" s="40"/>
      <c r="K87" s="40"/>
      <c r="L87" s="11"/>
    </row>
    <row r="88" spans="1:12" ht="24.75">
      <c r="A88" s="1"/>
      <c r="B88" s="41"/>
      <c r="C88" s="42" t="s">
        <v>118</v>
      </c>
      <c r="D88" s="10"/>
      <c r="E88" s="41"/>
      <c r="F88" s="13"/>
      <c r="G88" s="10"/>
      <c r="H88" s="39"/>
      <c r="I88" s="12"/>
      <c r="J88" s="13" t="s">
        <v>116</v>
      </c>
      <c r="K88" s="10"/>
      <c r="L88" s="10"/>
    </row>
    <row r="89" spans="1:12" ht="24.75">
      <c r="A89" s="1"/>
      <c r="B89" s="43"/>
      <c r="C89" s="42" t="s">
        <v>115</v>
      </c>
      <c r="D89" s="13"/>
      <c r="E89" s="41"/>
      <c r="F89" s="44"/>
      <c r="G89" s="46"/>
      <c r="H89" s="46"/>
      <c r="I89" s="76"/>
      <c r="J89" s="13" t="s">
        <v>117</v>
      </c>
      <c r="K89" s="13"/>
      <c r="L89" s="13"/>
    </row>
    <row r="90" spans="1:12" ht="24.75">
      <c r="A90" s="1"/>
      <c r="B90" s="13"/>
      <c r="C90" s="14"/>
      <c r="D90" s="13"/>
      <c r="E90" s="14"/>
      <c r="F90" s="44"/>
      <c r="G90" s="46"/>
      <c r="H90" s="46"/>
      <c r="I90" s="45"/>
      <c r="J90" s="10"/>
      <c r="K90" s="10"/>
      <c r="L90" s="2"/>
    </row>
    <row r="91" spans="1:12" ht="19.5">
      <c r="A91" s="55" t="s">
        <v>93</v>
      </c>
      <c r="B91" s="53"/>
      <c r="C91" s="51"/>
      <c r="D91" s="53"/>
      <c r="E91" s="51"/>
      <c r="F91" s="51"/>
      <c r="G91" s="51"/>
      <c r="H91" s="52"/>
      <c r="I91" s="57"/>
      <c r="J91" s="2"/>
      <c r="K91" s="2"/>
      <c r="L91" s="2"/>
    </row>
    <row r="92" spans="1:12" ht="19.5">
      <c r="A92" s="54" t="s">
        <v>99</v>
      </c>
      <c r="B92" s="53"/>
      <c r="C92" s="51"/>
      <c r="D92" s="53"/>
      <c r="E92" s="51"/>
      <c r="F92" s="51"/>
      <c r="G92" s="53"/>
      <c r="H92" s="52"/>
      <c r="I92" s="57"/>
      <c r="J92" s="2"/>
      <c r="K92" s="2"/>
      <c r="L92" s="2"/>
    </row>
    <row r="93" spans="1:12" ht="19.5">
      <c r="A93" s="54" t="s">
        <v>98</v>
      </c>
      <c r="B93" s="53"/>
      <c r="C93" s="53"/>
      <c r="D93" s="53"/>
      <c r="E93" s="53"/>
      <c r="F93" s="51"/>
      <c r="G93" s="53"/>
      <c r="H93" s="52"/>
      <c r="I93" s="57"/>
      <c r="J93" s="2"/>
      <c r="K93" s="2"/>
      <c r="L93" s="2"/>
    </row>
    <row r="94" spans="1:12" ht="19.5">
      <c r="A94" s="54" t="s">
        <v>85</v>
      </c>
      <c r="B94" s="53"/>
      <c r="C94" s="53"/>
      <c r="D94" s="53"/>
      <c r="E94" s="53"/>
      <c r="F94" s="52"/>
      <c r="G94" s="52"/>
      <c r="H94" s="52"/>
      <c r="I94" s="57"/>
      <c r="J94" s="2"/>
      <c r="K94" s="2"/>
      <c r="L94" s="2"/>
    </row>
    <row r="95" spans="1:12" ht="19.5">
      <c r="A95" s="54" t="s">
        <v>97</v>
      </c>
      <c r="B95" s="53"/>
      <c r="C95" s="53"/>
      <c r="D95" s="53"/>
      <c r="E95" s="53"/>
      <c r="F95" s="53"/>
      <c r="G95" s="52"/>
      <c r="H95" s="52"/>
      <c r="I95" s="57"/>
      <c r="J95" s="2"/>
      <c r="K95" s="2"/>
      <c r="L95" s="2"/>
    </row>
    <row r="96" spans="1:12" ht="19.5">
      <c r="A96" s="54" t="s">
        <v>96</v>
      </c>
      <c r="B96" s="53"/>
      <c r="C96" s="53"/>
      <c r="D96" s="53"/>
      <c r="E96" s="53"/>
      <c r="F96" s="53"/>
      <c r="G96" s="53"/>
      <c r="H96" s="52"/>
      <c r="I96" s="57"/>
      <c r="J96" s="2"/>
      <c r="K96" s="2"/>
      <c r="L96" s="2"/>
    </row>
    <row r="97" spans="1:12" ht="19.5">
      <c r="A97" s="54" t="s">
        <v>107</v>
      </c>
      <c r="B97" s="53"/>
      <c r="C97" s="53"/>
      <c r="D97" s="53"/>
      <c r="E97" s="53"/>
      <c r="F97" s="53"/>
      <c r="G97" s="53"/>
      <c r="H97" s="52"/>
      <c r="I97" s="57"/>
      <c r="J97" s="2"/>
      <c r="K97" s="2"/>
      <c r="L97" s="2"/>
    </row>
    <row r="98" spans="1:12" ht="19.5">
      <c r="A98" s="54" t="s">
        <v>95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94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86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101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100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102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87</v>
      </c>
      <c r="B105" s="53"/>
      <c r="C105" s="53"/>
      <c r="D105" s="53"/>
      <c r="E105" s="53"/>
      <c r="F105" s="53"/>
      <c r="G105" s="53"/>
      <c r="H105" s="56"/>
      <c r="I105" s="58"/>
      <c r="J105" s="11"/>
      <c r="K105" s="11"/>
      <c r="L105" s="11"/>
    </row>
    <row r="106" spans="1:12" ht="19.5">
      <c r="A106" s="54"/>
      <c r="B106" s="53"/>
      <c r="C106" s="53"/>
      <c r="D106" s="53"/>
      <c r="E106" s="53"/>
      <c r="F106" s="53"/>
      <c r="G106" s="53"/>
      <c r="H106" s="56"/>
      <c r="I106" s="58"/>
      <c r="J106" s="11"/>
      <c r="K106" s="11"/>
      <c r="L106" s="11"/>
    </row>
    <row r="107" spans="1:12" ht="19.5">
      <c r="A107" s="55" t="s">
        <v>88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 t="s">
        <v>89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4" t="s">
        <v>113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112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111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</sheetData>
  <mergeCells count="21">
    <mergeCell ref="G66:H66"/>
    <mergeCell ref="G67:H67"/>
    <mergeCell ref="A76:L76"/>
    <mergeCell ref="C81:D81"/>
    <mergeCell ref="E81:F81"/>
    <mergeCell ref="H81:J81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2025-11-18T07:35:31Z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