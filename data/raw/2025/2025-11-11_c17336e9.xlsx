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F8F4AD95-1E3F-4DEF-9C2E-C42CBAF479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2" i="4" l="1"/>
  <c r="G88" i="4"/>
  <c r="G84" i="4"/>
  <c r="G83" i="4"/>
  <c r="G91" i="4"/>
  <c r="G86" i="4"/>
  <c r="G90" i="4"/>
  <c r="G85" i="4"/>
  <c r="G89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<sst xmlns="http://schemas.openxmlformats.org/spreadsheetml/2006/main" count="241" uniqueCount="132">
  <si>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</si>
  <si>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</si>
  <si>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</si>
  <si>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</si>
  <si>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</si>
  <si>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</si>
  <si>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</si>
  <si>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</si>
  <si>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</si>
  <si>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</si>
  <si>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</si>
  <si>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</si>
  <si>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</si>
  <si>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</si>
  <si>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</si>
  <si>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</si>
  <si>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</si>
  <si>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</si>
  <si>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</si>
  <si>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</si>
  <si>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</si>
  <si>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</si>
  <si>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</si>
  <si>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</si>
  <si>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</si>
  <si>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</si>
  <si>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</si>
  <si>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</si>
  <si>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</si>
  <si>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</si>
  <si>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</si>
  <si>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</si>
  <si>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</si>
  <si>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</si>
  <si>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</si>
  <si>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</si>
  <si>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</si>
  <si>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</si>
  <si>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</si>
  <si>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</si>
  <si>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</si>
  <si>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</si>
  <si>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</si>
  <si>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</si>
  <si>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</si>
  <si>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</si>
  <si>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</si>
  <si>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</si>
  <si>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</si>
  <si>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</si>
  <si>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</si>
  <si>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</si>
  <si>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</si>
  <si>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</si>
  <si>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</si>
  <si>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</si>
  <si>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</si>
  <si>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</si>
  <si>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</si>
  <si>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</si>
  <si>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</si>
  <si>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</si>
  <si>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</si>
  <si>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</si>
  <si>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</si>
  <si>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</si>
  <si>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</si>
  <si>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</si>
  <si>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</si>
  <si>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</si>
  <si>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</si>
  <si>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</si>
  <si>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</si>
  <si>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</si>
  <si>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</si>
  <si>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</si>
  <si>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</si>
  <si>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</si>
  <si>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</si>
  <si>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</si>
  <si>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</si>
  <si>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</si>
  <si>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</si>
  <si>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</si>
  <si>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</si>
  <si>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</si>
  <si>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</si>
  <si>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</si>
  <si>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</si>
  <si>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</si>
  <si>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</si>
  <si>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</si>
  <si>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</si>
  <si>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</si>
  <si>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</si>
  <si>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</si>
  <si>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</si>
  <si>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</si>
  <si>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</si>
  <si>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</si>
  <si>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</si>
  <si>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</si>
  <si>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</si>
  <si>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</si>
  <si>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</si>
  <si>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</si>
  <si>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</si>
  <si>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</si>
  <si>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</si>
  <si>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</si>
  <si>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</si>
  <si>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</si>
  <si>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</si>
  <si>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</si>
  <si>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</si>
  <si>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</si>
  <si>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</si>
  <si>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</si>
  <si>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</si>
  <si>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</si>
  <si>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০৫-১১-২০২৫ তারিখে মূল্য হ্রাস পেয়েছে।</t>
  </si>
  <si>
    <t>০৭-১১-২০২৫ তারিখে মূল্য বৃদ্ধি পেয়েছে।</t>
  </si>
  <si>
    <t>০৯-১১-২০২৫ তারিখে মূল্য হ্রাস পেয়েছে।</t>
  </si>
  <si>
    <t>১০-১১-২০২৫ তারিখে মূল্য হ্রাস পেয়েছে।</t>
  </si>
  <si>
    <t>স্মারক নং-২৬.০৫.০০০০.০১৭.৩১.০১.২৫-৮১২</t>
  </si>
  <si>
    <t xml:space="preserve">মঙ্গলবার ১১ নভেম্বর ২০২৫ খ্রিঃ, ২৬ কার্তিক ১৪৩২ বাংলা, ১৯ জমা-আউ ১৪৪৭ হিজরি </t>
  </si>
  <si>
    <t xml:space="preserve">   সিরিয়াল নংঃ     ২৮১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</si>
  <si>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</si>
  <si>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</si>
  <si>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(২ )   সয়াবিন তেল (১লিঃ, ৫লিঃ বোতল), পাম অয়েল (লুজ), মসুর ডাল (বড়), রশুন (দেশী), ধনে, চিনি  এর মূল্য হ্রাস পেয়েছে।</t>
  </si>
  <si>
    <t>(১)     পেঁয়াজ (দেশী), রশুন (আম), মুরগী ব্রয়লার    এর মূল্য বৃদ্ধি পেয়েছে।</t>
  </si>
  <si>
    <t>০৯-১১-২০২৫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</si>
</sst>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6" zoomScale="96" zoomScaleNormal="96" workbookViewId="0">
      <selection activeCell="H87" sqref="H87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45972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45972</v>
      </c>
      <c r="D8" s="84"/>
      <c r="E8" s="83">
        <v>45965</v>
      </c>
      <c r="F8" s="84"/>
      <c r="G8" s="83">
        <v>45941</v>
      </c>
      <c r="H8" s="84"/>
      <c r="I8" s="26" t="s">
        <v>12</v>
      </c>
      <c r="J8" s="83">
        <v>45607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48</v>
      </c>
      <c r="H14" s="29">
        <v>52</v>
      </c>
      <c r="I14" s="30">
        <f>((C14+D14)/2-(G14+H14)/2)/((G14+H14)/2)*100</f>
        <v>-5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165</v>
      </c>
      <c r="K19" s="29">
        <v>166</v>
      </c>
      <c r="L19" s="31">
        <f t="shared" ref="L19:L25" si="1">((C19+D19)/2-(J19+K19)/2)/((J19+K19)/2)*100</f>
        <v>5.7401812688821749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0.82872928176795579</v>
      </c>
      <c r="J20" s="29">
        <v>800</v>
      </c>
      <c r="K20" s="29">
        <v>810</v>
      </c>
      <c r="L20" s="31">
        <f t="shared" si="1"/>
        <v>13.354037267080745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0.79365079365079361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153</v>
      </c>
      <c r="H23" s="29">
        <v>160</v>
      </c>
      <c r="I23" s="30">
        <f t="shared" si="0"/>
        <v>-0.31948881789137379</v>
      </c>
      <c r="J23" s="29">
        <v>162</v>
      </c>
      <c r="K23" s="29">
        <v>163</v>
      </c>
      <c r="L23" s="31">
        <f t="shared" si="1"/>
        <v>-4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164</v>
      </c>
      <c r="K24" s="29">
        <v>165</v>
      </c>
      <c r="L24" s="31">
        <f t="shared" si="1"/>
        <v>-2.735562310030395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110</v>
      </c>
      <c r="D35" s="29">
        <v>120</v>
      </c>
      <c r="E35" s="29">
        <v>100</v>
      </c>
      <c r="F35" s="29">
        <v>110</v>
      </c>
      <c r="G35" s="29">
        <v>75</v>
      </c>
      <c r="H35" s="29">
        <v>80</v>
      </c>
      <c r="I35" s="30">
        <f t="shared" ref="I35:I50" si="4">((C35+D35)/2-(G35+H35)/2)/((G35+H35)/2)*100</f>
        <v>48.387096774193552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270</v>
      </c>
      <c r="L37" s="31">
        <f t="shared" si="5"/>
        <v>-56.862745098039213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320</v>
      </c>
      <c r="L42" s="31">
        <f t="shared" si="5"/>
        <v>26.315789473684209</v>
      </c>
    </row>
    <row r="43" spans="1:12" ht="21.75">
      <c r="A43" s="69" t="s">
        <v>51</v>
      </c>
      <c r="B43" s="6" t="s">
        <v>18</v>
      </c>
      <c r="C43" s="29">
        <v>140</v>
      </c>
      <c r="D43" s="29">
        <v>150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-69.473684210526315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150</v>
      </c>
      <c r="L50" s="31">
        <f t="shared" si="5"/>
        <v>42.592592592592595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900</v>
      </c>
      <c r="K53" s="29">
        <v>1800</v>
      </c>
      <c r="L53" s="31">
        <f t="shared" si="7"/>
        <v>-3.7037037037037033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190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1.4084507042253522</v>
      </c>
      <c r="J56" s="29">
        <v>180</v>
      </c>
      <c r="K56" s="29">
        <v>200</v>
      </c>
      <c r="L56" s="31">
        <f t="shared" si="7"/>
        <v>-5.2631578947368416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45972</v>
      </c>
      <c r="D67" s="84"/>
      <c r="E67" s="83">
        <v>45965</v>
      </c>
      <c r="F67" s="84"/>
      <c r="G67" s="83">
        <v>45941</v>
      </c>
      <c r="H67" s="84"/>
      <c r="I67" s="26" t="s">
        <v>12</v>
      </c>
      <c r="J67" s="83">
        <v>45607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-6.8181818181818175</v>
      </c>
      <c r="J69" s="29">
        <v>130</v>
      </c>
      <c r="K69" s="29">
        <v>135</v>
      </c>
      <c r="L69" s="31">
        <f t="shared" ref="L69:L75" si="8">((C69+D69)/2-(J69+K69)/2)/((J69+K69)/2)*100</f>
        <v>-22.641509433962266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48</v>
      </c>
      <c r="H72" s="37">
        <v>50</v>
      </c>
      <c r="I72" s="30">
        <f t="shared" si="9"/>
        <v>-5.1020408163265305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900</v>
      </c>
      <c r="D83" s="29">
        <v>925</v>
      </c>
      <c r="E83" s="29">
        <v>900</v>
      </c>
      <c r="F83" s="29">
        <v>930</v>
      </c>
      <c r="G83" s="7">
        <f t="shared" ref="G83:G86" si="10">((C83+D83)/2-(E83+F83)/2)/((E83+F83)/2)*100</f>
        <v>-0.27322404371584702</v>
      </c>
      <c r="H83" s="5" t="s">
        <v>127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122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150</v>
      </c>
      <c r="D85" s="29">
        <v>162</v>
      </c>
      <c r="E85" s="29">
        <v>152</v>
      </c>
      <c r="F85" s="29">
        <v>162</v>
      </c>
      <c r="G85" s="7">
        <f t="shared" si="10"/>
        <v>-0.63694267515923575</v>
      </c>
      <c r="H85" s="5" t="s">
        <v>122</v>
      </c>
      <c r="I85" s="6"/>
      <c r="J85" s="6"/>
      <c r="K85" s="50"/>
      <c r="L85" s="17"/>
    </row>
    <row r="86" spans="1:12" ht="21.75">
      <c r="A86" s="69" t="s">
        <v>37</v>
      </c>
      <c r="B86" s="6" t="s">
        <v>18</v>
      </c>
      <c r="C86" s="29">
        <v>90</v>
      </c>
      <c r="D86" s="29">
        <v>110</v>
      </c>
      <c r="E86" s="29">
        <v>95</v>
      </c>
      <c r="F86" s="29">
        <v>110</v>
      </c>
      <c r="G86" s="7">
        <f t="shared" si="10"/>
        <v>-2.4390243902439024</v>
      </c>
      <c r="H86" s="5" t="s">
        <v>120</v>
      </c>
      <c r="I86" s="6"/>
      <c r="J86" s="6"/>
      <c r="K86" s="50"/>
      <c r="L86" s="17"/>
    </row>
    <row r="87" spans="1:12" ht="21.75">
      <c r="A87" s="69" t="s">
        <v>90</v>
      </c>
      <c r="B87" s="6" t="s">
        <v>18</v>
      </c>
      <c r="C87" s="29">
        <v>110</v>
      </c>
      <c r="D87" s="29">
        <v>120</v>
      </c>
      <c r="E87" s="29">
        <v>100</v>
      </c>
      <c r="F87" s="29">
        <v>110</v>
      </c>
      <c r="G87" s="7">
        <f t="shared" ref="G87:G92" si="11">((C87+D87)/2-(E87+F87)/2)/((E87+F87)/2)*100</f>
        <v>9.5238095238095237</v>
      </c>
      <c r="H87" s="5" t="s">
        <v>131</v>
      </c>
      <c r="I87" s="6"/>
      <c r="J87" s="6"/>
      <c r="K87" s="11"/>
      <c r="L87" s="11"/>
    </row>
    <row r="88" spans="1:12" ht="21.75">
      <c r="A88" s="69" t="s">
        <v>45</v>
      </c>
      <c r="B88" s="6" t="s">
        <v>18</v>
      </c>
      <c r="C88" s="29">
        <v>80</v>
      </c>
      <c r="D88" s="29">
        <v>140</v>
      </c>
      <c r="E88" s="29">
        <v>100</v>
      </c>
      <c r="F88" s="29">
        <v>140</v>
      </c>
      <c r="G88" s="7">
        <f t="shared" si="11"/>
        <v>-8.3333333333333321</v>
      </c>
      <c r="H88" s="5" t="s">
        <v>123</v>
      </c>
      <c r="I88" s="6"/>
      <c r="J88" s="6"/>
      <c r="K88" s="11"/>
      <c r="L88" s="11"/>
    </row>
    <row r="89" spans="1:12" ht="21.75">
      <c r="A89" s="69" t="s">
        <v>46</v>
      </c>
      <c r="B89" s="6" t="s">
        <v>18</v>
      </c>
      <c r="C89" s="29">
        <v>160</v>
      </c>
      <c r="D89" s="29">
        <v>220</v>
      </c>
      <c r="E89" s="29">
        <v>160</v>
      </c>
      <c r="F89" s="29">
        <v>200</v>
      </c>
      <c r="G89" s="7">
        <f t="shared" si="11"/>
        <v>5.5555555555555554</v>
      </c>
      <c r="H89" s="5" t="s">
        <v>128</v>
      </c>
      <c r="I89" s="6"/>
      <c r="J89" s="6"/>
      <c r="K89" s="11"/>
      <c r="L89" s="11"/>
    </row>
    <row r="90" spans="1:12" ht="21.75">
      <c r="A90" s="69" t="s">
        <v>57</v>
      </c>
      <c r="B90" s="6" t="s">
        <v>18</v>
      </c>
      <c r="C90" s="29">
        <v>190</v>
      </c>
      <c r="D90" s="29">
        <v>280</v>
      </c>
      <c r="E90" s="29">
        <v>200</v>
      </c>
      <c r="F90" s="29">
        <v>280</v>
      </c>
      <c r="G90" s="7">
        <f>((C90+D90)/2-(E90+F90)/2)/((E90+F90)/2)*100</f>
        <v>-2.083333333333333</v>
      </c>
      <c r="H90" s="5" t="s">
        <v>120</v>
      </c>
      <c r="I90" s="6"/>
      <c r="J90" s="6"/>
      <c r="K90" s="11"/>
      <c r="L90" s="11"/>
    </row>
    <row r="91" spans="1:12" ht="24.75">
      <c r="A91" s="69" t="s">
        <v>62</v>
      </c>
      <c r="B91" s="6" t="s">
        <v>18</v>
      </c>
      <c r="C91" s="29">
        <v>170</v>
      </c>
      <c r="D91" s="29">
        <v>190</v>
      </c>
      <c r="E91" s="29">
        <v>170</v>
      </c>
      <c r="F91" s="29">
        <v>185</v>
      </c>
      <c r="G91" s="7">
        <f>((C91+D91)/2-(E91+F91)/2)/((E91+F91)/2)*100</f>
        <v>1.4084507042253522</v>
      </c>
      <c r="H91" s="5" t="s">
        <v>121</v>
      </c>
      <c r="I91" s="6"/>
      <c r="J91" s="6"/>
      <c r="K91" s="40"/>
      <c r="L91" s="11"/>
    </row>
    <row r="92" spans="1:12" ht="24.75">
      <c r="A92" s="69" t="s">
        <v>71</v>
      </c>
      <c r="B92" s="6" t="s">
        <v>18</v>
      </c>
      <c r="C92" s="29">
        <v>95</v>
      </c>
      <c r="D92" s="29">
        <v>110</v>
      </c>
      <c r="E92" s="29">
        <v>100</v>
      </c>
      <c r="F92" s="29">
        <v>110</v>
      </c>
      <c r="G92" s="7">
        <f t="shared" si="11"/>
        <v>-2.3809523809523809</v>
      </c>
      <c r="H92" s="5" t="s">
        <v>127</v>
      </c>
      <c r="I92" s="6"/>
      <c r="J92" s="6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1"/>
      <c r="B96" s="41"/>
      <c r="C96" s="42" t="s">
        <v>119</v>
      </c>
      <c r="D96" s="10"/>
      <c r="E96" s="41"/>
      <c r="F96" s="13"/>
      <c r="G96" s="10"/>
      <c r="H96" s="39"/>
      <c r="I96" s="12"/>
      <c r="J96" s="13" t="s">
        <v>117</v>
      </c>
      <c r="K96" s="10"/>
      <c r="L96" s="10"/>
    </row>
    <row r="97" spans="1:12" ht="24.75">
      <c r="A97" s="1"/>
      <c r="B97" s="43"/>
      <c r="C97" s="42" t="s">
        <v>116</v>
      </c>
      <c r="D97" s="13"/>
      <c r="E97" s="41"/>
      <c r="F97" s="44"/>
      <c r="G97" s="46"/>
      <c r="H97" s="46"/>
      <c r="I97" s="76"/>
      <c r="J97" s="13" t="s">
        <v>118</v>
      </c>
      <c r="K97" s="13"/>
      <c r="L97" s="13"/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112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2025-11-11T09:19:45Z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