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252ACC9A-4A21-425D-BC42-13ADDAA2E7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84" i="4"/>
  <c r="G83" i="4"/>
  <c r="G89" i="4"/>
  <c r="G88" i="4"/>
  <c r="G87" i="4"/>
  <c r="G82" i="4"/>
  <c r="L74" i="4"/>
  <c r="I74" i="4"/>
  <c r="L73" i="4"/>
  <c r="I73" i="4"/>
  <c r="L72" i="4"/>
  <c r="I72" i="4"/>
  <c r="L71" i="4"/>
  <c r="I71" i="4"/>
  <c r="L70" i="4"/>
  <c r="I70" i="4"/>
  <c r="L69" i="4"/>
  <c r="I69" i="4"/>
  <c r="L68" i="4"/>
  <c r="I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  <c r="I9" i="4"/>
</calcChain>
</file>

<file path=xl/sharedStrings.xml><?xml version="1.0" encoding="utf-8"?>
<sst xmlns="http://schemas.openxmlformats.org/spreadsheetml/2006/main" count="234" uniqueCount="130">
  <si>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</si>
  <si>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</si>
  <si>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</si>
  <si>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</si>
  <si>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</si>
  <si>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</si>
  <si>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</si>
  <si>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</si>
  <si>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</si>
  <si>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</si>
  <si>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</si>
  <si>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</si>
  <si>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</si>
  <si>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</si>
  <si>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</si>
  <si>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</si>
  <si>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</si>
  <si>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</si>
  <si>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</si>
  <si>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</si>
  <si>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</si>
  <si>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</si>
  <si>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</si>
  <si>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</si>
  <si>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</si>
  <si>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</si>
  <si>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</si>
  <si>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</si>
  <si>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</si>
  <si>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</si>
  <si>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</si>
  <si>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</si>
  <si>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</si>
  <si>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</si>
  <si>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</si>
  <si>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</si>
  <si>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</si>
  <si>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</si>
  <si>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</si>
  <si>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</si>
  <si>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</si>
  <si>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</si>
  <si>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</si>
  <si>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</si>
  <si>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</si>
  <si>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</si>
  <si>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</si>
  <si>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</si>
  <si>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</si>
  <si>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</si>
  <si>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</si>
  <si>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</si>
  <si>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</si>
  <si>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</si>
  <si>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</si>
  <si>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</si>
  <si>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</si>
  <si>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</si>
  <si>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</si>
  <si>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</si>
  <si>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</si>
  <si>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</si>
  <si>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</si>
  <si>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</si>
  <si>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</si>
  <si>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</si>
  <si>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</si>
  <si>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</si>
  <si>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</si>
  <si>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</si>
  <si>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</si>
  <si>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</si>
  <si>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</si>
  <si>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</si>
  <si>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</si>
  <si>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</si>
  <si>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</si>
  <si>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</si>
  <si>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</si>
  <si>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</si>
  <si>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</si>
  <si>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</si>
  <si>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</si>
  <si>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</si>
  <si>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</si>
  <si>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</si>
  <si>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</si>
  <si>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</si>
  <si>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</si>
  <si>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</si>
  <si>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</si>
  <si>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</si>
  <si>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</si>
  <si>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</si>
  <si>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</si>
  <si>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</si>
  <si>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</si>
  <si>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</si>
  <si>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</si>
  <si>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</si>
  <si>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</si>
  <si>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</si>
  <si>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</si>
  <si>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</si>
  <si>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</si>
  <si>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</si>
  <si>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</si>
  <si>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</si>
  <si>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</si>
  <si>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</si>
  <si>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</si>
  <si>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</si>
  <si>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</si>
  <si>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</si>
  <si>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</si>
  <si>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</si>
  <si>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>১৬-০৭-২০২৫ তারিখে মূল্য বৃদ্ধি পেয়েছে।</t>
  </si>
  <si>
    <t>১৬-০৭-২০২৫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</si>
  <si>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</si>
  <si>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১৭-০৭-২০২৫ তারিখে মূল্য হ্রাস পেয়েছে।</t>
  </si>
  <si>
    <t>১৮-০৭-২০২৫ তারিখে মূল্য হ্রাস পেয়েছে।</t>
  </si>
  <si>
    <t>১৮-০৭-২০২৫ তারিখে মূল্য বৃদ্ধি পেয়েছে।</t>
  </si>
  <si>
    <t>স্মারক নং-২৬.০৫.০০০০.০১৭.৩১.০১.২৫-৫০৯</t>
  </si>
  <si>
    <t xml:space="preserve">রবিবার ২০ জুলাই ২০২৫ খ্রিঃ, ০৫ শ্রাবণ ১৪৩২ বাংলা, ২৪ মুহররম ১৪৪৭ হিজরি </t>
  </si>
  <si>
    <t xml:space="preserve">   সিরিয়াল নংঃ     ১৭৭</t>
  </si>
  <si>
    <t xml:space="preserve"> (মোঃ গোলাম খোরশেদ)   </t>
  </si>
  <si>
    <t xml:space="preserve"> অতিরিক্ত পরিচালক (বাণিজ্যিক)</t>
  </si>
  <si>
    <t>২০-০৭-২০২৫ তারিখে মূল্য বৃদ্ধি পেয়েছে।</t>
  </si>
  <si>
    <t>(২ )  মসুর ডাল (বড়), এ্যাংকার ডাল, আদা (আম), দারুচিনি, চিনি  এর মূল্য হ্রাস পেয়েছে।</t>
  </si>
  <si>
    <t>(১)   মসুর ডাল (ছোট), পেঁয়াজ (দেশী),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</si>
</sst>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topLeftCell="A81" zoomScale="98" zoomScaleNormal="98" workbookViewId="0">
      <selection activeCell="H89" sqref="H89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1" spans="1:12" ht="21.75">
      <c r="A1" s="19" t="s">
        <v>0</v>
      </c>
      <c r="B1" s="8"/>
      <c r="C1" s="8"/>
      <c r="D1" s="8"/>
      <c r="E1" s="8"/>
      <c r="F1" s="8" t="s">
        <v>1</v>
      </c>
      <c r="G1" s="8"/>
      <c r="H1" s="8"/>
      <c r="I1" s="8"/>
      <c r="J1" s="8"/>
      <c r="K1" s="8"/>
      <c r="L1" s="8"/>
    </row>
    <row r="2" spans="1:12" ht="21.75">
      <c r="A2" s="19"/>
      <c r="B2" s="20"/>
      <c r="C2" s="20"/>
      <c r="D2" s="18"/>
      <c r="E2" s="20"/>
      <c r="F2" s="20" t="s">
        <v>106</v>
      </c>
      <c r="G2" s="20"/>
      <c r="H2" s="20"/>
      <c r="I2" s="20"/>
      <c r="J2" s="20"/>
      <c r="K2" s="49"/>
      <c r="L2" s="20"/>
    </row>
    <row r="3" spans="1:12" ht="21.75">
      <c r="A3" s="19" t="s">
        <v>0</v>
      </c>
      <c r="B3" s="8"/>
      <c r="C3" s="8"/>
      <c r="D3" s="18"/>
      <c r="E3" s="8"/>
      <c r="F3" s="8" t="s">
        <v>2</v>
      </c>
      <c r="G3" s="8"/>
      <c r="H3" s="8"/>
      <c r="I3" s="8"/>
      <c r="J3" s="8"/>
      <c r="K3" s="93" t="s">
        <v>124</v>
      </c>
      <c r="L3" s="94"/>
    </row>
    <row r="4" spans="1:12" ht="19.5" customHeight="1">
      <c r="A4" s="18"/>
      <c r="B4" s="8"/>
      <c r="C4" s="8"/>
      <c r="D4" s="18"/>
      <c r="E4" s="8"/>
      <c r="F4" s="8" t="s">
        <v>123</v>
      </c>
      <c r="G4" s="8"/>
      <c r="H4" s="8"/>
      <c r="I4" s="8"/>
      <c r="J4" s="8"/>
      <c r="K4" s="8"/>
      <c r="L4" s="50"/>
    </row>
    <row r="5" spans="1:12" ht="21.75">
      <c r="A5" s="21" t="s">
        <v>122</v>
      </c>
      <c r="B5" s="21"/>
      <c r="C5" s="21"/>
      <c r="D5" s="21"/>
      <c r="E5" s="21"/>
      <c r="F5" s="21" t="s">
        <v>0</v>
      </c>
      <c r="G5" s="21"/>
      <c r="H5" s="22"/>
      <c r="I5" s="23"/>
      <c r="J5" s="18"/>
      <c r="K5" s="24" t="s">
        <v>3</v>
      </c>
      <c r="L5" s="25">
        <v>45858</v>
      </c>
    </row>
    <row r="6" spans="1:12" ht="21.75">
      <c r="A6" s="26" t="s">
        <v>4</v>
      </c>
      <c r="B6" s="27" t="s">
        <v>5</v>
      </c>
      <c r="C6" s="93" t="s">
        <v>6</v>
      </c>
      <c r="D6" s="94"/>
      <c r="E6" s="93" t="s">
        <v>7</v>
      </c>
      <c r="F6" s="94"/>
      <c r="G6" s="93" t="s">
        <v>8</v>
      </c>
      <c r="H6" s="94"/>
      <c r="I6" s="27" t="s">
        <v>9</v>
      </c>
      <c r="J6" s="93" t="s">
        <v>10</v>
      </c>
      <c r="K6" s="94"/>
      <c r="L6" s="28" t="s">
        <v>11</v>
      </c>
    </row>
    <row r="7" spans="1:12" ht="21.75">
      <c r="A7" s="26"/>
      <c r="B7" s="27"/>
      <c r="C7" s="95">
        <v>45858</v>
      </c>
      <c r="D7" s="94"/>
      <c r="E7" s="95">
        <v>45851</v>
      </c>
      <c r="F7" s="94"/>
      <c r="G7" s="95">
        <v>45828</v>
      </c>
      <c r="H7" s="94"/>
      <c r="I7" s="27" t="s">
        <v>12</v>
      </c>
      <c r="J7" s="91">
        <v>45491</v>
      </c>
      <c r="K7" s="92"/>
      <c r="L7" s="27" t="s">
        <v>12</v>
      </c>
    </row>
    <row r="8" spans="1:12" ht="21.75">
      <c r="A8" s="74" t="s">
        <v>13</v>
      </c>
      <c r="B8" s="75"/>
      <c r="C8" s="75" t="s">
        <v>14</v>
      </c>
      <c r="D8" s="75" t="s">
        <v>15</v>
      </c>
      <c r="E8" s="75" t="s">
        <v>14</v>
      </c>
      <c r="F8" s="75" t="s">
        <v>15</v>
      </c>
      <c r="G8" s="75" t="s">
        <v>14</v>
      </c>
      <c r="H8" s="75" t="s">
        <v>15</v>
      </c>
      <c r="I8" s="75" t="s">
        <v>16</v>
      </c>
      <c r="J8" s="64" t="s">
        <v>14</v>
      </c>
      <c r="K8" s="64" t="s">
        <v>15</v>
      </c>
      <c r="L8" s="75" t="s">
        <v>16</v>
      </c>
    </row>
    <row r="9" spans="1:12" ht="21.75">
      <c r="A9" s="76" t="s">
        <v>17</v>
      </c>
      <c r="B9" s="6" t="s">
        <v>18</v>
      </c>
      <c r="C9" s="30">
        <v>75</v>
      </c>
      <c r="D9" s="30">
        <v>85</v>
      </c>
      <c r="E9" s="30">
        <v>75</v>
      </c>
      <c r="F9" s="30">
        <v>85</v>
      </c>
      <c r="G9" s="30">
        <v>70</v>
      </c>
      <c r="H9" s="30">
        <v>82</v>
      </c>
      <c r="I9" s="31">
        <f>((C9+D9)/2-(G9+H9)/2)/((G9+H9)/2)*100</f>
        <v>5.2631578947368416</v>
      </c>
      <c r="J9" s="62">
        <v>62</v>
      </c>
      <c r="K9" s="62">
        <v>78</v>
      </c>
      <c r="L9" s="32">
        <f>((C9+D9)/2-(J9+K9)/2)/((J9+K9)/2)*100</f>
        <v>14.285714285714285</v>
      </c>
    </row>
    <row r="10" spans="1:12" ht="21.75">
      <c r="A10" s="76" t="s">
        <v>107</v>
      </c>
      <c r="B10" s="6" t="s">
        <v>18</v>
      </c>
      <c r="C10" s="30">
        <v>60</v>
      </c>
      <c r="D10" s="30">
        <v>70</v>
      </c>
      <c r="E10" s="30">
        <v>60</v>
      </c>
      <c r="F10" s="30">
        <v>70</v>
      </c>
      <c r="G10" s="30">
        <v>56</v>
      </c>
      <c r="H10" s="30">
        <v>65</v>
      </c>
      <c r="I10" s="31">
        <f>((C10+D10)/2-(G10+H10)/2)/((G10+H10)/2)*100</f>
        <v>7.4380165289256199</v>
      </c>
      <c r="J10" s="62">
        <v>54</v>
      </c>
      <c r="K10" s="62">
        <v>58</v>
      </c>
      <c r="L10" s="32">
        <f>((C10+D10)/2-(J10+K10)/2)/((J10+K10)/2)*100</f>
        <v>16.071428571428573</v>
      </c>
    </row>
    <row r="11" spans="1:12" ht="21.75">
      <c r="A11" s="76" t="s">
        <v>19</v>
      </c>
      <c r="B11" s="6" t="s">
        <v>18</v>
      </c>
      <c r="C11" s="30">
        <v>55</v>
      </c>
      <c r="D11" s="30">
        <v>60</v>
      </c>
      <c r="E11" s="30">
        <v>55</v>
      </c>
      <c r="F11" s="30">
        <v>60</v>
      </c>
      <c r="G11" s="30">
        <v>52</v>
      </c>
      <c r="H11" s="30">
        <v>60</v>
      </c>
      <c r="I11" s="31">
        <f>((C11+D11)/2-(G11+H11)/2)/((G11+H11)/2)*100</f>
        <v>2.6785714285714284</v>
      </c>
      <c r="J11" s="62">
        <v>50</v>
      </c>
      <c r="K11" s="62">
        <v>54</v>
      </c>
      <c r="L11" s="32">
        <f>((C11+D11)/2-(J11+K11)/2)/((J11+K11)/2)*100</f>
        <v>10.576923076923077</v>
      </c>
    </row>
    <row r="12" spans="1:12" ht="18" customHeight="1">
      <c r="A12" s="77" t="s">
        <v>20</v>
      </c>
      <c r="B12" s="65"/>
      <c r="C12" s="33"/>
      <c r="D12" s="33"/>
      <c r="E12" s="33"/>
      <c r="F12" s="33"/>
      <c r="G12" s="33"/>
      <c r="H12" s="33"/>
      <c r="I12" s="29" t="s">
        <v>0</v>
      </c>
      <c r="J12" s="83"/>
      <c r="K12" s="83"/>
      <c r="L12" s="34"/>
    </row>
    <row r="13" spans="1:12" ht="21.75">
      <c r="A13" s="76" t="s">
        <v>21</v>
      </c>
      <c r="B13" s="6" t="s">
        <v>18</v>
      </c>
      <c r="C13" s="30">
        <v>40</v>
      </c>
      <c r="D13" s="30">
        <v>45</v>
      </c>
      <c r="E13" s="30">
        <v>40</v>
      </c>
      <c r="F13" s="30">
        <v>43</v>
      </c>
      <c r="G13" s="30">
        <v>40</v>
      </c>
      <c r="H13" s="30">
        <v>45</v>
      </c>
      <c r="I13" s="31">
        <f>((C13+D13)/2-(G13+H13)/2)/((G13+H13)/2)*100</f>
        <v>0</v>
      </c>
      <c r="J13" s="62">
        <v>40</v>
      </c>
      <c r="K13" s="62">
        <v>45</v>
      </c>
      <c r="L13" s="32">
        <f>((C13+D13)/2-(J13+K13)/2)/((J13+K13)/2)*100</f>
        <v>0</v>
      </c>
    </row>
    <row r="14" spans="1:12" ht="21.75">
      <c r="A14" s="76" t="s">
        <v>22</v>
      </c>
      <c r="B14" s="6" t="s">
        <v>23</v>
      </c>
      <c r="C14" s="30">
        <v>50</v>
      </c>
      <c r="D14" s="30">
        <v>55</v>
      </c>
      <c r="E14" s="30">
        <v>50</v>
      </c>
      <c r="F14" s="30">
        <v>55</v>
      </c>
      <c r="G14" s="30">
        <v>50</v>
      </c>
      <c r="H14" s="30">
        <v>55</v>
      </c>
      <c r="I14" s="31">
        <f>((C14+D14)/2-(G14+H14)/2)/((G14+H14)/2)*100</f>
        <v>0</v>
      </c>
      <c r="J14" s="62">
        <v>50</v>
      </c>
      <c r="K14" s="62">
        <v>55</v>
      </c>
      <c r="L14" s="32">
        <f>((C14+D14)/2-(J14+K14)/2)/((J14+K14)/2)*100</f>
        <v>0</v>
      </c>
    </row>
    <row r="15" spans="1:12" ht="21.75">
      <c r="A15" s="76" t="s">
        <v>24</v>
      </c>
      <c r="B15" s="6" t="s">
        <v>18</v>
      </c>
      <c r="C15" s="30">
        <v>50</v>
      </c>
      <c r="D15" s="30">
        <v>60</v>
      </c>
      <c r="E15" s="30">
        <v>50</v>
      </c>
      <c r="F15" s="30">
        <v>60</v>
      </c>
      <c r="G15" s="30">
        <v>50</v>
      </c>
      <c r="H15" s="30">
        <v>60</v>
      </c>
      <c r="I15" s="31">
        <f>((C15+D15)/2-(G15+H15)/2)/((G15+H15)/2)*100</f>
        <v>0</v>
      </c>
      <c r="J15" s="62">
        <v>55</v>
      </c>
      <c r="K15" s="62">
        <v>60</v>
      </c>
      <c r="L15" s="32">
        <f>((C15+D15)/2-(J15+K15)/2)/((J15+K15)/2)*100</f>
        <v>-4.3478260869565215</v>
      </c>
    </row>
    <row r="16" spans="1:12" ht="21.75">
      <c r="A16" s="76" t="s">
        <v>25</v>
      </c>
      <c r="B16" s="6" t="s">
        <v>23</v>
      </c>
      <c r="C16" s="30">
        <v>65</v>
      </c>
      <c r="D16" s="30">
        <v>70</v>
      </c>
      <c r="E16" s="30">
        <v>65</v>
      </c>
      <c r="F16" s="30">
        <v>70</v>
      </c>
      <c r="G16" s="30">
        <v>65</v>
      </c>
      <c r="H16" s="30">
        <v>70</v>
      </c>
      <c r="I16" s="31">
        <f>((C16+D16)/2-(G16+H16)/2)/((G16+H16)/2)*100</f>
        <v>0</v>
      </c>
      <c r="J16" s="62">
        <v>65</v>
      </c>
      <c r="K16" s="62">
        <v>70</v>
      </c>
      <c r="L16" s="32">
        <f>((C16+D16)/2-(J16+K16)/2)/((J16+K16)/2)*100</f>
        <v>0</v>
      </c>
    </row>
    <row r="17" spans="1:12" ht="18" customHeight="1">
      <c r="A17" s="77" t="s">
        <v>26</v>
      </c>
      <c r="B17" s="65"/>
      <c r="C17" s="33" t="s">
        <v>0</v>
      </c>
      <c r="D17" s="33"/>
      <c r="E17" s="33" t="s">
        <v>0</v>
      </c>
      <c r="F17" s="33"/>
      <c r="G17" s="33" t="s">
        <v>0</v>
      </c>
      <c r="H17" s="33"/>
      <c r="I17" s="34"/>
      <c r="J17" s="83" t="s">
        <v>0</v>
      </c>
      <c r="K17" s="83"/>
      <c r="L17" s="29"/>
    </row>
    <row r="18" spans="1:12" ht="21.75">
      <c r="A18" s="76" t="s">
        <v>27</v>
      </c>
      <c r="B18" s="6" t="s">
        <v>28</v>
      </c>
      <c r="C18" s="30">
        <v>160</v>
      </c>
      <c r="D18" s="30">
        <v>170</v>
      </c>
      <c r="E18" s="30">
        <v>160</v>
      </c>
      <c r="F18" s="30">
        <v>170</v>
      </c>
      <c r="G18" s="30">
        <v>157</v>
      </c>
      <c r="H18" s="30">
        <v>168</v>
      </c>
      <c r="I18" s="31">
        <f t="shared" ref="I18:I24" si="0">((C18+D18)/2-(G18+H18)/2)/((G18+H18)/2)*100</f>
        <v>1.5384615384615385</v>
      </c>
      <c r="J18" s="62">
        <v>145</v>
      </c>
      <c r="K18" s="62">
        <v>155</v>
      </c>
      <c r="L18" s="32">
        <f t="shared" ref="L18:L24" si="1">((C18+D18)/2-(J18+K18)/2)/((J18+K18)/2)*100</f>
        <v>10</v>
      </c>
    </row>
    <row r="19" spans="1:12" ht="21.75">
      <c r="A19" s="76" t="s">
        <v>29</v>
      </c>
      <c r="B19" s="6" t="s">
        <v>30</v>
      </c>
      <c r="C19" s="30">
        <v>880</v>
      </c>
      <c r="D19" s="30">
        <v>920</v>
      </c>
      <c r="E19" s="30">
        <v>880</v>
      </c>
      <c r="F19" s="30">
        <v>920</v>
      </c>
      <c r="G19" s="30">
        <v>880</v>
      </c>
      <c r="H19" s="30">
        <v>920</v>
      </c>
      <c r="I19" s="31">
        <f t="shared" si="0"/>
        <v>0</v>
      </c>
      <c r="J19" s="62">
        <v>780</v>
      </c>
      <c r="K19" s="62">
        <v>810</v>
      </c>
      <c r="L19" s="32">
        <f t="shared" si="1"/>
        <v>13.20754716981132</v>
      </c>
    </row>
    <row r="20" spans="1:12" ht="21.75">
      <c r="A20" s="76" t="s">
        <v>29</v>
      </c>
      <c r="B20" s="6" t="s">
        <v>31</v>
      </c>
      <c r="C20" s="30">
        <v>370</v>
      </c>
      <c r="D20" s="30">
        <v>378</v>
      </c>
      <c r="E20" s="30">
        <v>370</v>
      </c>
      <c r="F20" s="30">
        <v>378</v>
      </c>
      <c r="G20" s="30">
        <v>375</v>
      </c>
      <c r="H20" s="30">
        <v>378</v>
      </c>
      <c r="I20" s="31">
        <f t="shared" si="0"/>
        <v>-0.66401062416998669</v>
      </c>
      <c r="J20" s="62">
        <v>322</v>
      </c>
      <c r="K20" s="62">
        <v>325</v>
      </c>
      <c r="L20" s="32">
        <f t="shared" si="1"/>
        <v>15.610510046367851</v>
      </c>
    </row>
    <row r="21" spans="1:12" ht="21.75">
      <c r="A21" s="76" t="s">
        <v>29</v>
      </c>
      <c r="B21" s="6" t="s">
        <v>32</v>
      </c>
      <c r="C21" s="30">
        <v>185</v>
      </c>
      <c r="D21" s="30">
        <v>190</v>
      </c>
      <c r="E21" s="30">
        <v>185</v>
      </c>
      <c r="F21" s="30">
        <v>189</v>
      </c>
      <c r="G21" s="30">
        <v>188</v>
      </c>
      <c r="H21" s="30">
        <v>190</v>
      </c>
      <c r="I21" s="31">
        <f t="shared" si="0"/>
        <v>-0.79365079365079361</v>
      </c>
      <c r="J21" s="62">
        <v>165</v>
      </c>
      <c r="K21" s="62">
        <v>167</v>
      </c>
      <c r="L21" s="32">
        <f t="shared" si="1"/>
        <v>12.951807228915662</v>
      </c>
    </row>
    <row r="22" spans="1:12" ht="21.75">
      <c r="A22" s="76" t="s">
        <v>33</v>
      </c>
      <c r="B22" s="6" t="s">
        <v>28</v>
      </c>
      <c r="C22" s="30">
        <v>147</v>
      </c>
      <c r="D22" s="30">
        <v>155</v>
      </c>
      <c r="E22" s="30">
        <v>147</v>
      </c>
      <c r="F22" s="30">
        <v>155</v>
      </c>
      <c r="G22" s="30">
        <v>145</v>
      </c>
      <c r="H22" s="30">
        <v>154</v>
      </c>
      <c r="I22" s="31">
        <f t="shared" si="0"/>
        <v>1.0033444816053512</v>
      </c>
      <c r="J22" s="62">
        <v>125</v>
      </c>
      <c r="K22" s="62">
        <v>135</v>
      </c>
      <c r="L22" s="32">
        <f t="shared" si="1"/>
        <v>16.153846153846153</v>
      </c>
    </row>
    <row r="23" spans="1:12" ht="21.75">
      <c r="A23" s="76" t="s">
        <v>108</v>
      </c>
      <c r="B23" s="6" t="s">
        <v>28</v>
      </c>
      <c r="C23" s="30">
        <v>152</v>
      </c>
      <c r="D23" s="30">
        <v>160</v>
      </c>
      <c r="E23" s="30">
        <v>152</v>
      </c>
      <c r="F23" s="30">
        <v>160</v>
      </c>
      <c r="G23" s="30">
        <v>150</v>
      </c>
      <c r="H23" s="30">
        <v>162</v>
      </c>
      <c r="I23" s="31">
        <f t="shared" si="0"/>
        <v>0</v>
      </c>
      <c r="J23" s="62">
        <v>135</v>
      </c>
      <c r="K23" s="62">
        <v>140</v>
      </c>
      <c r="L23" s="32">
        <f t="shared" si="1"/>
        <v>13.454545454545455</v>
      </c>
    </row>
    <row r="24" spans="1:12" ht="21.75">
      <c r="A24" s="76" t="s">
        <v>34</v>
      </c>
      <c r="B24" s="6" t="s">
        <v>30</v>
      </c>
      <c r="C24" s="30">
        <v>1030</v>
      </c>
      <c r="D24" s="30">
        <v>1080</v>
      </c>
      <c r="E24" s="30">
        <v>1030</v>
      </c>
      <c r="F24" s="30">
        <v>1080</v>
      </c>
      <c r="G24" s="30">
        <v>1030</v>
      </c>
      <c r="H24" s="30">
        <v>1070</v>
      </c>
      <c r="I24" s="31">
        <f t="shared" si="0"/>
        <v>0.47619047619047622</v>
      </c>
      <c r="J24" s="62">
        <v>860</v>
      </c>
      <c r="K24" s="62">
        <v>880</v>
      </c>
      <c r="L24" s="32">
        <f t="shared" si="1"/>
        <v>21.264367816091951</v>
      </c>
    </row>
    <row r="25" spans="1:12" ht="21.75">
      <c r="A25" s="77" t="s">
        <v>35</v>
      </c>
      <c r="B25" s="65"/>
      <c r="C25" s="35"/>
      <c r="D25" s="35" t="s">
        <v>36</v>
      </c>
      <c r="E25" s="35"/>
      <c r="F25" s="35" t="s">
        <v>36</v>
      </c>
      <c r="G25" s="35"/>
      <c r="H25" s="35" t="s">
        <v>36</v>
      </c>
      <c r="I25" s="34"/>
      <c r="J25" s="84"/>
      <c r="K25" s="84" t="s">
        <v>36</v>
      </c>
      <c r="L25" s="34"/>
    </row>
    <row r="26" spans="1:12" ht="21.75">
      <c r="A26" s="76" t="s">
        <v>37</v>
      </c>
      <c r="B26" s="6" t="s">
        <v>18</v>
      </c>
      <c r="C26" s="30">
        <v>95</v>
      </c>
      <c r="D26" s="30">
        <v>110</v>
      </c>
      <c r="E26" s="30">
        <v>100</v>
      </c>
      <c r="F26" s="30">
        <v>110</v>
      </c>
      <c r="G26" s="30">
        <v>95</v>
      </c>
      <c r="H26" s="30">
        <v>110</v>
      </c>
      <c r="I26" s="31">
        <f t="shared" ref="I26:I32" si="2">((C26+D26)/2-(G26+H26)/2)/((G26+H26)/2)*100</f>
        <v>0</v>
      </c>
      <c r="J26" s="62">
        <v>105</v>
      </c>
      <c r="K26" s="62">
        <v>110</v>
      </c>
      <c r="L26" s="32">
        <f t="shared" ref="L26:L32" si="3">((C26+D26)/2-(J26+K26)/2)/((J26+K26)/2)*100</f>
        <v>-4.6511627906976747</v>
      </c>
    </row>
    <row r="27" spans="1:12" ht="21.75">
      <c r="A27" s="76" t="s">
        <v>112</v>
      </c>
      <c r="B27" s="6" t="s">
        <v>18</v>
      </c>
      <c r="C27" s="30">
        <v>105</v>
      </c>
      <c r="D27" s="30">
        <v>120</v>
      </c>
      <c r="E27" s="30">
        <v>105</v>
      </c>
      <c r="F27" s="30">
        <v>120</v>
      </c>
      <c r="G27" s="30">
        <v>105</v>
      </c>
      <c r="H27" s="30">
        <v>120</v>
      </c>
      <c r="I27" s="31">
        <f t="shared" si="2"/>
        <v>0</v>
      </c>
      <c r="J27" s="62">
        <v>115</v>
      </c>
      <c r="K27" s="62">
        <v>120</v>
      </c>
      <c r="L27" s="32">
        <f t="shared" si="3"/>
        <v>-4.2553191489361701</v>
      </c>
    </row>
    <row r="28" spans="1:12" ht="21.75">
      <c r="A28" s="76" t="s">
        <v>38</v>
      </c>
      <c r="B28" s="6" t="s">
        <v>18</v>
      </c>
      <c r="C28" s="30">
        <v>125</v>
      </c>
      <c r="D28" s="30">
        <v>140</v>
      </c>
      <c r="E28" s="30">
        <v>125</v>
      </c>
      <c r="F28" s="30">
        <v>135</v>
      </c>
      <c r="G28" s="30">
        <v>125</v>
      </c>
      <c r="H28" s="30">
        <v>135</v>
      </c>
      <c r="I28" s="31">
        <f t="shared" si="2"/>
        <v>1.9230769230769231</v>
      </c>
      <c r="J28" s="62">
        <v>130</v>
      </c>
      <c r="K28" s="62">
        <v>140</v>
      </c>
      <c r="L28" s="32">
        <f t="shared" si="3"/>
        <v>-1.8518518518518516</v>
      </c>
    </row>
    <row r="29" spans="1:12" ht="21.75">
      <c r="A29" s="76" t="s">
        <v>39</v>
      </c>
      <c r="B29" s="6" t="s">
        <v>18</v>
      </c>
      <c r="C29" s="30">
        <v>125</v>
      </c>
      <c r="D29" s="30">
        <v>180</v>
      </c>
      <c r="E29" s="30">
        <v>125</v>
      </c>
      <c r="F29" s="30">
        <v>180</v>
      </c>
      <c r="G29" s="30">
        <v>125</v>
      </c>
      <c r="H29" s="30">
        <v>180</v>
      </c>
      <c r="I29" s="31">
        <f t="shared" si="2"/>
        <v>0</v>
      </c>
      <c r="J29" s="62">
        <v>160</v>
      </c>
      <c r="K29" s="62">
        <v>185</v>
      </c>
      <c r="L29" s="32">
        <f t="shared" si="3"/>
        <v>-11.594202898550725</v>
      </c>
    </row>
    <row r="30" spans="1:12" ht="21.75">
      <c r="A30" s="76" t="s">
        <v>40</v>
      </c>
      <c r="B30" s="6" t="s">
        <v>18</v>
      </c>
      <c r="C30" s="30">
        <v>55</v>
      </c>
      <c r="D30" s="30">
        <v>80</v>
      </c>
      <c r="E30" s="30">
        <v>70</v>
      </c>
      <c r="F30" s="30">
        <v>80</v>
      </c>
      <c r="G30" s="30">
        <v>50</v>
      </c>
      <c r="H30" s="30">
        <v>80</v>
      </c>
      <c r="I30" s="31">
        <f t="shared" si="2"/>
        <v>3.8461538461538463</v>
      </c>
      <c r="J30" s="62">
        <v>80</v>
      </c>
      <c r="K30" s="62">
        <v>90</v>
      </c>
      <c r="L30" s="32">
        <f t="shared" si="3"/>
        <v>-20.588235294117645</v>
      </c>
    </row>
    <row r="31" spans="1:12" ht="21.75">
      <c r="A31" s="76" t="s">
        <v>41</v>
      </c>
      <c r="B31" s="6" t="s">
        <v>18</v>
      </c>
      <c r="C31" s="30">
        <v>90</v>
      </c>
      <c r="D31" s="30">
        <v>110</v>
      </c>
      <c r="E31" s="30">
        <v>90</v>
      </c>
      <c r="F31" s="30">
        <v>110</v>
      </c>
      <c r="G31" s="30">
        <v>90</v>
      </c>
      <c r="H31" s="30">
        <v>110</v>
      </c>
      <c r="I31" s="31">
        <f t="shared" si="2"/>
        <v>0</v>
      </c>
      <c r="J31" s="62">
        <v>110</v>
      </c>
      <c r="K31" s="62">
        <v>120</v>
      </c>
      <c r="L31" s="32">
        <f t="shared" si="3"/>
        <v>-13.043478260869565</v>
      </c>
    </row>
    <row r="32" spans="1:12" ht="21.75">
      <c r="A32" s="76" t="s">
        <v>42</v>
      </c>
      <c r="B32" s="6" t="s">
        <v>18</v>
      </c>
      <c r="C32" s="30">
        <v>25</v>
      </c>
      <c r="D32" s="30">
        <v>30</v>
      </c>
      <c r="E32" s="30">
        <v>25</v>
      </c>
      <c r="F32" s="30">
        <v>28</v>
      </c>
      <c r="G32" s="30">
        <v>20</v>
      </c>
      <c r="H32" s="30">
        <v>25</v>
      </c>
      <c r="I32" s="31">
        <f t="shared" si="2"/>
        <v>22.222222222222221</v>
      </c>
      <c r="J32" s="62">
        <v>55</v>
      </c>
      <c r="K32" s="62">
        <v>60</v>
      </c>
      <c r="L32" s="32">
        <f t="shared" si="3"/>
        <v>-52.173913043478258</v>
      </c>
    </row>
    <row r="33" spans="1:12" ht="21.75">
      <c r="A33" s="77" t="s">
        <v>43</v>
      </c>
      <c r="B33" s="65"/>
      <c r="C33" s="35"/>
      <c r="D33" s="35"/>
      <c r="E33" s="35"/>
      <c r="F33" s="35"/>
      <c r="G33" s="35"/>
      <c r="H33" s="35"/>
      <c r="I33" s="34"/>
      <c r="J33" s="84"/>
      <c r="K33" s="84"/>
      <c r="L33" s="34"/>
    </row>
    <row r="34" spans="1:12" ht="21.75">
      <c r="A34" s="76" t="s">
        <v>92</v>
      </c>
      <c r="B34" s="6" t="s">
        <v>18</v>
      </c>
      <c r="C34" s="30">
        <v>60</v>
      </c>
      <c r="D34" s="30">
        <v>65</v>
      </c>
      <c r="E34" s="30">
        <v>55</v>
      </c>
      <c r="F34" s="30">
        <v>65</v>
      </c>
      <c r="G34" s="30">
        <v>50</v>
      </c>
      <c r="H34" s="30">
        <v>60</v>
      </c>
      <c r="I34" s="31">
        <f t="shared" ref="I34:I49" si="4">((C34+D34)/2-(G34+H34)/2)/((G34+H34)/2)*100</f>
        <v>13.636363636363635</v>
      </c>
      <c r="J34" s="62">
        <v>110</v>
      </c>
      <c r="K34" s="62">
        <v>120</v>
      </c>
      <c r="L34" s="32">
        <f t="shared" ref="L34:L49" si="5">((C34+D34)/2-(J34+K34)/2)/((J34+K34)/2)*100</f>
        <v>-45.652173913043477</v>
      </c>
    </row>
    <row r="35" spans="1:12" ht="21.75">
      <c r="A35" s="76" t="s">
        <v>44</v>
      </c>
      <c r="B35" s="6" t="s">
        <v>18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 t="e">
        <f t="shared" si="4"/>
        <v>#DIV/0!</v>
      </c>
      <c r="J35" s="62">
        <v>105</v>
      </c>
      <c r="K35" s="62">
        <v>120</v>
      </c>
      <c r="L35" s="32">
        <f t="shared" si="5"/>
        <v>-100</v>
      </c>
    </row>
    <row r="36" spans="1:12" ht="21.75">
      <c r="A36" s="76" t="s">
        <v>45</v>
      </c>
      <c r="B36" s="6" t="s">
        <v>18</v>
      </c>
      <c r="C36" s="30">
        <v>100</v>
      </c>
      <c r="D36" s="30">
        <v>150</v>
      </c>
      <c r="E36" s="30">
        <v>100</v>
      </c>
      <c r="F36" s="30">
        <v>150</v>
      </c>
      <c r="G36" s="30">
        <v>90</v>
      </c>
      <c r="H36" s="30">
        <v>140</v>
      </c>
      <c r="I36" s="31">
        <f t="shared" si="4"/>
        <v>8.695652173913043</v>
      </c>
      <c r="J36" s="62">
        <v>200</v>
      </c>
      <c r="K36" s="62">
        <v>220</v>
      </c>
      <c r="L36" s="32">
        <f t="shared" si="5"/>
        <v>-40.476190476190474</v>
      </c>
    </row>
    <row r="37" spans="1:12" ht="21.75">
      <c r="A37" s="76" t="s">
        <v>46</v>
      </c>
      <c r="B37" s="6" t="s">
        <v>18</v>
      </c>
      <c r="C37" s="30">
        <v>160</v>
      </c>
      <c r="D37" s="30">
        <v>200</v>
      </c>
      <c r="E37" s="30">
        <v>160</v>
      </c>
      <c r="F37" s="30">
        <v>200</v>
      </c>
      <c r="G37" s="30">
        <v>140</v>
      </c>
      <c r="H37" s="30">
        <v>220</v>
      </c>
      <c r="I37" s="31">
        <f t="shared" si="4"/>
        <v>0</v>
      </c>
      <c r="J37" s="62">
        <v>190</v>
      </c>
      <c r="K37" s="62">
        <v>220</v>
      </c>
      <c r="L37" s="32">
        <f t="shared" si="5"/>
        <v>-12.195121951219512</v>
      </c>
    </row>
    <row r="38" spans="1:12" ht="21.75">
      <c r="A38" s="76" t="s">
        <v>47</v>
      </c>
      <c r="B38" s="6" t="s">
        <v>18</v>
      </c>
      <c r="C38" s="30">
        <v>220</v>
      </c>
      <c r="D38" s="30">
        <v>350</v>
      </c>
      <c r="E38" s="30">
        <v>220</v>
      </c>
      <c r="F38" s="30">
        <v>350</v>
      </c>
      <c r="G38" s="30">
        <v>200</v>
      </c>
      <c r="H38" s="30">
        <v>350</v>
      </c>
      <c r="I38" s="31">
        <f t="shared" si="4"/>
        <v>3.6363636363636362</v>
      </c>
      <c r="J38" s="62">
        <v>320</v>
      </c>
      <c r="K38" s="62">
        <v>400</v>
      </c>
      <c r="L38" s="32">
        <f t="shared" si="5"/>
        <v>-20.833333333333336</v>
      </c>
    </row>
    <row r="39" spans="1:12" ht="21.75">
      <c r="A39" s="76" t="s">
        <v>48</v>
      </c>
      <c r="B39" s="6" t="s">
        <v>18</v>
      </c>
      <c r="C39" s="30">
        <v>300</v>
      </c>
      <c r="D39" s="30">
        <v>450</v>
      </c>
      <c r="E39" s="30">
        <v>300</v>
      </c>
      <c r="F39" s="30">
        <v>450</v>
      </c>
      <c r="G39" s="30">
        <v>280</v>
      </c>
      <c r="H39" s="30">
        <v>450</v>
      </c>
      <c r="I39" s="31">
        <f t="shared" si="4"/>
        <v>2.7397260273972601</v>
      </c>
      <c r="J39" s="62">
        <v>420</v>
      </c>
      <c r="K39" s="62">
        <v>500</v>
      </c>
      <c r="L39" s="32">
        <f t="shared" si="5"/>
        <v>-18.478260869565215</v>
      </c>
    </row>
    <row r="40" spans="1:12" ht="21.75">
      <c r="A40" s="76" t="s">
        <v>49</v>
      </c>
      <c r="B40" s="6" t="s">
        <v>18</v>
      </c>
      <c r="C40" s="30">
        <v>300</v>
      </c>
      <c r="D40" s="30">
        <v>400</v>
      </c>
      <c r="E40" s="30">
        <v>300</v>
      </c>
      <c r="F40" s="30">
        <v>400</v>
      </c>
      <c r="G40" s="30">
        <v>280</v>
      </c>
      <c r="H40" s="30">
        <v>400</v>
      </c>
      <c r="I40" s="31">
        <f t="shared" si="4"/>
        <v>2.9411764705882351</v>
      </c>
      <c r="J40" s="62">
        <v>350</v>
      </c>
      <c r="K40" s="62">
        <v>400</v>
      </c>
      <c r="L40" s="32">
        <f t="shared" si="5"/>
        <v>-6.666666666666667</v>
      </c>
    </row>
    <row r="41" spans="1:12" ht="21.75">
      <c r="A41" s="76" t="s">
        <v>50</v>
      </c>
      <c r="B41" s="6" t="s">
        <v>18</v>
      </c>
      <c r="C41" s="30">
        <v>300</v>
      </c>
      <c r="D41" s="30">
        <v>420</v>
      </c>
      <c r="E41" s="30">
        <v>300</v>
      </c>
      <c r="F41" s="30">
        <v>420</v>
      </c>
      <c r="G41" s="30">
        <v>250</v>
      </c>
      <c r="H41" s="30">
        <v>420</v>
      </c>
      <c r="I41" s="31">
        <f t="shared" si="4"/>
        <v>7.4626865671641784</v>
      </c>
      <c r="J41" s="62">
        <v>300</v>
      </c>
      <c r="K41" s="62">
        <v>350</v>
      </c>
      <c r="L41" s="32">
        <f t="shared" si="5"/>
        <v>10.76923076923077</v>
      </c>
    </row>
    <row r="42" spans="1:12" ht="21.75">
      <c r="A42" s="76" t="s">
        <v>51</v>
      </c>
      <c r="B42" s="6" t="s">
        <v>18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1" t="e">
        <f t="shared" si="4"/>
        <v>#DIV/0!</v>
      </c>
      <c r="J42" s="62">
        <v>450</v>
      </c>
      <c r="K42" s="62">
        <v>500</v>
      </c>
      <c r="L42" s="32">
        <f t="shared" si="5"/>
        <v>-100</v>
      </c>
    </row>
    <row r="43" spans="1:12" ht="21.75">
      <c r="A43" s="76" t="s">
        <v>52</v>
      </c>
      <c r="B43" s="6" t="s">
        <v>18</v>
      </c>
      <c r="C43" s="30">
        <v>120</v>
      </c>
      <c r="D43" s="30">
        <v>200</v>
      </c>
      <c r="E43" s="30">
        <v>130</v>
      </c>
      <c r="F43" s="30">
        <v>200</v>
      </c>
      <c r="G43" s="30">
        <v>110</v>
      </c>
      <c r="H43" s="30">
        <v>200</v>
      </c>
      <c r="I43" s="31">
        <f t="shared" si="4"/>
        <v>3.225806451612903</v>
      </c>
      <c r="J43" s="62">
        <v>200</v>
      </c>
      <c r="K43" s="62">
        <v>300</v>
      </c>
      <c r="L43" s="32">
        <f t="shared" si="5"/>
        <v>-36</v>
      </c>
    </row>
    <row r="44" spans="1:12" ht="21.75">
      <c r="A44" s="76" t="s">
        <v>53</v>
      </c>
      <c r="B44" s="6" t="s">
        <v>18</v>
      </c>
      <c r="C44" s="30">
        <v>600</v>
      </c>
      <c r="D44" s="30">
        <v>750</v>
      </c>
      <c r="E44" s="30">
        <v>600</v>
      </c>
      <c r="F44" s="30">
        <v>750</v>
      </c>
      <c r="G44" s="30">
        <v>600</v>
      </c>
      <c r="H44" s="30">
        <v>750</v>
      </c>
      <c r="I44" s="31">
        <f t="shared" si="4"/>
        <v>0</v>
      </c>
      <c r="J44" s="62">
        <v>700</v>
      </c>
      <c r="K44" s="62">
        <v>850</v>
      </c>
      <c r="L44" s="32">
        <f t="shared" si="5"/>
        <v>-12.903225806451612</v>
      </c>
    </row>
    <row r="45" spans="1:12" ht="21.75">
      <c r="A45" s="76" t="s">
        <v>54</v>
      </c>
      <c r="B45" s="6" t="s">
        <v>18</v>
      </c>
      <c r="C45" s="30">
        <v>480</v>
      </c>
      <c r="D45" s="30">
        <v>600</v>
      </c>
      <c r="E45" s="30">
        <v>500</v>
      </c>
      <c r="F45" s="30">
        <v>600</v>
      </c>
      <c r="G45" s="30">
        <v>500</v>
      </c>
      <c r="H45" s="30">
        <v>550</v>
      </c>
      <c r="I45" s="31">
        <f t="shared" si="4"/>
        <v>2.8571428571428572</v>
      </c>
      <c r="J45" s="62">
        <v>540</v>
      </c>
      <c r="K45" s="62">
        <v>610</v>
      </c>
      <c r="L45" s="32">
        <f t="shared" si="5"/>
        <v>-6.0869565217391308</v>
      </c>
    </row>
    <row r="46" spans="1:12" ht="21.75">
      <c r="A46" s="76" t="s">
        <v>55</v>
      </c>
      <c r="B46" s="6" t="s">
        <v>18</v>
      </c>
      <c r="C46" s="30">
        <v>1400</v>
      </c>
      <c r="D46" s="30">
        <v>1600</v>
      </c>
      <c r="E46" s="30">
        <v>1400</v>
      </c>
      <c r="F46" s="30">
        <v>1600</v>
      </c>
      <c r="G46" s="30">
        <v>1300</v>
      </c>
      <c r="H46" s="30">
        <v>1550</v>
      </c>
      <c r="I46" s="31">
        <f t="shared" si="4"/>
        <v>5.2631578947368416</v>
      </c>
      <c r="J46" s="62">
        <v>1480</v>
      </c>
      <c r="K46" s="62">
        <v>1750</v>
      </c>
      <c r="L46" s="32">
        <f t="shared" si="5"/>
        <v>-7.1207430340557281</v>
      </c>
    </row>
    <row r="47" spans="1:12" ht="21.75">
      <c r="A47" s="76" t="s">
        <v>56</v>
      </c>
      <c r="B47" s="6" t="s">
        <v>18</v>
      </c>
      <c r="C47" s="30">
        <v>4400</v>
      </c>
      <c r="D47" s="30">
        <v>5200</v>
      </c>
      <c r="E47" s="30">
        <v>4400</v>
      </c>
      <c r="F47" s="30">
        <v>5200</v>
      </c>
      <c r="G47" s="30">
        <v>4400</v>
      </c>
      <c r="H47" s="30">
        <v>5200</v>
      </c>
      <c r="I47" s="31">
        <f t="shared" si="4"/>
        <v>0</v>
      </c>
      <c r="J47" s="62">
        <v>3200</v>
      </c>
      <c r="K47" s="62">
        <v>3800</v>
      </c>
      <c r="L47" s="32">
        <f t="shared" si="5"/>
        <v>37.142857142857146</v>
      </c>
    </row>
    <row r="48" spans="1:12" ht="21.75">
      <c r="A48" s="76" t="s">
        <v>57</v>
      </c>
      <c r="B48" s="6" t="s">
        <v>18</v>
      </c>
      <c r="C48" s="30">
        <v>180</v>
      </c>
      <c r="D48" s="30">
        <v>280</v>
      </c>
      <c r="E48" s="30">
        <v>180</v>
      </c>
      <c r="F48" s="30">
        <v>280</v>
      </c>
      <c r="G48" s="30">
        <v>180</v>
      </c>
      <c r="H48" s="30">
        <v>280</v>
      </c>
      <c r="I48" s="31">
        <f t="shared" si="4"/>
        <v>0</v>
      </c>
      <c r="J48" s="62">
        <v>200</v>
      </c>
      <c r="K48" s="62">
        <v>260</v>
      </c>
      <c r="L48" s="32">
        <f t="shared" si="5"/>
        <v>0</v>
      </c>
    </row>
    <row r="49" spans="1:12" ht="21.75">
      <c r="A49" s="76" t="s">
        <v>58</v>
      </c>
      <c r="B49" s="6" t="s">
        <v>18</v>
      </c>
      <c r="C49" s="30">
        <v>180</v>
      </c>
      <c r="D49" s="30">
        <v>220</v>
      </c>
      <c r="E49" s="30">
        <v>180</v>
      </c>
      <c r="F49" s="30">
        <v>220</v>
      </c>
      <c r="G49" s="30">
        <v>140</v>
      </c>
      <c r="H49" s="30">
        <v>220</v>
      </c>
      <c r="I49" s="31">
        <f t="shared" si="4"/>
        <v>11.111111111111111</v>
      </c>
      <c r="J49" s="62">
        <v>150</v>
      </c>
      <c r="K49" s="62">
        <v>200</v>
      </c>
      <c r="L49" s="32">
        <f t="shared" si="5"/>
        <v>14.285714285714285</v>
      </c>
    </row>
    <row r="50" spans="1:12" ht="21.75">
      <c r="A50" s="74" t="s">
        <v>59</v>
      </c>
      <c r="B50" s="65"/>
      <c r="C50" s="35"/>
      <c r="D50" s="35"/>
      <c r="E50" s="35"/>
      <c r="F50" s="35"/>
      <c r="G50" s="35"/>
      <c r="H50" s="35"/>
      <c r="I50" s="34"/>
      <c r="J50" s="84"/>
      <c r="K50" s="84"/>
      <c r="L50" s="34"/>
    </row>
    <row r="51" spans="1:12" ht="21.75">
      <c r="A51" s="76" t="s">
        <v>60</v>
      </c>
      <c r="B51" s="6" t="s">
        <v>18</v>
      </c>
      <c r="C51" s="30">
        <v>300</v>
      </c>
      <c r="D51" s="30">
        <v>450</v>
      </c>
      <c r="E51" s="30">
        <v>300</v>
      </c>
      <c r="F51" s="30">
        <v>450</v>
      </c>
      <c r="G51" s="30">
        <v>280</v>
      </c>
      <c r="H51" s="30">
        <v>400</v>
      </c>
      <c r="I51" s="31">
        <f t="shared" ref="I51:I56" si="6">((C51+D51)/2-(G51+H51)/2)/((G51+H51)/2)*100</f>
        <v>10.294117647058822</v>
      </c>
      <c r="J51" s="62">
        <v>300</v>
      </c>
      <c r="K51" s="62">
        <v>400</v>
      </c>
      <c r="L51" s="32">
        <f t="shared" ref="L51:L56" si="7">((C51+D51)/2-(J51+K51)/2)/((J51+K51)/2)*100</f>
        <v>7.1428571428571423</v>
      </c>
    </row>
    <row r="52" spans="1:12" ht="21.75">
      <c r="A52" s="76" t="s">
        <v>61</v>
      </c>
      <c r="B52" s="6" t="s">
        <v>18</v>
      </c>
      <c r="C52" s="30">
        <v>900</v>
      </c>
      <c r="D52" s="30">
        <v>2000</v>
      </c>
      <c r="E52" s="30">
        <v>900</v>
      </c>
      <c r="F52" s="30">
        <v>2000</v>
      </c>
      <c r="G52" s="30">
        <v>900</v>
      </c>
      <c r="H52" s="30">
        <v>2200</v>
      </c>
      <c r="I52" s="31">
        <f t="shared" si="6"/>
        <v>-6.4516129032258061</v>
      </c>
      <c r="J52" s="62">
        <v>800</v>
      </c>
      <c r="K52" s="62">
        <v>1600</v>
      </c>
      <c r="L52" s="32">
        <f t="shared" si="7"/>
        <v>20.833333333333336</v>
      </c>
    </row>
    <row r="53" spans="1:12" ht="21.75">
      <c r="A53" s="76" t="s">
        <v>93</v>
      </c>
      <c r="B53" s="6" t="s">
        <v>18</v>
      </c>
      <c r="C53" s="30">
        <v>750</v>
      </c>
      <c r="D53" s="30">
        <v>800</v>
      </c>
      <c r="E53" s="30">
        <v>750</v>
      </c>
      <c r="F53" s="30">
        <v>800</v>
      </c>
      <c r="G53" s="30">
        <v>750</v>
      </c>
      <c r="H53" s="30">
        <v>800</v>
      </c>
      <c r="I53" s="31">
        <f t="shared" si="6"/>
        <v>0</v>
      </c>
      <c r="J53" s="62">
        <v>750</v>
      </c>
      <c r="K53" s="62">
        <v>780</v>
      </c>
      <c r="L53" s="32">
        <f t="shared" si="7"/>
        <v>1.3071895424836601</v>
      </c>
    </row>
    <row r="54" spans="1:12" ht="21.75">
      <c r="A54" s="76" t="s">
        <v>94</v>
      </c>
      <c r="B54" s="6" t="s">
        <v>18</v>
      </c>
      <c r="C54" s="30">
        <v>1100</v>
      </c>
      <c r="D54" s="30">
        <v>1250</v>
      </c>
      <c r="E54" s="30">
        <v>1100</v>
      </c>
      <c r="F54" s="30">
        <v>1250</v>
      </c>
      <c r="G54" s="30">
        <v>1100</v>
      </c>
      <c r="H54" s="30">
        <v>1250</v>
      </c>
      <c r="I54" s="31">
        <f t="shared" si="6"/>
        <v>0</v>
      </c>
      <c r="J54" s="62">
        <v>1000</v>
      </c>
      <c r="K54" s="62">
        <v>1100</v>
      </c>
      <c r="L54" s="32">
        <f t="shared" si="7"/>
        <v>11.904761904761903</v>
      </c>
    </row>
    <row r="55" spans="1:12" ht="21.75">
      <c r="A55" s="76" t="s">
        <v>62</v>
      </c>
      <c r="B55" s="6" t="s">
        <v>18</v>
      </c>
      <c r="C55" s="30">
        <v>160</v>
      </c>
      <c r="D55" s="30">
        <v>170</v>
      </c>
      <c r="E55" s="30">
        <v>150</v>
      </c>
      <c r="F55" s="30">
        <v>170</v>
      </c>
      <c r="G55" s="30">
        <v>150</v>
      </c>
      <c r="H55" s="30">
        <v>180</v>
      </c>
      <c r="I55" s="31">
        <f t="shared" si="6"/>
        <v>0</v>
      </c>
      <c r="J55" s="62">
        <v>170</v>
      </c>
      <c r="K55" s="62">
        <v>180</v>
      </c>
      <c r="L55" s="32">
        <f t="shared" si="7"/>
        <v>-5.7142857142857144</v>
      </c>
    </row>
    <row r="56" spans="1:12" ht="21.75">
      <c r="A56" s="76" t="s">
        <v>63</v>
      </c>
      <c r="B56" s="6" t="s">
        <v>18</v>
      </c>
      <c r="C56" s="30">
        <v>580</v>
      </c>
      <c r="D56" s="30">
        <v>700</v>
      </c>
      <c r="E56" s="30">
        <v>580</v>
      </c>
      <c r="F56" s="30">
        <v>700</v>
      </c>
      <c r="G56" s="30">
        <v>620</v>
      </c>
      <c r="H56" s="30">
        <v>700</v>
      </c>
      <c r="I56" s="31">
        <f t="shared" si="6"/>
        <v>-3.0303030303030303</v>
      </c>
      <c r="J56" s="62">
        <v>560</v>
      </c>
      <c r="K56" s="62">
        <v>700</v>
      </c>
      <c r="L56" s="32">
        <f t="shared" si="7"/>
        <v>1.5873015873015872</v>
      </c>
    </row>
    <row r="57" spans="1:12" ht="21.75">
      <c r="A57" s="78" t="s">
        <v>64</v>
      </c>
      <c r="B57" s="66"/>
      <c r="C57" s="37"/>
      <c r="D57" s="37"/>
      <c r="E57" s="37"/>
      <c r="F57" s="37"/>
      <c r="G57" s="37"/>
      <c r="H57" s="37"/>
      <c r="I57" s="36"/>
      <c r="J57" s="85"/>
      <c r="K57" s="85"/>
      <c r="L57" s="36"/>
    </row>
    <row r="58" spans="1:12" ht="23.25" customHeight="1">
      <c r="A58" s="76" t="s">
        <v>65</v>
      </c>
      <c r="B58" s="6" t="s">
        <v>66</v>
      </c>
      <c r="C58" s="30">
        <v>720</v>
      </c>
      <c r="D58" s="30">
        <v>860</v>
      </c>
      <c r="E58" s="30">
        <v>720</v>
      </c>
      <c r="F58" s="30">
        <v>860</v>
      </c>
      <c r="G58" s="30">
        <v>720</v>
      </c>
      <c r="H58" s="30">
        <v>860</v>
      </c>
      <c r="I58" s="31">
        <f>((C58+D58)/2-(G58+H58)/2)/((G58+H58)/2)*100</f>
        <v>0</v>
      </c>
      <c r="J58" s="62">
        <v>800</v>
      </c>
      <c r="K58" s="62">
        <v>820</v>
      </c>
      <c r="L58" s="32">
        <f>((C58+D58)/2-(J58+K58)/2)/((J58+K58)/2)*100</f>
        <v>-2.4691358024691357</v>
      </c>
    </row>
    <row r="59" spans="1:12" ht="20.25" customHeight="1">
      <c r="A59" s="76" t="s">
        <v>67</v>
      </c>
      <c r="B59" s="6" t="s">
        <v>66</v>
      </c>
      <c r="C59" s="30">
        <v>840</v>
      </c>
      <c r="D59" s="30">
        <v>910</v>
      </c>
      <c r="E59" s="30">
        <v>840</v>
      </c>
      <c r="F59" s="30">
        <v>910</v>
      </c>
      <c r="G59" s="30">
        <v>840</v>
      </c>
      <c r="H59" s="30">
        <v>910</v>
      </c>
      <c r="I59" s="31">
        <f>((C59+D59)/2-(G59+H59)/2)/((G59+H59)/2)*100</f>
        <v>0</v>
      </c>
      <c r="J59" s="62">
        <v>790</v>
      </c>
      <c r="K59" s="62">
        <v>820</v>
      </c>
      <c r="L59" s="32">
        <f>((C59+D59)/2-(J59+K59)/2)/((J59+K59)/2)*100</f>
        <v>8.695652173913043</v>
      </c>
    </row>
    <row r="60" spans="1:12" ht="22.5" customHeight="1">
      <c r="A60" s="76" t="s">
        <v>68</v>
      </c>
      <c r="B60" s="6" t="s">
        <v>66</v>
      </c>
      <c r="C60" s="30">
        <v>830</v>
      </c>
      <c r="D60" s="30">
        <v>890</v>
      </c>
      <c r="E60" s="30">
        <v>830</v>
      </c>
      <c r="F60" s="30">
        <v>890</v>
      </c>
      <c r="G60" s="30">
        <v>830</v>
      </c>
      <c r="H60" s="30">
        <v>890</v>
      </c>
      <c r="I60" s="31">
        <f>((C60+D60)/2-(G60+H60)/2)/((G60+H60)/2)*100</f>
        <v>0</v>
      </c>
      <c r="J60" s="62">
        <v>780</v>
      </c>
      <c r="K60" s="62">
        <v>800</v>
      </c>
      <c r="L60" s="32">
        <f>((C60+D60)/2-(J60+K60)/2)/((J60+K60)/2)*100</f>
        <v>8.8607594936708853</v>
      </c>
    </row>
    <row r="61" spans="1:12" ht="24" customHeight="1">
      <c r="A61" s="76" t="s">
        <v>69</v>
      </c>
      <c r="B61" s="67" t="s">
        <v>66</v>
      </c>
      <c r="C61" s="30">
        <v>830</v>
      </c>
      <c r="D61" s="30">
        <v>900</v>
      </c>
      <c r="E61" s="30">
        <v>830</v>
      </c>
      <c r="F61" s="30">
        <v>900</v>
      </c>
      <c r="G61" s="30">
        <v>830</v>
      </c>
      <c r="H61" s="30">
        <v>900</v>
      </c>
      <c r="I61" s="31">
        <f>((C61+D61)/2-(G61+H61)/2)/((G61+H61)/2)*100</f>
        <v>0</v>
      </c>
      <c r="J61" s="62">
        <v>790</v>
      </c>
      <c r="K61" s="62">
        <v>800</v>
      </c>
      <c r="L61" s="32">
        <f>((C61+D61)/2-(J61+K61)/2)/((J61+K61)/2)*100</f>
        <v>8.8050314465408803</v>
      </c>
    </row>
    <row r="62" spans="1:12" ht="20.25" customHeight="1">
      <c r="A62" s="79"/>
      <c r="B62" s="68"/>
      <c r="C62" s="69"/>
      <c r="D62" s="69"/>
      <c r="E62" s="69"/>
      <c r="F62" s="69"/>
      <c r="G62" s="69"/>
      <c r="H62" s="69"/>
      <c r="I62" s="10"/>
      <c r="J62" s="88"/>
      <c r="K62" s="88"/>
      <c r="L62" s="89"/>
    </row>
    <row r="63" spans="1:12" ht="20.25" customHeight="1">
      <c r="A63" s="79"/>
      <c r="B63" s="3"/>
      <c r="C63" s="69"/>
      <c r="D63" s="69"/>
      <c r="E63" s="69"/>
      <c r="F63" s="69"/>
      <c r="G63" s="69"/>
      <c r="H63" s="69"/>
      <c r="I63" s="10"/>
      <c r="J63" s="82"/>
      <c r="K63" s="82"/>
      <c r="L63" s="70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1.75">
      <c r="A65" s="76" t="s">
        <v>4</v>
      </c>
      <c r="B65" s="6" t="s">
        <v>5</v>
      </c>
      <c r="C65" s="93" t="s">
        <v>6</v>
      </c>
      <c r="D65" s="94"/>
      <c r="E65" s="93" t="s">
        <v>7</v>
      </c>
      <c r="F65" s="94"/>
      <c r="G65" s="93" t="s">
        <v>8</v>
      </c>
      <c r="H65" s="94"/>
      <c r="I65" s="27" t="s">
        <v>9</v>
      </c>
      <c r="J65" s="93" t="s">
        <v>10</v>
      </c>
      <c r="K65" s="94"/>
      <c r="L65" s="27" t="s">
        <v>11</v>
      </c>
    </row>
    <row r="66" spans="1:12" ht="18" customHeight="1">
      <c r="A66" s="80"/>
      <c r="B66" s="71"/>
      <c r="C66" s="95">
        <v>45858</v>
      </c>
      <c r="D66" s="94"/>
      <c r="E66" s="95">
        <v>45851</v>
      </c>
      <c r="F66" s="94"/>
      <c r="G66" s="95">
        <v>45828</v>
      </c>
      <c r="H66" s="94"/>
      <c r="I66" s="27" t="s">
        <v>12</v>
      </c>
      <c r="J66" s="91">
        <v>45491</v>
      </c>
      <c r="K66" s="92"/>
      <c r="L66" s="27" t="s">
        <v>12</v>
      </c>
    </row>
    <row r="67" spans="1:12" ht="21.75">
      <c r="A67" s="81" t="s">
        <v>70</v>
      </c>
      <c r="B67" s="72"/>
      <c r="C67" s="29" t="s">
        <v>14</v>
      </c>
      <c r="D67" s="29" t="s">
        <v>15</v>
      </c>
      <c r="E67" s="29" t="s">
        <v>14</v>
      </c>
      <c r="F67" s="29" t="s">
        <v>15</v>
      </c>
      <c r="G67" s="29" t="s">
        <v>14</v>
      </c>
      <c r="H67" s="29" t="s">
        <v>15</v>
      </c>
      <c r="I67" s="29" t="s">
        <v>16</v>
      </c>
      <c r="J67" s="64" t="s">
        <v>14</v>
      </c>
      <c r="K67" s="64" t="s">
        <v>15</v>
      </c>
      <c r="L67" s="29" t="s">
        <v>16</v>
      </c>
    </row>
    <row r="68" spans="1:12" ht="18.75" customHeight="1">
      <c r="A68" s="76" t="s">
        <v>71</v>
      </c>
      <c r="B68" s="6" t="s">
        <v>18</v>
      </c>
      <c r="C68" s="30">
        <v>106</v>
      </c>
      <c r="D68" s="30">
        <v>115</v>
      </c>
      <c r="E68" s="30">
        <v>110</v>
      </c>
      <c r="F68" s="30">
        <v>115</v>
      </c>
      <c r="G68" s="30">
        <v>110</v>
      </c>
      <c r="H68" s="30">
        <v>120</v>
      </c>
      <c r="I68" s="31">
        <f>((C68+D68)/2-(G68+H68)/2)/((G68+H68)/2)*100</f>
        <v>-3.9130434782608701</v>
      </c>
      <c r="J68" s="62">
        <v>125</v>
      </c>
      <c r="K68" s="62">
        <v>135</v>
      </c>
      <c r="L68" s="32">
        <f t="shared" ref="L68:L74" si="8">((C68+D68)/2-(J68+K68)/2)/((J68+K68)/2)*100</f>
        <v>-15</v>
      </c>
    </row>
    <row r="69" spans="1:12" ht="21.75">
      <c r="A69" s="76" t="s">
        <v>72</v>
      </c>
      <c r="B69" s="73" t="s">
        <v>18</v>
      </c>
      <c r="C69" s="30">
        <v>250</v>
      </c>
      <c r="D69" s="30">
        <v>550</v>
      </c>
      <c r="E69" s="30">
        <v>250</v>
      </c>
      <c r="F69" s="30">
        <v>550</v>
      </c>
      <c r="G69" s="30">
        <v>200</v>
      </c>
      <c r="H69" s="30">
        <v>550</v>
      </c>
      <c r="I69" s="31">
        <f t="shared" ref="I69:I74" si="9">((C69+D69)/2-(G69+H69)/2)/((G69+H69)/2)*100</f>
        <v>6.666666666666667</v>
      </c>
      <c r="J69" s="62">
        <v>200</v>
      </c>
      <c r="K69" s="62">
        <v>350</v>
      </c>
      <c r="L69" s="32">
        <f t="shared" si="8"/>
        <v>45.454545454545453</v>
      </c>
    </row>
    <row r="70" spans="1:12" ht="21.75">
      <c r="A70" s="76" t="s">
        <v>110</v>
      </c>
      <c r="B70" s="73" t="s">
        <v>18</v>
      </c>
      <c r="C70" s="30">
        <v>38</v>
      </c>
      <c r="D70" s="30">
        <v>42</v>
      </c>
      <c r="E70" s="30">
        <v>38</v>
      </c>
      <c r="F70" s="30">
        <v>42</v>
      </c>
      <c r="G70" s="30">
        <v>38</v>
      </c>
      <c r="H70" s="30">
        <v>42</v>
      </c>
      <c r="I70" s="31">
        <f t="shared" si="9"/>
        <v>0</v>
      </c>
      <c r="J70" s="62">
        <v>38</v>
      </c>
      <c r="K70" s="62">
        <v>42</v>
      </c>
      <c r="L70" s="32">
        <f t="shared" si="8"/>
        <v>0</v>
      </c>
    </row>
    <row r="71" spans="1:12" ht="18.75" customHeight="1">
      <c r="A71" s="76" t="s">
        <v>73</v>
      </c>
      <c r="B71" s="6" t="s">
        <v>74</v>
      </c>
      <c r="C71" s="38">
        <v>38</v>
      </c>
      <c r="D71" s="38">
        <v>46</v>
      </c>
      <c r="E71" s="38">
        <v>38</v>
      </c>
      <c r="F71" s="38">
        <v>45</v>
      </c>
      <c r="G71" s="38">
        <v>40</v>
      </c>
      <c r="H71" s="38">
        <v>46</v>
      </c>
      <c r="I71" s="31">
        <f t="shared" si="9"/>
        <v>-2.3255813953488373</v>
      </c>
      <c r="J71" s="63">
        <v>46</v>
      </c>
      <c r="K71" s="63">
        <v>50</v>
      </c>
      <c r="L71" s="32">
        <f t="shared" si="8"/>
        <v>-12.5</v>
      </c>
    </row>
    <row r="72" spans="1:12" ht="21.75">
      <c r="A72" s="76" t="s">
        <v>75</v>
      </c>
      <c r="B72" s="6" t="s">
        <v>76</v>
      </c>
      <c r="C72" s="38">
        <v>30</v>
      </c>
      <c r="D72" s="38">
        <v>40</v>
      </c>
      <c r="E72" s="38">
        <v>30</v>
      </c>
      <c r="F72" s="38">
        <v>40</v>
      </c>
      <c r="G72" s="38">
        <v>30</v>
      </c>
      <c r="H72" s="38">
        <v>40</v>
      </c>
      <c r="I72" s="31">
        <f t="shared" si="9"/>
        <v>0</v>
      </c>
      <c r="J72" s="63">
        <v>30</v>
      </c>
      <c r="K72" s="63">
        <v>35</v>
      </c>
      <c r="L72" s="32">
        <f t="shared" si="8"/>
        <v>7.6923076923076925</v>
      </c>
    </row>
    <row r="73" spans="1:12" ht="21.75">
      <c r="A73" s="76" t="s">
        <v>77</v>
      </c>
      <c r="B73" s="6" t="s">
        <v>78</v>
      </c>
      <c r="C73" s="30">
        <v>85000</v>
      </c>
      <c r="D73" s="30">
        <v>91500</v>
      </c>
      <c r="E73" s="30">
        <v>85000</v>
      </c>
      <c r="F73" s="30">
        <v>91500</v>
      </c>
      <c r="G73" s="30">
        <v>87500</v>
      </c>
      <c r="H73" s="30">
        <v>91000</v>
      </c>
      <c r="I73" s="31">
        <f t="shared" si="9"/>
        <v>-1.1204481792717087</v>
      </c>
      <c r="J73" s="62">
        <v>95500</v>
      </c>
      <c r="K73" s="62">
        <v>98500</v>
      </c>
      <c r="L73" s="32">
        <f t="shared" si="8"/>
        <v>-9.0206185567010309</v>
      </c>
    </row>
    <row r="74" spans="1:12" ht="21.75">
      <c r="A74" s="76" t="s">
        <v>79</v>
      </c>
      <c r="B74" s="6" t="s">
        <v>78</v>
      </c>
      <c r="C74" s="30">
        <v>78000</v>
      </c>
      <c r="D74" s="38">
        <v>82500</v>
      </c>
      <c r="E74" s="30">
        <v>78000</v>
      </c>
      <c r="F74" s="38">
        <v>82500</v>
      </c>
      <c r="G74" s="30">
        <v>75000</v>
      </c>
      <c r="H74" s="38">
        <v>80000</v>
      </c>
      <c r="I74" s="31">
        <f t="shared" si="9"/>
        <v>3.5483870967741935</v>
      </c>
      <c r="J74" s="63">
        <v>88500</v>
      </c>
      <c r="K74" s="63">
        <v>89500</v>
      </c>
      <c r="L74" s="32">
        <f t="shared" si="8"/>
        <v>-9.8314606741573041</v>
      </c>
    </row>
    <row r="75" spans="1:12" ht="21.75" customHeight="1">
      <c r="A75" s="96" t="s">
        <v>118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</row>
    <row r="76" spans="1:12" ht="21.75">
      <c r="A76" s="16"/>
      <c r="B76" s="4" t="s">
        <v>111</v>
      </c>
      <c r="C76" s="2"/>
      <c r="D76" s="2"/>
      <c r="E76" s="2"/>
      <c r="F76" s="2"/>
      <c r="G76" s="2"/>
      <c r="H76" s="3"/>
      <c r="I76" s="3"/>
      <c r="J76" s="3"/>
      <c r="K76" s="3"/>
      <c r="L76" s="8"/>
    </row>
    <row r="77" spans="1:12" ht="21.75">
      <c r="A77" s="17"/>
      <c r="B77" s="1" t="s">
        <v>129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115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5" t="s">
        <v>80</v>
      </c>
      <c r="B80" s="46"/>
      <c r="C80" s="47"/>
      <c r="D80" s="47"/>
      <c r="E80" s="47"/>
      <c r="F80" s="47"/>
      <c r="G80" s="48"/>
      <c r="H80" s="48"/>
      <c r="I80" s="47"/>
      <c r="J80" s="47"/>
      <c r="K80" s="47"/>
      <c r="L80" s="8"/>
    </row>
    <row r="81" spans="1:12" ht="21.75">
      <c r="A81" s="5" t="s">
        <v>81</v>
      </c>
      <c r="B81" s="6" t="s">
        <v>82</v>
      </c>
      <c r="C81" s="98" t="s">
        <v>6</v>
      </c>
      <c r="D81" s="99"/>
      <c r="E81" s="100" t="s">
        <v>83</v>
      </c>
      <c r="F81" s="101"/>
      <c r="G81" s="87" t="s">
        <v>12</v>
      </c>
      <c r="H81" s="98" t="s">
        <v>84</v>
      </c>
      <c r="I81" s="102"/>
      <c r="J81" s="99"/>
      <c r="K81" s="51"/>
      <c r="L81" s="18"/>
    </row>
    <row r="82" spans="1:12" ht="21.75">
      <c r="A82" s="76" t="s">
        <v>37</v>
      </c>
      <c r="B82" s="6" t="s">
        <v>18</v>
      </c>
      <c r="C82" s="30">
        <v>95</v>
      </c>
      <c r="D82" s="30">
        <v>110</v>
      </c>
      <c r="E82" s="30">
        <v>100</v>
      </c>
      <c r="F82" s="30">
        <v>110</v>
      </c>
      <c r="G82" s="7">
        <f t="shared" ref="G82:G89" si="10">((C82+D82)/2-(E82+F82)/2)/((E82+F82)/2)*100</f>
        <v>-2.3809523809523809</v>
      </c>
      <c r="H82" s="5" t="s">
        <v>119</v>
      </c>
      <c r="I82" s="6"/>
      <c r="J82" s="6"/>
      <c r="K82" s="51"/>
      <c r="L82" s="18"/>
    </row>
    <row r="83" spans="1:12" ht="21.75">
      <c r="A83" s="76" t="s">
        <v>38</v>
      </c>
      <c r="B83" s="6" t="s">
        <v>18</v>
      </c>
      <c r="C83" s="30">
        <v>125</v>
      </c>
      <c r="D83" s="30">
        <v>140</v>
      </c>
      <c r="E83" s="30">
        <v>125</v>
      </c>
      <c r="F83" s="30">
        <v>135</v>
      </c>
      <c r="G83" s="7">
        <f t="shared" si="10"/>
        <v>1.9230769230769231</v>
      </c>
      <c r="H83" s="5" t="s">
        <v>116</v>
      </c>
      <c r="I83" s="6"/>
      <c r="J83" s="6"/>
      <c r="K83" s="51"/>
      <c r="L83" s="18"/>
    </row>
    <row r="84" spans="1:12" ht="21.75">
      <c r="A84" s="76" t="s">
        <v>40</v>
      </c>
      <c r="B84" s="6" t="s">
        <v>18</v>
      </c>
      <c r="C84" s="30">
        <v>55</v>
      </c>
      <c r="D84" s="30">
        <v>80</v>
      </c>
      <c r="E84" s="30">
        <v>70</v>
      </c>
      <c r="F84" s="30">
        <v>80</v>
      </c>
      <c r="G84" s="7">
        <f t="shared" si="10"/>
        <v>-10</v>
      </c>
      <c r="H84" s="5" t="s">
        <v>117</v>
      </c>
      <c r="I84" s="6"/>
      <c r="J84" s="6"/>
      <c r="K84" s="51"/>
      <c r="L84" s="18"/>
    </row>
    <row r="85" spans="1:12" ht="21.75">
      <c r="A85" s="76" t="s">
        <v>92</v>
      </c>
      <c r="B85" s="6" t="s">
        <v>18</v>
      </c>
      <c r="C85" s="30">
        <v>60</v>
      </c>
      <c r="D85" s="30">
        <v>65</v>
      </c>
      <c r="E85" s="30">
        <v>55</v>
      </c>
      <c r="F85" s="30">
        <v>65</v>
      </c>
      <c r="G85" s="7">
        <f t="shared" si="10"/>
        <v>4.1666666666666661</v>
      </c>
      <c r="H85" s="5" t="s">
        <v>121</v>
      </c>
      <c r="I85" s="6"/>
      <c r="J85" s="6"/>
      <c r="K85" s="51"/>
      <c r="L85" s="18"/>
    </row>
    <row r="86" spans="1:12" ht="21.75">
      <c r="A86" s="76" t="s">
        <v>52</v>
      </c>
      <c r="B86" s="6" t="s">
        <v>18</v>
      </c>
      <c r="C86" s="30">
        <v>120</v>
      </c>
      <c r="D86" s="30">
        <v>200</v>
      </c>
      <c r="E86" s="30">
        <v>130</v>
      </c>
      <c r="F86" s="30">
        <v>200</v>
      </c>
      <c r="G86" s="7">
        <f t="shared" si="10"/>
        <v>-3.0303030303030303</v>
      </c>
      <c r="H86" s="5" t="s">
        <v>120</v>
      </c>
      <c r="I86" s="6"/>
      <c r="J86" s="6"/>
      <c r="K86" s="51"/>
      <c r="L86" s="18"/>
    </row>
    <row r="87" spans="1:12" ht="21.75">
      <c r="A87" s="76" t="s">
        <v>54</v>
      </c>
      <c r="B87" s="6" t="s">
        <v>18</v>
      </c>
      <c r="C87" s="30">
        <v>480</v>
      </c>
      <c r="D87" s="30">
        <v>600</v>
      </c>
      <c r="E87" s="30">
        <v>500</v>
      </c>
      <c r="F87" s="30">
        <v>600</v>
      </c>
      <c r="G87" s="7">
        <f t="shared" si="10"/>
        <v>-1.8181818181818181</v>
      </c>
      <c r="H87" s="5" t="s">
        <v>119</v>
      </c>
      <c r="I87" s="6"/>
      <c r="J87" s="6"/>
      <c r="K87" s="51"/>
      <c r="L87" s="18"/>
    </row>
    <row r="88" spans="1:12" ht="21.75">
      <c r="A88" s="76" t="s">
        <v>71</v>
      </c>
      <c r="B88" s="6" t="s">
        <v>18</v>
      </c>
      <c r="C88" s="30">
        <v>106</v>
      </c>
      <c r="D88" s="30">
        <v>115</v>
      </c>
      <c r="E88" s="30">
        <v>110</v>
      </c>
      <c r="F88" s="30">
        <v>115</v>
      </c>
      <c r="G88" s="7">
        <f t="shared" si="10"/>
        <v>-1.7777777777777777</v>
      </c>
      <c r="H88" s="5" t="s">
        <v>117</v>
      </c>
      <c r="I88" s="6"/>
      <c r="J88" s="6"/>
      <c r="K88" s="51"/>
      <c r="L88" s="18"/>
    </row>
    <row r="89" spans="1:12" ht="21.75">
      <c r="A89" s="76" t="s">
        <v>73</v>
      </c>
      <c r="B89" s="6" t="s">
        <v>74</v>
      </c>
      <c r="C89" s="30">
        <v>38</v>
      </c>
      <c r="D89" s="30">
        <v>46</v>
      </c>
      <c r="E89" s="30">
        <v>38</v>
      </c>
      <c r="F89" s="30">
        <v>45</v>
      </c>
      <c r="G89" s="7">
        <f t="shared" si="10"/>
        <v>1.2048192771084338</v>
      </c>
      <c r="H89" s="5" t="s">
        <v>127</v>
      </c>
      <c r="I89" s="6"/>
      <c r="J89" s="6"/>
      <c r="K89" s="51"/>
      <c r="L89" s="18"/>
    </row>
    <row r="90" spans="1:12" ht="21.75">
      <c r="A90" s="79"/>
      <c r="B90" s="3"/>
      <c r="C90" s="90"/>
      <c r="D90" s="90"/>
      <c r="E90" s="90"/>
      <c r="F90" s="90"/>
      <c r="G90" s="10"/>
      <c r="H90" s="1"/>
      <c r="I90" s="3"/>
      <c r="J90" s="3"/>
      <c r="K90" s="51"/>
      <c r="L90" s="18"/>
    </row>
    <row r="91" spans="1:12" ht="21.75">
      <c r="A91" s="79"/>
      <c r="B91" s="3"/>
      <c r="C91" s="90"/>
      <c r="D91" s="90"/>
      <c r="E91" s="90"/>
      <c r="F91" s="90"/>
      <c r="G91" s="10"/>
      <c r="H91" s="1"/>
      <c r="I91" s="3"/>
      <c r="J91" s="3"/>
      <c r="K91" s="51"/>
      <c r="L91" s="18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14"/>
      <c r="C94" s="15"/>
      <c r="D94" s="15"/>
      <c r="E94" s="14"/>
      <c r="F94" s="15"/>
      <c r="G94" s="39"/>
      <c r="H94" s="40"/>
      <c r="I94" s="41"/>
      <c r="J94" s="41"/>
      <c r="K94" s="41"/>
      <c r="L94" s="12"/>
    </row>
    <row r="95" spans="1:12" ht="24.75">
      <c r="A95" s="1"/>
      <c r="B95" s="42"/>
      <c r="C95" s="43" t="s">
        <v>113</v>
      </c>
      <c r="D95" s="11"/>
      <c r="E95" s="42"/>
      <c r="F95" s="14"/>
      <c r="G95" s="11"/>
      <c r="H95" s="40"/>
      <c r="I95" s="13"/>
      <c r="J95" s="14" t="s">
        <v>125</v>
      </c>
      <c r="K95" s="11"/>
      <c r="L95" s="11"/>
    </row>
    <row r="96" spans="1:12" ht="24.75">
      <c r="A96" s="1"/>
      <c r="B96" s="44"/>
      <c r="C96" s="43" t="s">
        <v>114</v>
      </c>
      <c r="D96" s="14"/>
      <c r="E96" s="42"/>
      <c r="F96" s="45"/>
      <c r="G96" s="47"/>
      <c r="H96" s="47"/>
      <c r="I96" s="86"/>
      <c r="J96" s="14" t="s">
        <v>126</v>
      </c>
      <c r="K96" s="14"/>
      <c r="L96" s="14"/>
    </row>
    <row r="97" spans="1:12" ht="24.75">
      <c r="A97" s="1"/>
      <c r="B97" s="14"/>
      <c r="C97" s="15"/>
      <c r="D97" s="14"/>
      <c r="E97" s="15"/>
      <c r="F97" s="45"/>
      <c r="G97" s="47"/>
      <c r="H97" s="47"/>
      <c r="I97" s="46"/>
      <c r="J97" s="11"/>
      <c r="K97" s="11"/>
      <c r="L97" s="2"/>
    </row>
    <row r="98" spans="1:12" ht="19.5">
      <c r="A98" s="56" t="s">
        <v>95</v>
      </c>
      <c r="B98" s="54"/>
      <c r="C98" s="52"/>
      <c r="D98" s="54"/>
      <c r="E98" s="52"/>
      <c r="F98" s="52"/>
      <c r="G98" s="52"/>
      <c r="H98" s="53"/>
      <c r="I98" s="58"/>
      <c r="J98" s="2"/>
      <c r="K98" s="2"/>
      <c r="L98" s="2"/>
    </row>
    <row r="99" spans="1:12" ht="19.5">
      <c r="A99" s="55" t="s">
        <v>101</v>
      </c>
      <c r="B99" s="54"/>
      <c r="C99" s="52"/>
      <c r="D99" s="54"/>
      <c r="E99" s="52"/>
      <c r="F99" s="52"/>
      <c r="G99" s="54"/>
      <c r="H99" s="53"/>
      <c r="I99" s="58"/>
      <c r="J99" s="2"/>
      <c r="K99" s="2"/>
      <c r="L99" s="2"/>
    </row>
    <row r="100" spans="1:12" ht="19.5">
      <c r="A100" s="55" t="s">
        <v>100</v>
      </c>
      <c r="B100" s="54"/>
      <c r="C100" s="54"/>
      <c r="D100" s="54"/>
      <c r="E100" s="54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85</v>
      </c>
      <c r="B101" s="54"/>
      <c r="C101" s="54"/>
      <c r="D101" s="54"/>
      <c r="E101" s="54"/>
      <c r="F101" s="53"/>
      <c r="G101" s="53"/>
      <c r="H101" s="53"/>
      <c r="I101" s="58"/>
      <c r="J101" s="2"/>
      <c r="K101" s="2"/>
      <c r="L101" s="2"/>
    </row>
    <row r="102" spans="1:12" ht="19.5">
      <c r="A102" s="55" t="s">
        <v>99</v>
      </c>
      <c r="B102" s="54"/>
      <c r="C102" s="54"/>
      <c r="D102" s="54"/>
      <c r="E102" s="54"/>
      <c r="F102" s="54"/>
      <c r="G102" s="53"/>
      <c r="H102" s="53"/>
      <c r="I102" s="58"/>
      <c r="J102" s="2"/>
      <c r="K102" s="2"/>
      <c r="L102" s="2"/>
    </row>
    <row r="103" spans="1:12" ht="19.5">
      <c r="A103" s="55" t="s">
        <v>98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109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97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86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103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104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105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87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/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6" t="s">
        <v>88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89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90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91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">
      <c r="A118" s="60"/>
      <c r="B118" s="58"/>
      <c r="C118" s="58"/>
      <c r="D118" s="58"/>
      <c r="E118" s="58"/>
      <c r="F118" s="58"/>
      <c r="G118" s="58"/>
      <c r="H118" s="61"/>
      <c r="I118" s="59"/>
      <c r="J118" s="12"/>
      <c r="K118" s="12"/>
      <c r="L118" s="12"/>
    </row>
  </sheetData>
  <mergeCells count="21">
    <mergeCell ref="G65:H65"/>
    <mergeCell ref="G66:H66"/>
    <mergeCell ref="A75:L75"/>
    <mergeCell ref="C81:D81"/>
    <mergeCell ref="E81:F81"/>
    <mergeCell ref="H81:J81"/>
    <mergeCell ref="C65:D65"/>
    <mergeCell ref="J65:K65"/>
    <mergeCell ref="C66:D66"/>
    <mergeCell ref="E66:F66"/>
    <mergeCell ref="J66:K66"/>
    <mergeCell ref="E65:F65"/>
    <mergeCell ref="J7:K7"/>
    <mergeCell ref="K3:L3"/>
    <mergeCell ref="C6:D6"/>
    <mergeCell ref="E6:F6"/>
    <mergeCell ref="G6:H6"/>
    <mergeCell ref="J6:K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2025-07-20T07:35:19Z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