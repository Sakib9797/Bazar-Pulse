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4FCA0897-87C9-4575-9384-424F5C40B9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7" i="4"/>
  <c r="G84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<sst xmlns="http://schemas.openxmlformats.org/spreadsheetml/2006/main" count="228" uniqueCount="130">
  <si>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</si>
  <si>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</si>
  <si>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</si>
  <si>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</si>
  <si>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</si>
  <si>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</si>
  <si>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</si>
  <si>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</si>
  <si>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</si>
  <si>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</si>
  <si>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</si>
  <si>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</si>
  <si>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</si>
  <si>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</si>
  <si>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</si>
  <si>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</si>
  <si>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</si>
  <si>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</si>
  <si>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</si>
  <si>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</si>
  <si>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</si>
  <si>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</si>
  <si>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</si>
  <si>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</si>
  <si>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</si>
  <si>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</si>
  <si>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</si>
  <si>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</si>
  <si>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</si>
  <si>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</si>
  <si>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</si>
  <si>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</si>
  <si>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</si>
  <si>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</si>
  <si>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</si>
  <si>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</si>
  <si>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</si>
  <si>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</si>
  <si>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</si>
  <si>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</si>
  <si>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</si>
  <si>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</si>
  <si>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</si>
  <si>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</si>
  <si>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</si>
  <si>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</si>
  <si>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</si>
  <si>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</si>
  <si>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</si>
  <si>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</si>
  <si>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</si>
  <si>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</si>
  <si>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</si>
  <si>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</si>
  <si>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</si>
  <si>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</si>
  <si>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</si>
  <si>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</si>
  <si>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</si>
  <si>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</si>
  <si>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</si>
  <si>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</si>
  <si>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</si>
  <si>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</si>
  <si>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</si>
  <si>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</si>
  <si>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</si>
  <si>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</si>
  <si>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</si>
  <si>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</si>
  <si>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</si>
  <si>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</si>
  <si>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</si>
  <si>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</si>
  <si>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</si>
  <si>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</si>
  <si>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</si>
  <si>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</si>
  <si>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</si>
  <si>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</si>
  <si>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</si>
  <si>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</si>
  <si>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</si>
  <si>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</si>
  <si>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</si>
  <si>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</si>
  <si>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</si>
  <si>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</si>
  <si>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</si>
  <si>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</si>
  <si>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</si>
  <si>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</si>
  <si>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</si>
  <si>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</si>
  <si>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</si>
  <si>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</si>
  <si>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</si>
  <si>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</si>
  <si>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</si>
  <si>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</si>
  <si>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</si>
  <si>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</si>
  <si>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</si>
  <si>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</si>
  <si>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</si>
  <si>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</si>
  <si>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</si>
  <si>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</si>
  <si>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</si>
  <si>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</si>
  <si>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</si>
  <si>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</si>
  <si>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</si>
  <si>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</si>
  <si>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</si>
  <si>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</si>
  <si>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</si>
  <si>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</si>
  <si>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</si>
  <si>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</si>
  <si>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১৭-১২-২০২৫ তারিখে মূল্য হ্রাস পেয়েছে।</t>
  </si>
  <si>
    <t>স্মারক নং-২৬.০৫.০০০০.০১৭.৩১.০১.২৫-৯৩৬</t>
  </si>
  <si>
    <t xml:space="preserve">রবিবার ২১ ডিসেম্বর ২০২৫ খ্রিঃ, ০৬ পৌষ ১৪৩২ বাংলা, ২৯ জমা-সানি ১৪৪৭ হিজরি </t>
  </si>
  <si>
    <t xml:space="preserve">   সিরিয়াল নংঃ     ৩১৭</t>
  </si>
  <si>
    <t xml:space="preserve"> (মোঃ গোলাম খোরশেদ)   </t>
  </si>
  <si>
    <t xml:space="preserve"> অতিরিক্ত পরিচালক (বাণিজ্যিক)</t>
  </si>
  <si>
    <t>২১-১২-২০২৫ তারিখে মূল্য বৃদ্ধি পেয়েছে।</t>
  </si>
  <si>
    <t>২১-১২-২০২৫ তারিখে মূল্য হ্রাস পেয়েছে।</t>
  </si>
  <si>
    <t>(১ )     ছোলা, পেঁয়াজ (দেশী), এম এস রড (৬০ গ্রেড)    এর মূল্য হ্রাস পেয়েছে।</t>
  </si>
  <si>
    <t>(২)     সয়াবিন তেল লুজ, পাম অয়েল লুজ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</si>
</sst>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A70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123</v>
      </c>
      <c r="L4" s="88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"/>
      <c r="I5" s="8"/>
      <c r="J5" s="8"/>
      <c r="K5" s="8"/>
      <c r="L5" s="49"/>
    </row>
    <row r="6" spans="1:12" ht="21.75">
      <c r="A6" s="20" t="s">
        <v>121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46012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46012</v>
      </c>
      <c r="D8" s="88"/>
      <c r="E8" s="89">
        <v>46005</v>
      </c>
      <c r="F8" s="88"/>
      <c r="G8" s="89">
        <v>45982</v>
      </c>
      <c r="H8" s="88"/>
      <c r="I8" s="26" t="s">
        <v>12</v>
      </c>
      <c r="J8" s="89">
        <v>45646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156</v>
      </c>
      <c r="K23" s="29">
        <v>157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80</v>
      </c>
      <c r="D32" s="29">
        <v>110</v>
      </c>
      <c r="E32" s="29">
        <v>90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60</v>
      </c>
      <c r="K33" s="29">
        <v>80</v>
      </c>
      <c r="L33" s="31">
        <f t="shared" si="3"/>
        <v>-64.285714285714292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70</v>
      </c>
      <c r="D35" s="29">
        <v>140</v>
      </c>
      <c r="E35" s="29">
        <v>80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-4.5454545454545459</v>
      </c>
      <c r="J35" s="29">
        <v>80</v>
      </c>
      <c r="K35" s="29">
        <v>120</v>
      </c>
      <c r="L35" s="31">
        <f t="shared" ref="L35:L50" si="5">((C35+D35)/2-(J35+K35)/2)/((J35+K35)/2)*100</f>
        <v>5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0</v>
      </c>
      <c r="F43" s="29">
        <v>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170</v>
      </c>
      <c r="K56" s="29">
        <v>200</v>
      </c>
      <c r="L56" s="31">
        <f t="shared" si="7"/>
        <v>-13.513513513513514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46012</v>
      </c>
      <c r="D67" s="88"/>
      <c r="E67" s="89">
        <v>46005</v>
      </c>
      <c r="F67" s="88"/>
      <c r="G67" s="89">
        <v>45982</v>
      </c>
      <c r="H67" s="88"/>
      <c r="I67" s="26" t="s">
        <v>12</v>
      </c>
      <c r="J67" s="89">
        <v>45646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27</v>
      </c>
      <c r="B83" s="6" t="s">
        <v>28</v>
      </c>
      <c r="C83" s="29">
        <v>172</v>
      </c>
      <c r="D83" s="29">
        <v>185</v>
      </c>
      <c r="E83" s="29">
        <v>170</v>
      </c>
      <c r="F83" s="29">
        <v>180</v>
      </c>
      <c r="G83" s="7">
        <f t="shared" ref="G83:G84" si="10">((C83+D83)/2-(E83+F83)/2)/((E83+F83)/2)*100</f>
        <v>2</v>
      </c>
      <c r="H83" s="5" t="s">
        <v>126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126</v>
      </c>
      <c r="I84" s="6"/>
      <c r="J84" s="6"/>
      <c r="K84" s="50"/>
      <c r="L84" s="17"/>
    </row>
    <row r="85" spans="1:12" ht="21.75">
      <c r="A85" s="69" t="s">
        <v>41</v>
      </c>
      <c r="B85" s="6" t="s">
        <v>18</v>
      </c>
      <c r="C85" s="29">
        <v>80</v>
      </c>
      <c r="D85" s="29">
        <v>110</v>
      </c>
      <c r="E85" s="29">
        <v>90</v>
      </c>
      <c r="F85" s="29">
        <v>110</v>
      </c>
      <c r="G85" s="7">
        <f t="shared" ref="G85:G87" si="11">((C85+D85)/2-(E85+F85)/2)/((E85+F85)/2)*100</f>
        <v>-5</v>
      </c>
      <c r="H85" s="5" t="s">
        <v>127</v>
      </c>
      <c r="I85" s="6"/>
      <c r="J85" s="6"/>
      <c r="K85" s="50"/>
      <c r="L85" s="17"/>
    </row>
    <row r="86" spans="1:12" ht="21.75">
      <c r="A86" s="83" t="s">
        <v>118</v>
      </c>
      <c r="B86" s="6" t="s">
        <v>18</v>
      </c>
      <c r="C86" s="29">
        <v>70</v>
      </c>
      <c r="D86" s="29">
        <v>140</v>
      </c>
      <c r="E86" s="29">
        <v>80</v>
      </c>
      <c r="F86" s="29">
        <v>140</v>
      </c>
      <c r="G86" s="7">
        <f t="shared" si="11"/>
        <v>-4.5454545454545459</v>
      </c>
      <c r="H86" s="5" t="s">
        <v>127</v>
      </c>
      <c r="I86" s="6"/>
      <c r="J86" s="6"/>
      <c r="K86" s="50"/>
      <c r="L86" s="17"/>
    </row>
    <row r="87" spans="1:12" ht="24.75">
      <c r="A87" s="69" t="s">
        <v>76</v>
      </c>
      <c r="B87" s="6" t="s">
        <v>77</v>
      </c>
      <c r="C87" s="29">
        <v>80000</v>
      </c>
      <c r="D87" s="29">
        <v>85000</v>
      </c>
      <c r="E87" s="29">
        <v>81000</v>
      </c>
      <c r="F87" s="29">
        <v>86000</v>
      </c>
      <c r="G87" s="7">
        <f t="shared" si="11"/>
        <v>-1.1976047904191618</v>
      </c>
      <c r="H87" s="5" t="s">
        <v>120</v>
      </c>
      <c r="I87" s="6"/>
      <c r="J87" s="6"/>
      <c r="K87" s="40"/>
      <c r="L87" s="11"/>
    </row>
    <row r="88" spans="1:12" ht="24.75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4.75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4.75">
      <c r="A91" s="41"/>
      <c r="B91" s="42" t="s">
        <v>112</v>
      </c>
      <c r="C91" s="10"/>
      <c r="E91" s="84"/>
      <c r="F91" s="85" t="s">
        <v>115</v>
      </c>
      <c r="G91" s="86"/>
      <c r="I91" s="12"/>
      <c r="J91" s="13" t="s">
        <v>124</v>
      </c>
      <c r="K91" s="10"/>
    </row>
    <row r="92" spans="1:12" ht="24.75">
      <c r="A92" s="43"/>
      <c r="B92" s="42" t="s">
        <v>113</v>
      </c>
      <c r="C92" s="13"/>
      <c r="E92" s="43"/>
      <c r="F92" s="85" t="s">
        <v>116</v>
      </c>
      <c r="G92" s="86"/>
      <c r="I92" s="76"/>
      <c r="J92" s="13" t="s">
        <v>125</v>
      </c>
    </row>
    <row r="93" spans="1:12" ht="24.75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9.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9.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9.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9.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9.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9.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2025-12-21T09:39:15Z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