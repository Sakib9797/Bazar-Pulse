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ED30B47B-F9DC-4698-8E50-839FF106544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4" i="4"/>
  <c r="G86" i="4"/>
  <c r="G87" i="4"/>
  <c r="G83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<sst xmlns="http://schemas.openxmlformats.org/spreadsheetml/2006/main" count="229" uniqueCount="131">
  <si>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</si>
  <si>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</si>
  <si>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</si>
  <si>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</si>
  <si>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</si>
  <si>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</si>
  <si>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</si>
  <si>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</si>
  <si>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</si>
  <si>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</si>
  <si>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</si>
  <si>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</si>
  <si>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</si>
  <si>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</si>
  <si>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</si>
  <si>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</si>
  <si>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</si>
  <si>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</si>
  <si>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</si>
  <si>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</si>
  <si>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</si>
  <si>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</si>
  <si>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</si>
  <si>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</si>
  <si>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</si>
  <si>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</si>
  <si>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</si>
  <si>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</si>
  <si>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</si>
  <si>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</si>
  <si>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</si>
  <si>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</si>
  <si>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</si>
  <si>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</si>
  <si>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</si>
  <si>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</si>
  <si>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</si>
  <si>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</si>
  <si>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</si>
  <si>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</si>
  <si>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</si>
  <si>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</si>
  <si>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</si>
  <si>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</si>
  <si>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</si>
  <si>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</si>
  <si>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</si>
  <si>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</si>
  <si>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</si>
  <si>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</si>
  <si>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</si>
  <si>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</si>
  <si>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</si>
  <si>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</si>
  <si>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</si>
  <si>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</si>
  <si>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</si>
  <si>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</si>
  <si>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</si>
  <si>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</si>
  <si>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</si>
  <si>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</si>
  <si>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</si>
  <si>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</si>
  <si>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</si>
  <si>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</si>
  <si>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</si>
  <si>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</si>
  <si>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</si>
  <si>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</si>
  <si>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</si>
  <si>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</si>
  <si>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</si>
  <si>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</si>
  <si>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</si>
  <si>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</si>
  <si>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</si>
  <si>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</si>
  <si>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</si>
  <si>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</si>
  <si>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</si>
  <si>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</si>
  <si>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</si>
  <si>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</si>
  <si>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</si>
  <si>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</si>
  <si>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</si>
  <si>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</si>
  <si>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</si>
  <si>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</si>
  <si>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</si>
  <si>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</si>
  <si>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</si>
  <si>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</si>
  <si>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</si>
  <si>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</si>
  <si>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</si>
  <si>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</si>
  <si>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</si>
  <si>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</si>
  <si>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</si>
  <si>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</si>
  <si>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</si>
  <si>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</si>
  <si>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</si>
  <si>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</si>
  <si>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</si>
  <si>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</si>
  <si>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</si>
  <si>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</si>
  <si>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</si>
  <si>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</si>
  <si>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</si>
  <si>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</si>
  <si>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</si>
  <si>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</si>
  <si>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</si>
  <si>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</si>
  <si>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১৮-০৯-২০২৫ তারিখে মূল্য বৃদ্ধি পেয়েছে।</t>
  </si>
  <si>
    <t>(মো:হুমায়ুন কবির)</t>
  </si>
  <si>
    <t>যুগ্ম পরিচালক (বাজার তথ্য)</t>
  </si>
  <si>
    <t>২১-০৯-২০২৫ তারিখে মূল্য হ্রাস পেয়েছে।</t>
  </si>
  <si>
    <t>২২-০৯-২০২৫ তারিখে মূল্য বৃদ্ধি পেয়েছে।</t>
  </si>
  <si>
    <t>২৩-০৯-২০২৫ তারিখে মূল্য হ্রাস পেয়েছে।</t>
  </si>
  <si>
    <t>২৩-০৯-২০২৫ তারিখে মূল্য বৃদ্ধি পেয়েছে।</t>
  </si>
  <si>
    <t>স্মারক নং-২৬.০৫.০০০০.০১৭.৩১.০১.২৫-৬৭৭</t>
  </si>
  <si>
    <t xml:space="preserve">বুধবার ২৪ সেপ্টেম্বর ২০২৫ খ্রিঃ, ০৯ আশ্বিন ১৪৩২ বাংলা, ০১ রবিউল সানি ১৪৪৭ হিজরি </t>
  </si>
  <si>
    <t xml:space="preserve">   সিরিয়াল নংঃ     ২৪১</t>
  </si>
  <si>
    <t>২৪-০৯-২০২৫ তারিখে মূল্য বৃদ্ধি পেয়েছে।</t>
  </si>
  <si>
    <t>(১)     সয়াবিন তেল লুজ, আদা (আম), এলাচ, তেজপাতা   এর মূল্য বৃদ্ধি পেয়েছে।</t>
  </si>
  <si>
    <t>(২ )    পেঁয়াজ (দেশী), দারুচিনি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</si>
</sst>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5"/>
  <sheetViews>
    <sheetView tabSelected="1" topLeftCell="A73" zoomScale="98" zoomScaleNormal="98" workbookViewId="0">
      <selection activeCell="B79" sqref="B79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3" t="s">
        <v>127</v>
      </c>
      <c r="L4" s="84"/>
    </row>
    <row r="5" spans="1:12" ht="19.5" customHeight="1">
      <c r="A5" s="18"/>
      <c r="B5" s="8"/>
      <c r="C5" s="8"/>
      <c r="D5" s="18"/>
      <c r="E5" s="8"/>
      <c r="F5" s="8" t="s">
        <v>126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45924</v>
      </c>
    </row>
    <row r="7" spans="1:12" ht="21.75">
      <c r="A7" s="26" t="s">
        <v>4</v>
      </c>
      <c r="B7" s="27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7" t="s">
        <v>9</v>
      </c>
      <c r="J7" s="83" t="s">
        <v>10</v>
      </c>
      <c r="K7" s="84"/>
      <c r="L7" s="28" t="s">
        <v>11</v>
      </c>
    </row>
    <row r="8" spans="1:12" ht="21.75">
      <c r="A8" s="26"/>
      <c r="B8" s="27"/>
      <c r="C8" s="85">
        <v>45924</v>
      </c>
      <c r="D8" s="84"/>
      <c r="E8" s="85">
        <v>45917</v>
      </c>
      <c r="F8" s="84"/>
      <c r="G8" s="85">
        <v>45893</v>
      </c>
      <c r="H8" s="84"/>
      <c r="I8" s="27" t="s">
        <v>12</v>
      </c>
      <c r="J8" s="85">
        <v>45559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50</v>
      </c>
      <c r="K12" s="30">
        <v>55</v>
      </c>
      <c r="L12" s="32">
        <f>((C12+D12)/2-(J12+K12)/2)/((J12+K12)/2)*100</f>
        <v>9.5238095238095237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45</v>
      </c>
      <c r="H14" s="30">
        <v>50</v>
      </c>
      <c r="I14" s="31">
        <f>((C14+D14)/2-(G14+H14)/2)/((G14+H14)/2)*100</f>
        <v>2.1052631578947367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55</v>
      </c>
      <c r="H15" s="30">
        <v>65</v>
      </c>
      <c r="I15" s="31">
        <f>((C15+D15)/2-(G15+H15)/2)/((G15+H15)/2)*100</f>
        <v>0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170</v>
      </c>
      <c r="D19" s="30">
        <v>176</v>
      </c>
      <c r="E19" s="30">
        <v>170</v>
      </c>
      <c r="F19" s="30">
        <v>175</v>
      </c>
      <c r="G19" s="30">
        <v>165</v>
      </c>
      <c r="H19" s="30">
        <v>172</v>
      </c>
      <c r="I19" s="31">
        <f t="shared" ref="I19:I25" si="0">((C19+D19)/2-(G19+H19)/2)/((G19+H19)/2)*100</f>
        <v>2.6706231454005933</v>
      </c>
      <c r="J19" s="30">
        <v>144</v>
      </c>
      <c r="K19" s="30">
        <v>155</v>
      </c>
      <c r="L19" s="32">
        <f t="shared" ref="L19:L25" si="1">((C19+D19)/2-(J19+K19)/2)/((J19+K19)/2)*100</f>
        <v>15.719063545150503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160</v>
      </c>
      <c r="G23" s="30">
        <v>153</v>
      </c>
      <c r="H23" s="30">
        <v>158</v>
      </c>
      <c r="I23" s="31">
        <f t="shared" si="0"/>
        <v>0.64308681672025725</v>
      </c>
      <c r="J23" s="30">
        <v>135</v>
      </c>
      <c r="K23" s="30">
        <v>140</v>
      </c>
      <c r="L23" s="32">
        <f t="shared" si="1"/>
        <v>13.818181818181818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165</v>
      </c>
      <c r="E24" s="30">
        <v>155</v>
      </c>
      <c r="F24" s="30">
        <v>165</v>
      </c>
      <c r="G24" s="30">
        <v>155</v>
      </c>
      <c r="H24" s="30">
        <v>163</v>
      </c>
      <c r="I24" s="31">
        <f t="shared" si="0"/>
        <v>0.62893081761006298</v>
      </c>
      <c r="J24" s="30">
        <v>140</v>
      </c>
      <c r="K24" s="30">
        <v>142</v>
      </c>
      <c r="L24" s="32">
        <f t="shared" si="1"/>
        <v>13.475177304964539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160</v>
      </c>
      <c r="I29" s="31">
        <f t="shared" si="2"/>
        <v>0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150</v>
      </c>
      <c r="H30" s="30">
        <v>180</v>
      </c>
      <c r="I30" s="31">
        <f t="shared" si="2"/>
        <v>-9.0909090909090917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100</v>
      </c>
      <c r="D32" s="30">
        <v>115</v>
      </c>
      <c r="E32" s="30">
        <v>100</v>
      </c>
      <c r="F32" s="30">
        <v>115</v>
      </c>
      <c r="G32" s="30">
        <v>95</v>
      </c>
      <c r="H32" s="30">
        <v>110</v>
      </c>
      <c r="I32" s="31">
        <f t="shared" si="2"/>
        <v>4.8780487804878048</v>
      </c>
      <c r="J32" s="30">
        <v>120</v>
      </c>
      <c r="K32" s="30">
        <v>125</v>
      </c>
      <c r="L32" s="32">
        <f t="shared" si="3"/>
        <v>-12.244897959183673</v>
      </c>
    </row>
    <row r="33" spans="1:12" ht="21.75">
      <c r="A33" s="70" t="s">
        <v>42</v>
      </c>
      <c r="B33" s="6" t="s">
        <v>18</v>
      </c>
      <c r="C33" s="30">
        <v>20</v>
      </c>
      <c r="D33" s="30">
        <v>25</v>
      </c>
      <c r="E33" s="30">
        <v>20</v>
      </c>
      <c r="F33" s="30">
        <v>25</v>
      </c>
      <c r="G33" s="30">
        <v>25</v>
      </c>
      <c r="H33" s="30">
        <v>30</v>
      </c>
      <c r="I33" s="31">
        <f t="shared" si="2"/>
        <v>-18.181818181818183</v>
      </c>
      <c r="J33" s="30">
        <v>50</v>
      </c>
      <c r="K33" s="30">
        <v>55</v>
      </c>
      <c r="L33" s="32">
        <f t="shared" si="3"/>
        <v>-57.142857142857139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65</v>
      </c>
      <c r="D35" s="30">
        <v>80</v>
      </c>
      <c r="E35" s="30">
        <v>70</v>
      </c>
      <c r="F35" s="30">
        <v>80</v>
      </c>
      <c r="G35" s="30">
        <v>75</v>
      </c>
      <c r="H35" s="30">
        <v>85</v>
      </c>
      <c r="I35" s="31">
        <f t="shared" ref="I35:I50" si="4">((C35+D35)/2-(G35+H35)/2)/((G35+H35)/2)*100</f>
        <v>-9.375</v>
      </c>
      <c r="J35" s="30">
        <v>105</v>
      </c>
      <c r="K35" s="30">
        <v>115</v>
      </c>
      <c r="L35" s="32">
        <f t="shared" ref="L35:L50" si="5">((C35+D35)/2-(J35+K35)/2)/((J35+K35)/2)*100</f>
        <v>-34.090909090909086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70</v>
      </c>
      <c r="H36" s="30">
        <v>80</v>
      </c>
      <c r="I36" s="31">
        <f t="shared" si="4"/>
        <v>-100</v>
      </c>
      <c r="J36" s="30">
        <v>90</v>
      </c>
      <c r="K36" s="30">
        <v>100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150</v>
      </c>
      <c r="I37" s="31">
        <f t="shared" si="4"/>
        <v>4.3478260869565215</v>
      </c>
      <c r="J37" s="30">
        <v>210</v>
      </c>
      <c r="K37" s="30">
        <v>220</v>
      </c>
      <c r="L37" s="32">
        <f t="shared" si="5"/>
        <v>-44.186046511627907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140</v>
      </c>
      <c r="H38" s="30">
        <v>200</v>
      </c>
      <c r="I38" s="31">
        <f t="shared" si="4"/>
        <v>-2.9411764705882351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220</v>
      </c>
      <c r="D39" s="30">
        <v>350</v>
      </c>
      <c r="E39" s="30">
        <v>220</v>
      </c>
      <c r="F39" s="30">
        <v>350</v>
      </c>
      <c r="G39" s="30">
        <v>250</v>
      </c>
      <c r="H39" s="30">
        <v>350</v>
      </c>
      <c r="I39" s="31">
        <f t="shared" si="4"/>
        <v>-5</v>
      </c>
      <c r="J39" s="30">
        <v>320</v>
      </c>
      <c r="K39" s="30">
        <v>350</v>
      </c>
      <c r="L39" s="32">
        <f t="shared" si="5"/>
        <v>-14.925373134328357</v>
      </c>
    </row>
    <row r="40" spans="1:12" ht="21.75">
      <c r="A40" s="70" t="s">
        <v>48</v>
      </c>
      <c r="B40" s="6" t="s">
        <v>18</v>
      </c>
      <c r="C40" s="30">
        <v>320</v>
      </c>
      <c r="D40" s="30">
        <v>430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0</v>
      </c>
      <c r="J40" s="30">
        <v>380</v>
      </c>
      <c r="K40" s="30">
        <v>450</v>
      </c>
      <c r="L40" s="32">
        <f t="shared" si="5"/>
        <v>-9.6385542168674707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140</v>
      </c>
      <c r="D44" s="30">
        <v>250</v>
      </c>
      <c r="E44" s="30">
        <v>130</v>
      </c>
      <c r="F44" s="30">
        <v>240</v>
      </c>
      <c r="G44" s="30">
        <v>150</v>
      </c>
      <c r="H44" s="30">
        <v>270</v>
      </c>
      <c r="I44" s="31">
        <f t="shared" si="4"/>
        <v>-7.1428571428571423</v>
      </c>
      <c r="J44" s="30">
        <v>200</v>
      </c>
      <c r="K44" s="30">
        <v>280</v>
      </c>
      <c r="L44" s="32">
        <f t="shared" si="5"/>
        <v>-18.75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.75">
      <c r="A46" s="70" t="s">
        <v>54</v>
      </c>
      <c r="B46" s="6" t="s">
        <v>18</v>
      </c>
      <c r="C46" s="30">
        <v>480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-1.8181818181818181</v>
      </c>
      <c r="J46" s="30">
        <v>450</v>
      </c>
      <c r="K46" s="30">
        <v>550</v>
      </c>
      <c r="L46" s="32">
        <f t="shared" si="5"/>
        <v>8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1350</v>
      </c>
      <c r="H47" s="30">
        <v>1700</v>
      </c>
      <c r="I47" s="31">
        <f t="shared" si="4"/>
        <v>-3.278688524590164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4800</v>
      </c>
      <c r="D48" s="30">
        <v>5500</v>
      </c>
      <c r="E48" s="30">
        <v>4700</v>
      </c>
      <c r="F48" s="30">
        <v>5500</v>
      </c>
      <c r="G48" s="30">
        <v>4600</v>
      </c>
      <c r="H48" s="30">
        <v>5500</v>
      </c>
      <c r="I48" s="31">
        <f t="shared" si="4"/>
        <v>1.9801980198019802</v>
      </c>
      <c r="J48" s="30">
        <v>3200</v>
      </c>
      <c r="K48" s="30">
        <v>3650</v>
      </c>
      <c r="L48" s="32">
        <f t="shared" si="5"/>
        <v>50.364963503649641</v>
      </c>
    </row>
    <row r="49" spans="1:12" ht="21.75">
      <c r="A49" s="70" t="s">
        <v>57</v>
      </c>
      <c r="B49" s="6" t="s">
        <v>18</v>
      </c>
      <c r="C49" s="30">
        <v>200</v>
      </c>
      <c r="D49" s="30">
        <v>280</v>
      </c>
      <c r="E49" s="30">
        <v>200</v>
      </c>
      <c r="F49" s="30">
        <v>280</v>
      </c>
      <c r="G49" s="30">
        <v>200</v>
      </c>
      <c r="H49" s="30">
        <v>280</v>
      </c>
      <c r="I49" s="31">
        <f t="shared" si="4"/>
        <v>0</v>
      </c>
      <c r="J49" s="30">
        <v>200</v>
      </c>
      <c r="K49" s="30">
        <v>250</v>
      </c>
      <c r="L49" s="32">
        <f t="shared" si="5"/>
        <v>6.666666666666667</v>
      </c>
    </row>
    <row r="50" spans="1:12" ht="21.75">
      <c r="A50" s="70" t="s">
        <v>58</v>
      </c>
      <c r="B50" s="6" t="s">
        <v>18</v>
      </c>
      <c r="C50" s="30">
        <v>200</v>
      </c>
      <c r="D50" s="30">
        <v>225</v>
      </c>
      <c r="E50" s="30">
        <v>190</v>
      </c>
      <c r="F50" s="30">
        <v>225</v>
      </c>
      <c r="G50" s="30">
        <v>200</v>
      </c>
      <c r="H50" s="30">
        <v>220</v>
      </c>
      <c r="I50" s="31">
        <f t="shared" si="4"/>
        <v>1.1904761904761905</v>
      </c>
      <c r="J50" s="30">
        <v>120</v>
      </c>
      <c r="K50" s="30">
        <v>200</v>
      </c>
      <c r="L50" s="32">
        <f t="shared" si="5"/>
        <v>32.8125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900</v>
      </c>
      <c r="H53" s="30">
        <v>2200</v>
      </c>
      <c r="I53" s="31">
        <f t="shared" si="6"/>
        <v>0</v>
      </c>
      <c r="J53" s="30">
        <v>800</v>
      </c>
      <c r="K53" s="30">
        <v>1800</v>
      </c>
      <c r="L53" s="32">
        <f t="shared" si="7"/>
        <v>19.230769230769234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1200</v>
      </c>
      <c r="E55" s="30">
        <v>1000</v>
      </c>
      <c r="F55" s="30">
        <v>1250</v>
      </c>
      <c r="G55" s="30">
        <v>1000</v>
      </c>
      <c r="H55" s="30">
        <v>1250</v>
      </c>
      <c r="I55" s="31">
        <f t="shared" si="6"/>
        <v>-2.2222222222222223</v>
      </c>
      <c r="J55" s="30">
        <v>1000</v>
      </c>
      <c r="K55" s="30">
        <v>1100</v>
      </c>
      <c r="L55" s="32">
        <f t="shared" si="7"/>
        <v>4.7619047619047619</v>
      </c>
    </row>
    <row r="56" spans="1:12" ht="21.75">
      <c r="A56" s="70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185</v>
      </c>
      <c r="G56" s="30">
        <v>170</v>
      </c>
      <c r="H56" s="30">
        <v>185</v>
      </c>
      <c r="I56" s="31">
        <f t="shared" si="6"/>
        <v>0</v>
      </c>
      <c r="J56" s="30">
        <v>170</v>
      </c>
      <c r="K56" s="30">
        <v>175</v>
      </c>
      <c r="L56" s="32">
        <f t="shared" si="7"/>
        <v>2.8985507246376812</v>
      </c>
    </row>
    <row r="57" spans="1:12" ht="21.75">
      <c r="A57" s="70" t="s">
        <v>63</v>
      </c>
      <c r="B57" s="6" t="s">
        <v>18</v>
      </c>
      <c r="C57" s="30">
        <v>550</v>
      </c>
      <c r="D57" s="30">
        <v>650</v>
      </c>
      <c r="E57" s="30">
        <v>550</v>
      </c>
      <c r="F57" s="30">
        <v>700</v>
      </c>
      <c r="G57" s="30">
        <v>550</v>
      </c>
      <c r="H57" s="30">
        <v>700</v>
      </c>
      <c r="I57" s="31">
        <f t="shared" si="6"/>
        <v>-4</v>
      </c>
      <c r="J57" s="30">
        <v>500</v>
      </c>
      <c r="K57" s="30">
        <v>580</v>
      </c>
      <c r="L57" s="32">
        <f t="shared" si="7"/>
        <v>11.111111111111111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850</v>
      </c>
      <c r="D60" s="30">
        <v>920</v>
      </c>
      <c r="E60" s="30">
        <v>840</v>
      </c>
      <c r="F60" s="30">
        <v>920</v>
      </c>
      <c r="G60" s="30">
        <v>840</v>
      </c>
      <c r="H60" s="30">
        <v>920</v>
      </c>
      <c r="I60" s="31">
        <f>((C60+D60)/2-(G60+H60)/2)/((G60+H60)/2)*100</f>
        <v>0.56818181818181823</v>
      </c>
      <c r="J60" s="30">
        <v>800</v>
      </c>
      <c r="K60" s="30">
        <v>820</v>
      </c>
      <c r="L60" s="32">
        <f>((C60+D60)/2-(J60+K60)/2)/((J60+K60)/2)*100</f>
        <v>9.2592592592592595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7" t="s">
        <v>9</v>
      </c>
      <c r="J66" s="83" t="s">
        <v>10</v>
      </c>
      <c r="K66" s="84"/>
      <c r="L66" s="27" t="s">
        <v>11</v>
      </c>
    </row>
    <row r="67" spans="1:12" ht="18" customHeight="1">
      <c r="A67" s="74"/>
      <c r="B67" s="65"/>
      <c r="C67" s="85">
        <v>45924</v>
      </c>
      <c r="D67" s="84"/>
      <c r="E67" s="85">
        <v>45917</v>
      </c>
      <c r="F67" s="84"/>
      <c r="G67" s="85">
        <v>45893</v>
      </c>
      <c r="H67" s="84"/>
      <c r="I67" s="27" t="s">
        <v>12</v>
      </c>
      <c r="J67" s="85">
        <v>45559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110</v>
      </c>
      <c r="I69" s="31">
        <f>((C69+D69)/2-(G69+H69)/2)/((G69+H69)/2)*100</f>
        <v>2.3255813953488373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53</v>
      </c>
      <c r="K72" s="38">
        <v>55</v>
      </c>
      <c r="L72" s="32">
        <f t="shared" si="8"/>
        <v>-12.037037037037036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90500</v>
      </c>
      <c r="K74" s="30">
        <v>92500</v>
      </c>
      <c r="L74" s="32">
        <f t="shared" si="8"/>
        <v>-7.3770491803278686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5" t="s">
        <v>27</v>
      </c>
      <c r="B83" s="6" t="s">
        <v>28</v>
      </c>
      <c r="C83" s="30">
        <v>170</v>
      </c>
      <c r="D83" s="30">
        <v>176</v>
      </c>
      <c r="E83" s="30">
        <v>170</v>
      </c>
      <c r="F83" s="30">
        <v>175</v>
      </c>
      <c r="G83" s="7">
        <f t="shared" ref="G83" si="10">((C83+D83)/2-(E83+F83)/2)/((E83+F83)/2)*100</f>
        <v>0.28985507246376813</v>
      </c>
      <c r="H83" s="5" t="s">
        <v>124</v>
      </c>
      <c r="I83" s="6"/>
      <c r="J83" s="6"/>
      <c r="K83" s="51"/>
      <c r="L83" s="18"/>
    </row>
    <row r="84" spans="1:12" ht="21.75">
      <c r="A84" s="70" t="s">
        <v>90</v>
      </c>
      <c r="B84" s="6" t="s">
        <v>18</v>
      </c>
      <c r="C84" s="30">
        <v>65</v>
      </c>
      <c r="D84" s="30">
        <v>80</v>
      </c>
      <c r="E84" s="30">
        <v>70</v>
      </c>
      <c r="F84" s="30">
        <v>80</v>
      </c>
      <c r="G84" s="7">
        <f t="shared" ref="G84:G88" si="11">((C84+D84)/2-(E84+F84)/2)/((E84+F84)/2)*100</f>
        <v>-3.3333333333333335</v>
      </c>
      <c r="H84" s="5" t="s">
        <v>123</v>
      </c>
      <c r="I84" s="6"/>
      <c r="J84" s="6"/>
      <c r="K84" s="51"/>
      <c r="L84" s="18"/>
    </row>
    <row r="85" spans="1:12" ht="21.75">
      <c r="A85" s="70" t="s">
        <v>52</v>
      </c>
      <c r="B85" s="6" t="s">
        <v>18</v>
      </c>
      <c r="C85" s="30">
        <v>140</v>
      </c>
      <c r="D85" s="30">
        <v>250</v>
      </c>
      <c r="E85" s="30">
        <v>130</v>
      </c>
      <c r="F85" s="30">
        <v>240</v>
      </c>
      <c r="G85" s="7">
        <f t="shared" si="11"/>
        <v>5.4054054054054053</v>
      </c>
      <c r="H85" s="5" t="s">
        <v>128</v>
      </c>
      <c r="I85" s="6"/>
      <c r="J85" s="6"/>
      <c r="K85" s="51"/>
      <c r="L85" s="18"/>
    </row>
    <row r="86" spans="1:12" ht="21.75">
      <c r="A86" s="70" t="s">
        <v>54</v>
      </c>
      <c r="B86" s="6" t="s">
        <v>18</v>
      </c>
      <c r="C86" s="30">
        <v>480</v>
      </c>
      <c r="D86" s="30">
        <v>600</v>
      </c>
      <c r="E86" s="30">
        <v>500</v>
      </c>
      <c r="F86" s="30">
        <v>600</v>
      </c>
      <c r="G86" s="7">
        <f t="shared" si="11"/>
        <v>-1.8181818181818181</v>
      </c>
      <c r="H86" s="5" t="s">
        <v>121</v>
      </c>
      <c r="I86" s="6"/>
      <c r="J86" s="6"/>
      <c r="K86" s="51"/>
      <c r="L86" s="18"/>
    </row>
    <row r="87" spans="1:12" ht="21.75">
      <c r="A87" s="70" t="s">
        <v>56</v>
      </c>
      <c r="B87" s="6" t="s">
        <v>18</v>
      </c>
      <c r="C87" s="30">
        <v>4800</v>
      </c>
      <c r="D87" s="30">
        <v>5500</v>
      </c>
      <c r="E87" s="30">
        <v>4700</v>
      </c>
      <c r="F87" s="30">
        <v>5500</v>
      </c>
      <c r="G87" s="7">
        <f t="shared" si="11"/>
        <v>0.98039215686274506</v>
      </c>
      <c r="H87" s="5" t="s">
        <v>118</v>
      </c>
      <c r="I87" s="6"/>
      <c r="J87" s="6"/>
      <c r="K87" s="51"/>
      <c r="L87" s="18"/>
    </row>
    <row r="88" spans="1:12" ht="21.75">
      <c r="A88" s="70" t="s">
        <v>58</v>
      </c>
      <c r="B88" s="6" t="s">
        <v>18</v>
      </c>
      <c r="C88" s="30">
        <v>200</v>
      </c>
      <c r="D88" s="30">
        <v>225</v>
      </c>
      <c r="E88" s="30">
        <v>190</v>
      </c>
      <c r="F88" s="30">
        <v>225</v>
      </c>
      <c r="G88" s="7">
        <f t="shared" si="11"/>
        <v>2.4096385542168677</v>
      </c>
      <c r="H88" s="5" t="s">
        <v>122</v>
      </c>
      <c r="I88" s="6"/>
      <c r="J88" s="6"/>
      <c r="K88" s="51"/>
      <c r="L88" s="18"/>
    </row>
    <row r="89" spans="1:12" ht="24.75">
      <c r="A89" s="1"/>
      <c r="B89" s="3"/>
      <c r="C89" s="9"/>
      <c r="D89" s="9"/>
      <c r="E89" s="9"/>
      <c r="F89" s="9"/>
      <c r="G89" s="10"/>
      <c r="H89" s="1"/>
      <c r="I89" s="3"/>
      <c r="J89" s="3"/>
      <c r="K89" s="12"/>
      <c r="L89" s="12"/>
    </row>
    <row r="90" spans="1:12" ht="24.75">
      <c r="A90" s="1"/>
      <c r="B90" s="3"/>
      <c r="C90" s="9"/>
      <c r="D90" s="9"/>
      <c r="E90" s="9"/>
      <c r="F90" s="9"/>
      <c r="G90" s="10"/>
      <c r="H90" s="1"/>
      <c r="I90" s="3"/>
      <c r="J90" s="3"/>
      <c r="K90" s="12"/>
      <c r="L90" s="12"/>
    </row>
    <row r="91" spans="1:12" ht="24.75">
      <c r="A91" s="1"/>
      <c r="B91" s="14"/>
      <c r="C91" s="15"/>
      <c r="D91" s="15"/>
      <c r="E91" s="14"/>
      <c r="F91" s="15"/>
      <c r="G91" s="39"/>
      <c r="H91" s="40"/>
      <c r="I91" s="41"/>
      <c r="J91" s="41"/>
      <c r="K91" s="41"/>
      <c r="L91" s="12"/>
    </row>
    <row r="92" spans="1:12" ht="24.75">
      <c r="A92" s="1"/>
      <c r="B92" s="42"/>
      <c r="C92" s="43" t="s">
        <v>119</v>
      </c>
      <c r="D92" s="11"/>
      <c r="E92" s="42"/>
      <c r="F92" s="14"/>
      <c r="G92" s="11"/>
      <c r="H92" s="40"/>
      <c r="I92" s="13"/>
      <c r="J92" s="14" t="s">
        <v>116</v>
      </c>
      <c r="K92" s="11"/>
      <c r="L92" s="11"/>
    </row>
    <row r="93" spans="1:12" ht="24.75">
      <c r="A93" s="1"/>
      <c r="B93" s="44"/>
      <c r="C93" s="43" t="s">
        <v>120</v>
      </c>
      <c r="D93" s="14"/>
      <c r="E93" s="42"/>
      <c r="F93" s="45"/>
      <c r="G93" s="47"/>
      <c r="H93" s="47"/>
      <c r="I93" s="77"/>
      <c r="J93" s="14" t="s">
        <v>117</v>
      </c>
      <c r="K93" s="14"/>
      <c r="L93" s="14"/>
    </row>
    <row r="94" spans="1:12" ht="24.75">
      <c r="A94" s="1"/>
      <c r="B94" s="14"/>
      <c r="C94" s="15"/>
      <c r="D94" s="14"/>
      <c r="E94" s="15"/>
      <c r="F94" s="45"/>
      <c r="G94" s="47"/>
      <c r="H94" s="47"/>
      <c r="I94" s="46"/>
      <c r="J94" s="11"/>
      <c r="K94" s="11"/>
      <c r="L94" s="2"/>
    </row>
    <row r="95" spans="1:12" ht="19.5">
      <c r="A95" s="56" t="s">
        <v>93</v>
      </c>
      <c r="B95" s="54"/>
      <c r="C95" s="52"/>
      <c r="D95" s="54"/>
      <c r="E95" s="52"/>
      <c r="F95" s="52"/>
      <c r="G95" s="52"/>
      <c r="H95" s="53"/>
      <c r="I95" s="58"/>
      <c r="J95" s="2"/>
      <c r="K95" s="2"/>
      <c r="L95" s="2"/>
    </row>
    <row r="96" spans="1:12" ht="19.5">
      <c r="A96" s="55" t="s">
        <v>99</v>
      </c>
      <c r="B96" s="54"/>
      <c r="C96" s="52"/>
      <c r="D96" s="54"/>
      <c r="E96" s="52"/>
      <c r="F96" s="52"/>
      <c r="G96" s="54"/>
      <c r="H96" s="53"/>
      <c r="I96" s="58"/>
      <c r="J96" s="2"/>
      <c r="K96" s="2"/>
      <c r="L96" s="2"/>
    </row>
    <row r="97" spans="1:12" ht="19.5">
      <c r="A97" s="55" t="s">
        <v>98</v>
      </c>
      <c r="B97" s="54"/>
      <c r="C97" s="54"/>
      <c r="D97" s="54"/>
      <c r="E97" s="54"/>
      <c r="F97" s="52"/>
      <c r="G97" s="54"/>
      <c r="H97" s="53"/>
      <c r="I97" s="58"/>
      <c r="J97" s="2"/>
      <c r="K97" s="2"/>
      <c r="L97" s="2"/>
    </row>
    <row r="98" spans="1:12" ht="19.5">
      <c r="A98" s="55" t="s">
        <v>85</v>
      </c>
      <c r="B98" s="54"/>
      <c r="C98" s="54"/>
      <c r="D98" s="54"/>
      <c r="E98" s="54"/>
      <c r="F98" s="53"/>
      <c r="G98" s="53"/>
      <c r="H98" s="53"/>
      <c r="I98" s="58"/>
      <c r="J98" s="2"/>
      <c r="K98" s="2"/>
      <c r="L98" s="2"/>
    </row>
    <row r="99" spans="1:12" ht="19.5">
      <c r="A99" s="55" t="s">
        <v>97</v>
      </c>
      <c r="B99" s="54"/>
      <c r="C99" s="54"/>
      <c r="D99" s="54"/>
      <c r="E99" s="54"/>
      <c r="F99" s="54"/>
      <c r="G99" s="53"/>
      <c r="H99" s="53"/>
      <c r="I99" s="58"/>
      <c r="J99" s="2"/>
      <c r="K99" s="2"/>
      <c r="L99" s="2"/>
    </row>
    <row r="100" spans="1:12" ht="19.5">
      <c r="A100" s="55" t="s">
        <v>96</v>
      </c>
      <c r="B100" s="54"/>
      <c r="C100" s="54"/>
      <c r="D100" s="54"/>
      <c r="E100" s="54"/>
      <c r="F100" s="54"/>
      <c r="G100" s="54"/>
      <c r="H100" s="53"/>
      <c r="I100" s="58"/>
      <c r="J100" s="2"/>
      <c r="K100" s="2"/>
      <c r="L100" s="2"/>
    </row>
    <row r="101" spans="1:12" ht="19.5">
      <c r="A101" s="55" t="s">
        <v>107</v>
      </c>
      <c r="B101" s="54"/>
      <c r="C101" s="54"/>
      <c r="D101" s="54"/>
      <c r="E101" s="54"/>
      <c r="F101" s="54"/>
      <c r="G101" s="54"/>
      <c r="H101" s="53"/>
      <c r="I101" s="58"/>
      <c r="J101" s="2"/>
      <c r="K101" s="2"/>
      <c r="L101" s="2"/>
    </row>
    <row r="102" spans="1:12" ht="19.5">
      <c r="A102" s="55" t="s">
        <v>95</v>
      </c>
      <c r="B102" s="54"/>
      <c r="C102" s="54"/>
      <c r="D102" s="54"/>
      <c r="E102" s="54"/>
      <c r="F102" s="54"/>
      <c r="G102" s="54"/>
      <c r="H102" s="53"/>
      <c r="I102" s="58"/>
      <c r="J102" s="2"/>
      <c r="K102" s="2"/>
      <c r="L102" s="2"/>
    </row>
    <row r="103" spans="1:12" ht="19.5">
      <c r="A103" s="55" t="s">
        <v>94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9.5">
      <c r="A104" s="55" t="s">
        <v>86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101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100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102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103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87</v>
      </c>
      <c r="B109" s="54"/>
      <c r="C109" s="54"/>
      <c r="D109" s="54"/>
      <c r="E109" s="54"/>
      <c r="F109" s="54"/>
      <c r="G109" s="54"/>
      <c r="H109" s="57"/>
      <c r="I109" s="59"/>
      <c r="J109" s="12"/>
      <c r="K109" s="12"/>
      <c r="L109" s="12"/>
    </row>
    <row r="110" spans="1:12" ht="19.5">
      <c r="A110" s="55"/>
      <c r="B110" s="54"/>
      <c r="C110" s="54"/>
      <c r="D110" s="54"/>
      <c r="E110" s="54"/>
      <c r="F110" s="54"/>
      <c r="G110" s="54"/>
      <c r="H110" s="57"/>
      <c r="I110" s="59"/>
      <c r="J110" s="12"/>
      <c r="K110" s="12"/>
      <c r="L110" s="12"/>
    </row>
    <row r="111" spans="1:12" ht="19.5">
      <c r="A111" s="56" t="s">
        <v>88</v>
      </c>
      <c r="B111" s="54"/>
      <c r="C111" s="54"/>
      <c r="D111" s="54"/>
      <c r="E111" s="54"/>
      <c r="F111" s="54"/>
      <c r="G111" s="54"/>
      <c r="H111" s="57"/>
      <c r="I111" s="59"/>
      <c r="J111" s="12"/>
      <c r="K111" s="12"/>
      <c r="L111" s="12"/>
    </row>
    <row r="112" spans="1:12" ht="19.5">
      <c r="A112" s="55" t="s">
        <v>89</v>
      </c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9.5">
      <c r="A113" s="55" t="s">
        <v>115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5" t="s">
        <v>114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 t="s">
        <v>113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2025-09-24T07:50:48Z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