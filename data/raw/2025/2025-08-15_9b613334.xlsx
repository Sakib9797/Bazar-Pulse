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B8EA94D6-5288-4B62-9BC4-7D6D1354AC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2" i="4" l="1"/>
  <c r="G87" i="4"/>
  <c r="G84" i="4"/>
  <c r="G83" i="4"/>
  <c r="G88" i="4"/>
  <c r="G85" i="4"/>
  <c r="G86" i="4"/>
  <c r="G89" i="4"/>
  <c r="G90" i="4"/>
  <c r="G93" i="4"/>
  <c r="G91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<sst xmlns="http://schemas.openxmlformats.org/spreadsheetml/2006/main" count="243" uniqueCount="131">
  <si>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</si>
  <si>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</si>
  <si>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</si>
  <si>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</si>
  <si>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</si>
  <si>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</si>
  <si>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</si>
  <si>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</si>
  <si>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</si>
  <si>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</si>
  <si>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</si>
  <si>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</si>
  <si>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</si>
  <si>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</si>
  <si>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</si>
  <si>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</si>
  <si>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</si>
  <si>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</si>
  <si>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</si>
  <si>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</si>
  <si>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</si>
  <si>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</si>
  <si>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</si>
  <si>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</si>
  <si>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</si>
  <si>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</si>
  <si>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</si>
  <si>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</si>
  <si>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</si>
  <si>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</si>
  <si>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</si>
  <si>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</si>
  <si>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</si>
  <si>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</si>
  <si>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</si>
  <si>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</si>
  <si>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</si>
  <si>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</si>
  <si>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</si>
  <si>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</si>
  <si>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</si>
  <si>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</si>
  <si>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</si>
  <si>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</si>
  <si>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</si>
  <si>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</si>
  <si>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</si>
  <si>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</si>
  <si>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</si>
  <si>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</si>
  <si>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</si>
  <si>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</si>
  <si>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</si>
  <si>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</si>
  <si>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</si>
  <si>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</si>
  <si>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</si>
  <si>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</si>
  <si>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</si>
  <si>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</si>
  <si>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</si>
  <si>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</si>
  <si>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</si>
  <si>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</si>
  <si>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</si>
  <si>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</si>
  <si>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</si>
  <si>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</si>
  <si>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</si>
  <si>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</si>
  <si>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</si>
  <si>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</si>
  <si>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</si>
  <si>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</si>
  <si>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</si>
  <si>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</si>
  <si>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</si>
  <si>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</si>
  <si>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</si>
  <si>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</si>
  <si>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</si>
  <si>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</si>
  <si>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</si>
  <si>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</si>
  <si>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</si>
  <si>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</si>
  <si>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</si>
  <si>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</si>
  <si>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</si>
  <si>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</si>
  <si>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</si>
  <si>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</si>
  <si>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</si>
  <si>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</si>
  <si>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</si>
  <si>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</si>
  <si>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</si>
  <si>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</si>
  <si>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</si>
  <si>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</si>
  <si>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</si>
  <si>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</si>
  <si>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</si>
  <si>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</si>
  <si>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</si>
  <si>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</si>
  <si>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</si>
  <si>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</si>
  <si>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</si>
  <si>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</si>
  <si>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</si>
  <si>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</si>
  <si>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</si>
  <si>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</si>
  <si>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</si>
  <si>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১০-০৮-২০২৫ তারিখে মূল্য বৃদ্ধি পেয়েছে।</t>
  </si>
  <si>
    <t>১০-০৮-২০২৫ তারিখে মূল্য হ্রাস পেয়েছে।</t>
  </si>
  <si>
    <t>১১-০৮-২০২৫ তারিখে মূল্য বৃদ্ধি পেয়েছে।</t>
  </si>
  <si>
    <t>১২-০৮-২০২৫ তারিখে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</si>
  <si>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</si>
  <si>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</si>
  <si>
    <t>১৪-০৮-২০২৫ তারিখে মূল্য বৃদ্ধি পেয়েছে।</t>
  </si>
  <si>
    <t>স্মারক নং-২৬.০৫.০০০০.০১৭.৩১.০১.২৫-৫৭৪</t>
  </si>
  <si>
    <t xml:space="preserve">শুক্রবার ১৫ আগষ্ট ২০২৫ খ্রিঃ, ৩১ শ্রাবণ ১৪৩২ বাংলা, ২০ সফর ১৪৪৭ হিজরি </t>
  </si>
  <si>
    <t xml:space="preserve">   সিরিয়াল নংঃ     ২০২</t>
  </si>
  <si>
    <t>১৫-০৮-২০২৫ তারিখে মূল্য হ্রাস পেয়েছে।</t>
  </si>
  <si>
    <t>১৫-০৮-২০২৫ তারিখে মূল্য বৃদ্ধি পেয়েছে।</t>
  </si>
  <si>
    <t>(২ )   সয়াবিন তেল (২লি: বোতল), রশুন (আম),  চিনি   এর মূল্য হ্রাস পেয়েছে।</t>
  </si>
  <si>
    <t>(১)   ময়দা (প্যা:), আটা (খোলা, প্যা:), মুগ ডাল, ছোলা, মুরগী ব্রয়লার, আলু, ডিম  এর মূল্য বৃদ্ধি পেয়েছে।</t>
  </si>
  <si>
    <t>(মোঃ হুমায়ুন কবির )</t>
  </si>
  <si>
    <t>যুগ্ম পরিচালক (বাজার তথ্য)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</si>
</sst>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2"/>
  <sheetViews>
    <sheetView tabSelected="1" topLeftCell="A85" zoomScale="98" zoomScaleNormal="98" workbookViewId="0">
      <selection activeCell="C100" sqref="C10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124</v>
      </c>
      <c r="L4" s="92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45884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45884</v>
      </c>
      <c r="D8" s="92"/>
      <c r="E8" s="93">
        <v>45877</v>
      </c>
      <c r="F8" s="92"/>
      <c r="G8" s="93">
        <v>45853</v>
      </c>
      <c r="H8" s="92"/>
      <c r="I8" s="27" t="s">
        <v>12</v>
      </c>
      <c r="J8" s="101">
        <v>45519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80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62">
        <v>55</v>
      </c>
      <c r="K11" s="62">
        <v>60</v>
      </c>
      <c r="L11" s="32">
        <f>((C11+D11)/2-(J11+K11)/2)/((J11+K11)/2)*100</f>
        <v>17.391304347826086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52</v>
      </c>
      <c r="K12" s="62">
        <v>55</v>
      </c>
      <c r="L12" s="32">
        <f>((C12+D12)/2-(J12+K12)/2)/((J12+K12)/2)*100</f>
        <v>7.4766355140186906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42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2.3529411764705883</v>
      </c>
      <c r="J14" s="62">
        <v>40</v>
      </c>
      <c r="K14" s="62">
        <v>45</v>
      </c>
      <c r="L14" s="32">
        <f>((C14+D14)/2-(J14+K14)/2)/((J14+K14)/2)*100</f>
        <v>2.3529411764705883</v>
      </c>
    </row>
    <row r="15" spans="1:12" ht="21.75">
      <c r="A15" s="76" t="s">
        <v>22</v>
      </c>
      <c r="B15" s="6" t="s">
        <v>23</v>
      </c>
      <c r="C15" s="30">
        <v>52</v>
      </c>
      <c r="D15" s="30">
        <v>60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6.666666666666667</v>
      </c>
      <c r="J15" s="62">
        <v>50</v>
      </c>
      <c r="K15" s="62">
        <v>55</v>
      </c>
      <c r="L15" s="32">
        <f>((C15+D15)/2-(J15+K15)/2)/((J15+K15)/2)*100</f>
        <v>6.666666666666667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3.7037037037037033</v>
      </c>
      <c r="J17" s="62">
        <v>65</v>
      </c>
      <c r="K17" s="62">
        <v>70</v>
      </c>
      <c r="L17" s="32">
        <f>((C17+D17)/2-(J17+K17)/2)/((J17+K17)/2)*100</f>
        <v>3.7037037037037033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172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152</v>
      </c>
      <c r="L19" s="32">
        <f t="shared" ref="L19:L25" si="1">((C19+D19)/2-(J19+K19)/2)/((J19+K19)/2)*100</f>
        <v>12.457912457912458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160</v>
      </c>
      <c r="G23" s="30">
        <v>147</v>
      </c>
      <c r="H23" s="30">
        <v>155</v>
      </c>
      <c r="I23" s="31">
        <f t="shared" si="0"/>
        <v>2.6490066225165565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62">
        <v>115</v>
      </c>
      <c r="K28" s="62">
        <v>120</v>
      </c>
      <c r="L28" s="32">
        <f t="shared" si="3"/>
        <v>4.2553191489361701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150</v>
      </c>
      <c r="F29" s="30">
        <v>155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160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11.475409836065573</v>
      </c>
      <c r="J30" s="62">
        <v>160</v>
      </c>
      <c r="K30" s="62">
        <v>185</v>
      </c>
      <c r="L30" s="32">
        <f t="shared" si="3"/>
        <v>-1.4492753623188406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50</v>
      </c>
      <c r="H31" s="30">
        <v>80</v>
      </c>
      <c r="I31" s="31">
        <f t="shared" si="2"/>
        <v>7.6923076923076925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95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62">
        <v>115</v>
      </c>
      <c r="K32" s="62">
        <v>120</v>
      </c>
      <c r="L32" s="32">
        <f t="shared" si="3"/>
        <v>-12.76595744680851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22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50</v>
      </c>
      <c r="K33" s="62">
        <v>55</v>
      </c>
      <c r="L33" s="32">
        <f t="shared" si="3"/>
        <v>-47.619047619047613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90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100</v>
      </c>
      <c r="H37" s="30">
        <v>150</v>
      </c>
      <c r="I37" s="31">
        <f t="shared" si="4"/>
        <v>-4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220</v>
      </c>
      <c r="G38" s="30">
        <v>160</v>
      </c>
      <c r="H38" s="30">
        <v>200</v>
      </c>
      <c r="I38" s="31">
        <f t="shared" si="4"/>
        <v>0</v>
      </c>
      <c r="J38" s="62">
        <v>200</v>
      </c>
      <c r="K38" s="62">
        <v>230</v>
      </c>
      <c r="L38" s="32">
        <f t="shared" si="5"/>
        <v>-16.279069767441861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220</v>
      </c>
      <c r="H39" s="30">
        <v>350</v>
      </c>
      <c r="I39" s="31">
        <f t="shared" si="4"/>
        <v>3.5087719298245612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180</v>
      </c>
      <c r="D44" s="30">
        <v>280</v>
      </c>
      <c r="E44" s="30">
        <v>180</v>
      </c>
      <c r="F44" s="30">
        <v>280</v>
      </c>
      <c r="G44" s="30">
        <v>130</v>
      </c>
      <c r="H44" s="30">
        <v>200</v>
      </c>
      <c r="I44" s="31">
        <f t="shared" si="4"/>
        <v>39.393939393939391</v>
      </c>
      <c r="J44" s="62">
        <v>200</v>
      </c>
      <c r="K44" s="62">
        <v>280</v>
      </c>
      <c r="L44" s="32">
        <f t="shared" si="5"/>
        <v>-4.1666666666666661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1400</v>
      </c>
      <c r="K47" s="62">
        <v>1650</v>
      </c>
      <c r="L47" s="32">
        <f t="shared" si="5"/>
        <v>-1.639344262295082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180</v>
      </c>
      <c r="H50" s="30">
        <v>220</v>
      </c>
      <c r="I50" s="31">
        <f t="shared" si="4"/>
        <v>0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175</v>
      </c>
      <c r="E56" s="30">
        <v>160</v>
      </c>
      <c r="F56" s="30">
        <v>170</v>
      </c>
      <c r="G56" s="30">
        <v>150</v>
      </c>
      <c r="H56" s="30">
        <v>170</v>
      </c>
      <c r="I56" s="31">
        <f t="shared" si="6"/>
        <v>4.6875</v>
      </c>
      <c r="J56" s="62">
        <v>160</v>
      </c>
      <c r="K56" s="62">
        <v>170</v>
      </c>
      <c r="L56" s="32">
        <f t="shared" si="7"/>
        <v>1.5151515151515151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520</v>
      </c>
      <c r="K57" s="62">
        <v>650</v>
      </c>
      <c r="L57" s="32">
        <f t="shared" si="7"/>
        <v>9.4017094017094021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45884</v>
      </c>
      <c r="D67" s="92"/>
      <c r="E67" s="93">
        <v>45877</v>
      </c>
      <c r="F67" s="92"/>
      <c r="G67" s="93">
        <v>45853</v>
      </c>
      <c r="H67" s="92"/>
      <c r="I67" s="27" t="s">
        <v>12</v>
      </c>
      <c r="J67" s="101">
        <v>45519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110</v>
      </c>
      <c r="E69" s="30">
        <v>105</v>
      </c>
      <c r="F69" s="30">
        <v>115</v>
      </c>
      <c r="G69" s="30">
        <v>110</v>
      </c>
      <c r="H69" s="30">
        <v>115</v>
      </c>
      <c r="I69" s="31">
        <f>((C69+D69)/2-(G69+H69)/2)/((G69+H69)/2)*100</f>
        <v>-4.4444444444444446</v>
      </c>
      <c r="J69" s="62">
        <v>130</v>
      </c>
      <c r="K69" s="62">
        <v>135</v>
      </c>
      <c r="L69" s="32">
        <f t="shared" ref="L69:L75" si="8">((C69+D69)/2-(J69+K69)/2)/((J69+K69)/2)*100</f>
        <v>-18.867924528301888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250</v>
      </c>
      <c r="K70" s="62">
        <v>450</v>
      </c>
      <c r="L70" s="32">
        <f t="shared" si="8"/>
        <v>10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48</v>
      </c>
      <c r="D72" s="38">
        <v>50</v>
      </c>
      <c r="E72" s="38">
        <v>40</v>
      </c>
      <c r="F72" s="38">
        <v>48</v>
      </c>
      <c r="G72" s="38">
        <v>38</v>
      </c>
      <c r="H72" s="38">
        <v>46</v>
      </c>
      <c r="I72" s="31">
        <f t="shared" si="9"/>
        <v>16.666666666666664</v>
      </c>
      <c r="J72" s="63">
        <v>48</v>
      </c>
      <c r="K72" s="63">
        <v>50</v>
      </c>
      <c r="L72" s="32">
        <f t="shared" si="8"/>
        <v>0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83500</v>
      </c>
      <c r="F74" s="30">
        <v>87000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80000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114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113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.75">
      <c r="A83" s="5" t="s">
        <v>21</v>
      </c>
      <c r="B83" s="6" t="s">
        <v>18</v>
      </c>
      <c r="C83" s="30">
        <v>42</v>
      </c>
      <c r="D83" s="30">
        <v>45</v>
      </c>
      <c r="E83" s="30">
        <v>40</v>
      </c>
      <c r="F83" s="30">
        <v>45</v>
      </c>
      <c r="G83" s="7">
        <f t="shared" ref="G83:G93" si="10">((C83+D83)/2-(E83+F83)/2)/((E83+F83)/2)*100</f>
        <v>2.3529411764705883</v>
      </c>
      <c r="H83" s="5" t="s">
        <v>117</v>
      </c>
      <c r="I83" s="6"/>
      <c r="J83" s="6"/>
      <c r="K83" s="51"/>
      <c r="L83" s="18"/>
    </row>
    <row r="84" spans="1:12" ht="21.75">
      <c r="A84" s="5" t="s">
        <v>22</v>
      </c>
      <c r="B84" s="6" t="s">
        <v>23</v>
      </c>
      <c r="C84" s="30">
        <v>52</v>
      </c>
      <c r="D84" s="30">
        <v>60</v>
      </c>
      <c r="E84" s="30">
        <v>50</v>
      </c>
      <c r="F84" s="30">
        <v>55</v>
      </c>
      <c r="G84" s="7">
        <f t="shared" si="10"/>
        <v>6.666666666666667</v>
      </c>
      <c r="H84" s="5" t="s">
        <v>117</v>
      </c>
      <c r="I84" s="6"/>
      <c r="J84" s="6"/>
      <c r="K84" s="51"/>
      <c r="L84" s="18"/>
    </row>
    <row r="85" spans="1:12" ht="21.75">
      <c r="A85" s="76" t="s">
        <v>25</v>
      </c>
      <c r="B85" s="6" t="s">
        <v>23</v>
      </c>
      <c r="C85" s="30">
        <v>65</v>
      </c>
      <c r="D85" s="30">
        <v>75</v>
      </c>
      <c r="E85" s="30">
        <v>65</v>
      </c>
      <c r="F85" s="30">
        <v>70</v>
      </c>
      <c r="G85" s="7">
        <f t="shared" si="10"/>
        <v>3.7037037037037033</v>
      </c>
      <c r="H85" s="5" t="s">
        <v>118</v>
      </c>
      <c r="I85" s="6"/>
      <c r="J85" s="6"/>
      <c r="K85" s="51"/>
      <c r="L85" s="18"/>
    </row>
    <row r="86" spans="1:12" ht="21.75">
      <c r="A86" s="76" t="s">
        <v>29</v>
      </c>
      <c r="B86" s="6" t="s">
        <v>31</v>
      </c>
      <c r="C86" s="30">
        <v>370</v>
      </c>
      <c r="D86" s="30">
        <v>378</v>
      </c>
      <c r="E86" s="30">
        <v>375</v>
      </c>
      <c r="F86" s="30">
        <v>378</v>
      </c>
      <c r="G86" s="7">
        <f t="shared" si="10"/>
        <v>-0.66401062416998669</v>
      </c>
      <c r="H86" s="5" t="s">
        <v>116</v>
      </c>
      <c r="I86" s="6"/>
      <c r="J86" s="6"/>
      <c r="K86" s="51"/>
      <c r="L86" s="18"/>
    </row>
    <row r="87" spans="1:12" ht="21.75">
      <c r="A87" s="76" t="s">
        <v>39</v>
      </c>
      <c r="B87" s="6" t="s">
        <v>18</v>
      </c>
      <c r="C87" s="30">
        <v>160</v>
      </c>
      <c r="D87" s="30">
        <v>180</v>
      </c>
      <c r="E87" s="30">
        <v>120</v>
      </c>
      <c r="F87" s="30">
        <v>180</v>
      </c>
      <c r="G87" s="7">
        <f t="shared" si="10"/>
        <v>13.333333333333334</v>
      </c>
      <c r="H87" s="5" t="s">
        <v>121</v>
      </c>
      <c r="I87" s="6"/>
      <c r="J87" s="6"/>
      <c r="K87" s="51"/>
      <c r="L87" s="18"/>
    </row>
    <row r="88" spans="1:12" ht="21.75">
      <c r="A88" s="76" t="s">
        <v>41</v>
      </c>
      <c r="B88" s="6" t="s">
        <v>18</v>
      </c>
      <c r="C88" s="30">
        <v>95</v>
      </c>
      <c r="D88" s="30">
        <v>110</v>
      </c>
      <c r="E88" s="30">
        <v>90</v>
      </c>
      <c r="F88" s="30">
        <v>110</v>
      </c>
      <c r="G88" s="7">
        <f t="shared" si="10"/>
        <v>2.5</v>
      </c>
      <c r="H88" s="5" t="s">
        <v>117</v>
      </c>
      <c r="I88" s="6"/>
      <c r="J88" s="6"/>
      <c r="K88" s="51"/>
      <c r="L88" s="18"/>
    </row>
    <row r="89" spans="1:12" ht="21.75">
      <c r="A89" s="76" t="s">
        <v>42</v>
      </c>
      <c r="B89" s="6" t="s">
        <v>18</v>
      </c>
      <c r="C89" s="30">
        <v>25</v>
      </c>
      <c r="D89" s="30">
        <v>30</v>
      </c>
      <c r="E89" s="30">
        <v>22</v>
      </c>
      <c r="F89" s="30">
        <v>30</v>
      </c>
      <c r="G89" s="7">
        <f t="shared" si="10"/>
        <v>5.7692307692307692</v>
      </c>
      <c r="H89" s="5" t="s">
        <v>115</v>
      </c>
      <c r="I89" s="6"/>
      <c r="J89" s="6"/>
      <c r="K89" s="51"/>
      <c r="L89" s="18"/>
    </row>
    <row r="90" spans="1:12" ht="21.75">
      <c r="A90" s="76" t="s">
        <v>46</v>
      </c>
      <c r="B90" s="6" t="s">
        <v>18</v>
      </c>
      <c r="C90" s="30">
        <v>160</v>
      </c>
      <c r="D90" s="30">
        <v>200</v>
      </c>
      <c r="E90" s="30">
        <v>160</v>
      </c>
      <c r="F90" s="30">
        <v>220</v>
      </c>
      <c r="G90" s="7">
        <f t="shared" si="10"/>
        <v>-5.2631578947368416</v>
      </c>
      <c r="H90" s="5" t="s">
        <v>116</v>
      </c>
      <c r="I90" s="6"/>
      <c r="J90" s="6"/>
      <c r="K90" s="51"/>
      <c r="L90" s="18"/>
    </row>
    <row r="91" spans="1:12" ht="21.75">
      <c r="A91" s="76" t="s">
        <v>62</v>
      </c>
      <c r="B91" s="6" t="s">
        <v>18</v>
      </c>
      <c r="C91" s="30">
        <v>160</v>
      </c>
      <c r="D91" s="30">
        <v>175</v>
      </c>
      <c r="E91" s="30">
        <v>160</v>
      </c>
      <c r="F91" s="30">
        <v>170</v>
      </c>
      <c r="G91" s="7">
        <f t="shared" si="10"/>
        <v>1.5151515151515151</v>
      </c>
      <c r="H91" s="5" t="s">
        <v>118</v>
      </c>
      <c r="I91" s="6"/>
      <c r="J91" s="6"/>
      <c r="K91" s="51"/>
      <c r="L91" s="18"/>
    </row>
    <row r="92" spans="1:12" ht="21.75">
      <c r="A92" s="76" t="s">
        <v>71</v>
      </c>
      <c r="B92" s="6" t="s">
        <v>18</v>
      </c>
      <c r="C92" s="30">
        <v>105</v>
      </c>
      <c r="D92" s="30">
        <v>110</v>
      </c>
      <c r="E92" s="30">
        <v>105</v>
      </c>
      <c r="F92" s="30">
        <v>115</v>
      </c>
      <c r="G92" s="7">
        <f t="shared" si="10"/>
        <v>-2.2727272727272729</v>
      </c>
      <c r="H92" s="5" t="s">
        <v>125</v>
      </c>
      <c r="I92" s="6"/>
      <c r="J92" s="6"/>
      <c r="K92" s="51"/>
      <c r="L92" s="18"/>
    </row>
    <row r="93" spans="1:12" ht="21.75">
      <c r="A93" s="76" t="s">
        <v>73</v>
      </c>
      <c r="B93" s="6" t="s">
        <v>74</v>
      </c>
      <c r="C93" s="38">
        <v>48</v>
      </c>
      <c r="D93" s="38">
        <v>50</v>
      </c>
      <c r="E93" s="38">
        <v>40</v>
      </c>
      <c r="F93" s="38">
        <v>48</v>
      </c>
      <c r="G93" s="7">
        <f t="shared" si="10"/>
        <v>11.363636363636363</v>
      </c>
      <c r="H93" s="5" t="s">
        <v>126</v>
      </c>
      <c r="I93" s="6"/>
      <c r="J93" s="6"/>
      <c r="K93" s="51"/>
      <c r="L93" s="18"/>
    </row>
    <row r="94" spans="1:12" ht="21.75">
      <c r="A94" s="79"/>
      <c r="B94" s="3"/>
      <c r="C94" s="90"/>
      <c r="D94" s="90"/>
      <c r="E94" s="90"/>
      <c r="F94" s="90"/>
      <c r="G94" s="10"/>
      <c r="H94" s="1"/>
      <c r="I94" s="3"/>
      <c r="J94" s="3"/>
      <c r="K94" s="51"/>
      <c r="L94" s="18"/>
    </row>
    <row r="95" spans="1:12" ht="21.75">
      <c r="A95" s="79"/>
      <c r="B95" s="3"/>
      <c r="C95" s="90"/>
      <c r="D95" s="90"/>
      <c r="E95" s="90"/>
      <c r="F95" s="90"/>
      <c r="G95" s="10"/>
      <c r="H95" s="1"/>
      <c r="I95" s="3"/>
      <c r="J95" s="3"/>
      <c r="K95" s="51"/>
      <c r="L95" s="18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4.75">
      <c r="A99" s="1"/>
      <c r="B99" s="42"/>
      <c r="C99" s="43" t="s">
        <v>129</v>
      </c>
      <c r="D99" s="11"/>
      <c r="E99" s="42"/>
      <c r="F99" s="14"/>
      <c r="G99" s="11"/>
      <c r="H99" s="40"/>
      <c r="I99" s="13"/>
      <c r="J99" s="14" t="s">
        <v>119</v>
      </c>
      <c r="K99" s="11"/>
      <c r="L99" s="11"/>
    </row>
    <row r="100" spans="1:12" ht="24.75">
      <c r="A100" s="1"/>
      <c r="B100" s="44"/>
      <c r="C100" s="43" t="s">
        <v>130</v>
      </c>
      <c r="D100" s="14"/>
      <c r="E100" s="42"/>
      <c r="F100" s="45"/>
      <c r="G100" s="47"/>
      <c r="H100" s="47"/>
      <c r="I100" s="86"/>
      <c r="J100" s="14" t="s">
        <v>120</v>
      </c>
      <c r="K100" s="14"/>
      <c r="L100" s="14"/>
    </row>
    <row r="101" spans="1:12" ht="24.75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9.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9.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9.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9.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2025-08-17T07:04:53Z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