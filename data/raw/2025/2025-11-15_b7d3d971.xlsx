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8_{3D4FD86C-4844-DC44-8C49-761A4CF9A88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4" l="1"/>
  <c r="G90" i="4"/>
  <c r="G87" i="4"/>
  <c r="G84" i="4"/>
  <c r="G83" i="4"/>
  <c r="G85" i="4"/>
  <c r="G88" i="4"/>
  <c r="G8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<sst xmlns="http://schemas.openxmlformats.org/spreadsheetml/2006/main" count="235" uniqueCount="133">
  <si>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</si>
  <si>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</si>
  <si>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</si>
  <si>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</si>
  <si>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</si>
  <si>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</si>
  <si>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</si>
  <si>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</si>
  <si>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</si>
  <si>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</si>
  <si>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</si>
  <si>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</si>
  <si>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</si>
  <si>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</si>
  <si>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</si>
  <si>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</si>
  <si>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</si>
  <si>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</si>
  <si>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</si>
  <si>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</si>
  <si>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</si>
  <si>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</si>
  <si>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</si>
  <si>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</si>
  <si>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</si>
  <si>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</si>
  <si>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</si>
  <si>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</si>
  <si>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</si>
  <si>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</si>
  <si>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</si>
  <si>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</si>
  <si>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</si>
  <si>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</si>
  <si>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</si>
  <si>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</si>
  <si>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</si>
  <si>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</si>
  <si>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</si>
  <si>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</si>
  <si>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</si>
  <si>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</si>
  <si>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</si>
  <si>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</si>
  <si>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</si>
  <si>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</si>
  <si>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</si>
  <si>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</si>
  <si>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</si>
  <si>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</si>
  <si>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</si>
  <si>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</si>
  <si>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</si>
  <si>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</si>
  <si>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</si>
  <si>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</si>
  <si>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</si>
  <si>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</si>
  <si>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</si>
  <si>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</si>
  <si>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</si>
  <si>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</si>
  <si>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</si>
  <si>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</si>
  <si>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</si>
  <si>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</si>
  <si>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</si>
  <si>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</si>
  <si>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</si>
  <si>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</si>
  <si>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</si>
  <si>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</si>
  <si>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</si>
  <si>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</si>
  <si>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</si>
  <si>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</si>
  <si>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</si>
  <si>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</si>
  <si>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</si>
  <si>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</si>
  <si>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</si>
  <si>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</si>
  <si>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</si>
  <si>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</si>
  <si>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</si>
  <si>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</si>
  <si>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</si>
  <si>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</si>
  <si>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</si>
  <si>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</si>
  <si>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</si>
  <si>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</si>
  <si>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</si>
  <si>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</si>
  <si>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</si>
  <si>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</si>
  <si>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</si>
  <si>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</si>
  <si>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</si>
  <si>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</si>
  <si>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</si>
  <si>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</si>
  <si>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</si>
  <si>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</si>
  <si>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</si>
  <si>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</si>
  <si>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</si>
  <si>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</si>
  <si>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</si>
  <si>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</si>
  <si>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</si>
  <si>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</si>
  <si>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</si>
  <si>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</si>
  <si>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</si>
  <si>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</si>
  <si>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</si>
  <si>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</si>
  <si>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</si>
  <si>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(জামাল উদ্দিন আহমেদ)</t>
  </si>
  <si>
    <t>০৯-১১-২০২৫ তারিখে মূল্য হ্রাস পেয়েছে।</t>
  </si>
  <si>
    <t>১১-১১-২০২৫ তারিখে মূল্য হ্রাস পেয়েছে।</t>
  </si>
  <si>
    <t>১১-১১-২০২৫ তারিখে মূল্য বৃদ্ধি পেয়েছে।</t>
  </si>
  <si>
    <t>১৩-১১-২০২৫ তারিখে মূল্য হ্রাস পেয়েছে।</t>
  </si>
  <si>
    <t>স্মারক নং-২৬.০৫.০০০০.০১৭.৩১.০১.২৫-৮২৮</t>
  </si>
  <si>
    <t xml:space="preserve">শনিবার ১৫ নভেম্বর ২০২৫ খ্রিঃ, ৩০ কার্তিক ১৪৩২ বাংলা, ২৩ জমা-আউ ১৪৪৭ হিজরি </t>
  </si>
  <si>
    <t xml:space="preserve">   সিরিয়াল নংঃ     ২৮৬</t>
  </si>
  <si>
    <t>১৪-১১-২০২৫ তারিখে মূল্য হ্রাস পেয়েছে।</t>
  </si>
  <si>
    <t>(১)      রশুন (আম)    এর মূল্য বৃদ্ধি পেয়েছে।</t>
  </si>
  <si>
    <t>(২ )   সয়াবিন তেল (১লিঃ, ৫লিঃ বোতল), পাম অয়েল (লুজ), পেঁয়াজ (দেশী), রশুন (দেশী), চিনি, মুরগী ব্রয়লার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</si>
</sst>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7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7"/>
  <sheetViews>
    <sheetView tabSelected="1" topLeftCell="I1" zoomScale="96" zoomScaleNormal="96" workbookViewId="0">
      <selection activeCell="L6" sqref="L6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9.99609375" customWidth="1"/>
    <col min="11" max="11" width="9.4140625" customWidth="1"/>
    <col min="12" max="12" width="9.765625" customWidth="1"/>
  </cols>
  <sheetData>
    <row r="2" spans="1:12" ht="21" x14ac:dyDescent="0.2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" x14ac:dyDescent="0.2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3" t="s">
        <v>126</v>
      </c>
      <c r="L4" s="84"/>
    </row>
    <row r="5" spans="1:12" ht="19.5" customHeight="1" x14ac:dyDescent="0.25">
      <c r="A5" s="17"/>
      <c r="B5" s="8"/>
      <c r="C5" s="8"/>
      <c r="D5" s="17"/>
      <c r="E5" s="8"/>
      <c r="F5" s="8" t="s">
        <v>125</v>
      </c>
      <c r="G5" s="8"/>
      <c r="H5" s="8"/>
      <c r="I5" s="8"/>
      <c r="J5" s="8"/>
      <c r="K5" s="8"/>
      <c r="L5" s="49"/>
    </row>
    <row r="6" spans="1:12" ht="21" x14ac:dyDescent="0.25">
      <c r="A6" s="20" t="s">
        <v>124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45976</v>
      </c>
    </row>
    <row r="7" spans="1:12" ht="21" x14ac:dyDescent="0.25">
      <c r="A7" s="25" t="s">
        <v>4</v>
      </c>
      <c r="B7" s="26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6" t="s">
        <v>9</v>
      </c>
      <c r="J7" s="83" t="s">
        <v>10</v>
      </c>
      <c r="K7" s="84"/>
      <c r="L7" s="27" t="s">
        <v>11</v>
      </c>
    </row>
    <row r="8" spans="1:12" ht="21" x14ac:dyDescent="0.25">
      <c r="A8" s="25"/>
      <c r="B8" s="26"/>
      <c r="C8" s="85">
        <v>45976</v>
      </c>
      <c r="D8" s="84"/>
      <c r="E8" s="85">
        <v>45969</v>
      </c>
      <c r="F8" s="84"/>
      <c r="G8" s="85">
        <v>45945</v>
      </c>
      <c r="H8" s="84"/>
      <c r="I8" s="26" t="s">
        <v>12</v>
      </c>
      <c r="J8" s="85">
        <v>45611</v>
      </c>
      <c r="K8" s="84"/>
      <c r="L8" s="26" t="s">
        <v>12</v>
      </c>
    </row>
    <row r="9" spans="1:12" ht="21" x14ac:dyDescent="0.2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" x14ac:dyDescent="0.3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72</v>
      </c>
      <c r="H10" s="29">
        <v>85</v>
      </c>
      <c r="I10" s="30">
        <f>((C10+D10)/2-(G10+H10)/2)/((G10+H10)/2)*100</f>
        <v>0</v>
      </c>
      <c r="J10" s="29">
        <v>68</v>
      </c>
      <c r="K10" s="29">
        <v>80</v>
      </c>
      <c r="L10" s="31">
        <f>((C10+D10)/2-(J10+K10)/2)/((J10+K10)/2)*100</f>
        <v>6.0810810810810816</v>
      </c>
    </row>
    <row r="11" spans="1:12" ht="21" x14ac:dyDescent="0.3">
      <c r="A11" s="69" t="s">
        <v>105</v>
      </c>
      <c r="B11" s="6" t="s">
        <v>18</v>
      </c>
      <c r="C11" s="29">
        <v>58</v>
      </c>
      <c r="D11" s="29">
        <v>70</v>
      </c>
      <c r="E11" s="29">
        <v>58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59</v>
      </c>
      <c r="K11" s="29">
        <v>65</v>
      </c>
      <c r="L11" s="31">
        <f>((C11+D11)/2-(J11+K11)/2)/((J11+K11)/2)*100</f>
        <v>3.225806451612903</v>
      </c>
    </row>
    <row r="12" spans="1:12" ht="21" x14ac:dyDescent="0.3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52</v>
      </c>
      <c r="K12" s="29">
        <v>55</v>
      </c>
      <c r="L12" s="31">
        <f>((C12+D12)/2-(J12+K12)/2)/((J12+K12)/2)*100</f>
        <v>6.5420560747663545</v>
      </c>
    </row>
    <row r="13" spans="1:12" ht="18" customHeight="1" x14ac:dyDescent="0.3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" x14ac:dyDescent="0.3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52</v>
      </c>
      <c r="I14" s="30">
        <f>((C14+D14)/2-(G14+H14)/2)/((G14+H14)/2)*100</f>
        <v>-2.0618556701030926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" x14ac:dyDescent="0.3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65</v>
      </c>
      <c r="I15" s="30">
        <f>((C15+D15)/2-(G15+H15)/2)/((G15+H15)/2)*100</f>
        <v>-2.5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" x14ac:dyDescent="0.3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" x14ac:dyDescent="0.3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 x14ac:dyDescent="0.3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" x14ac:dyDescent="0.3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172</v>
      </c>
      <c r="H19" s="29">
        <v>180</v>
      </c>
      <c r="I19" s="30">
        <f t="shared" ref="I19:I25" si="0">((C19+D19)/2-(G19+H19)/2)/((G19+H19)/2)*100</f>
        <v>-0.56818181818181823</v>
      </c>
      <c r="J19" s="29">
        <v>170</v>
      </c>
      <c r="K19" s="29">
        <v>172</v>
      </c>
      <c r="L19" s="31">
        <f t="shared" ref="L19:L25" si="1">((C19+D19)/2-(J19+K19)/2)/((J19+K19)/2)*100</f>
        <v>2.3391812865497075</v>
      </c>
    </row>
    <row r="20" spans="1:12" ht="21" x14ac:dyDescent="0.3">
      <c r="A20" s="69" t="s">
        <v>29</v>
      </c>
      <c r="B20" s="6" t="s">
        <v>30</v>
      </c>
      <c r="C20" s="29">
        <v>900</v>
      </c>
      <c r="D20" s="29">
        <v>925</v>
      </c>
      <c r="E20" s="29">
        <v>910</v>
      </c>
      <c r="F20" s="29">
        <v>920</v>
      </c>
      <c r="G20" s="29">
        <v>900</v>
      </c>
      <c r="H20" s="29">
        <v>935</v>
      </c>
      <c r="I20" s="30">
        <f t="shared" si="0"/>
        <v>-0.54495912806539504</v>
      </c>
      <c r="J20" s="29">
        <v>800</v>
      </c>
      <c r="K20" s="29">
        <v>810</v>
      </c>
      <c r="L20" s="31">
        <f t="shared" si="1"/>
        <v>13.354037267080745</v>
      </c>
    </row>
    <row r="21" spans="1:12" ht="21" x14ac:dyDescent="0.3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388</v>
      </c>
      <c r="I21" s="30">
        <f t="shared" si="0"/>
        <v>-0.39318479685452157</v>
      </c>
      <c r="J21" s="29">
        <v>330</v>
      </c>
      <c r="K21" s="29">
        <v>340</v>
      </c>
      <c r="L21" s="31">
        <f t="shared" si="1"/>
        <v>13.432835820895523</v>
      </c>
    </row>
    <row r="22" spans="1:12" ht="21" x14ac:dyDescent="0.3">
      <c r="A22" s="69" t="s">
        <v>29</v>
      </c>
      <c r="B22" s="6" t="s">
        <v>32</v>
      </c>
      <c r="C22" s="29">
        <v>189</v>
      </c>
      <c r="D22" s="29">
        <v>192</v>
      </c>
      <c r="E22" s="29">
        <v>189</v>
      </c>
      <c r="F22" s="29">
        <v>195</v>
      </c>
      <c r="G22" s="29">
        <v>188</v>
      </c>
      <c r="H22" s="29">
        <v>195</v>
      </c>
      <c r="I22" s="30">
        <f t="shared" si="0"/>
        <v>-0.52219321148825071</v>
      </c>
      <c r="J22" s="29">
        <v>167</v>
      </c>
      <c r="K22" s="29">
        <v>170</v>
      </c>
      <c r="L22" s="31">
        <f t="shared" si="1"/>
        <v>13.056379821958458</v>
      </c>
    </row>
    <row r="23" spans="1:12" ht="21" x14ac:dyDescent="0.3">
      <c r="A23" s="69" t="s">
        <v>33</v>
      </c>
      <c r="B23" s="6" t="s">
        <v>28</v>
      </c>
      <c r="C23" s="29">
        <v>150</v>
      </c>
      <c r="D23" s="29">
        <v>162</v>
      </c>
      <c r="E23" s="29">
        <v>152</v>
      </c>
      <c r="F23" s="29">
        <v>162</v>
      </c>
      <c r="G23" s="29">
        <v>153</v>
      </c>
      <c r="H23" s="29">
        <v>162</v>
      </c>
      <c r="I23" s="30">
        <f t="shared" si="0"/>
        <v>-0.95238095238095244</v>
      </c>
      <c r="J23" s="29">
        <v>163</v>
      </c>
      <c r="K23" s="29">
        <v>164</v>
      </c>
      <c r="L23" s="31">
        <f t="shared" si="1"/>
        <v>-4.5871559633027523</v>
      </c>
    </row>
    <row r="24" spans="1:12" ht="21" x14ac:dyDescent="0.3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166</v>
      </c>
      <c r="I24" s="30">
        <f t="shared" si="0"/>
        <v>-0.3115264797507788</v>
      </c>
      <c r="J24" s="29">
        <v>165</v>
      </c>
      <c r="K24" s="29">
        <v>166</v>
      </c>
      <c r="L24" s="31">
        <f t="shared" si="1"/>
        <v>-3.3232628398791544</v>
      </c>
    </row>
    <row r="25" spans="1:12" ht="21" x14ac:dyDescent="0.3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" x14ac:dyDescent="0.3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" x14ac:dyDescent="0.3">
      <c r="A27" s="69" t="s">
        <v>37</v>
      </c>
      <c r="B27" s="6" t="s">
        <v>18</v>
      </c>
      <c r="C27" s="29">
        <v>90</v>
      </c>
      <c r="D27" s="29">
        <v>110</v>
      </c>
      <c r="E27" s="29">
        <v>90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-2.4390243902439024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" x14ac:dyDescent="0.3">
      <c r="A28" s="69" t="s">
        <v>110</v>
      </c>
      <c r="B28" s="6" t="s">
        <v>18</v>
      </c>
      <c r="C28" s="29">
        <v>125</v>
      </c>
      <c r="D28" s="29">
        <v>140</v>
      </c>
      <c r="E28" s="29">
        <v>125</v>
      </c>
      <c r="F28" s="29">
        <v>140</v>
      </c>
      <c r="G28" s="29">
        <v>120</v>
      </c>
      <c r="H28" s="29">
        <v>140</v>
      </c>
      <c r="I28" s="30">
        <f t="shared" si="2"/>
        <v>1.9230769230769231</v>
      </c>
      <c r="J28" s="29">
        <v>110</v>
      </c>
      <c r="K28" s="29">
        <v>120</v>
      </c>
      <c r="L28" s="31">
        <f t="shared" si="3"/>
        <v>15.217391304347828</v>
      </c>
    </row>
    <row r="29" spans="1:12" ht="21" x14ac:dyDescent="0.3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" x14ac:dyDescent="0.3">
      <c r="A30" s="69" t="s">
        <v>39</v>
      </c>
      <c r="B30" s="6" t="s">
        <v>18</v>
      </c>
      <c r="C30" s="29">
        <v>140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6.666666666666667</v>
      </c>
      <c r="J30" s="29">
        <v>150</v>
      </c>
      <c r="K30" s="29">
        <v>180</v>
      </c>
      <c r="L30" s="31">
        <f t="shared" si="3"/>
        <v>-3.0303030303030303</v>
      </c>
    </row>
    <row r="31" spans="1:12" ht="21" x14ac:dyDescent="0.3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80</v>
      </c>
      <c r="G31" s="29">
        <v>60</v>
      </c>
      <c r="H31" s="29">
        <v>75</v>
      </c>
      <c r="I31" s="30">
        <f t="shared" si="2"/>
        <v>0</v>
      </c>
      <c r="J31" s="29">
        <v>75</v>
      </c>
      <c r="K31" s="29">
        <v>80</v>
      </c>
      <c r="L31" s="31">
        <f t="shared" si="3"/>
        <v>-12.903225806451612</v>
      </c>
    </row>
    <row r="32" spans="1:12" ht="21" x14ac:dyDescent="0.3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110</v>
      </c>
      <c r="I32" s="30">
        <f t="shared" si="2"/>
        <v>0</v>
      </c>
      <c r="J32" s="29">
        <v>130</v>
      </c>
      <c r="K32" s="29">
        <v>140</v>
      </c>
      <c r="L32" s="31">
        <f t="shared" si="3"/>
        <v>-22.222222222222221</v>
      </c>
    </row>
    <row r="33" spans="1:12" ht="21" x14ac:dyDescent="0.3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65</v>
      </c>
      <c r="K33" s="29">
        <v>75</v>
      </c>
      <c r="L33" s="31">
        <f t="shared" si="3"/>
        <v>-67.857142857142861</v>
      </c>
    </row>
    <row r="34" spans="1:12" ht="21" x14ac:dyDescent="0.3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" x14ac:dyDescent="0.3">
      <c r="A35" s="69" t="s">
        <v>90</v>
      </c>
      <c r="B35" s="6" t="s">
        <v>18</v>
      </c>
      <c r="C35" s="29">
        <v>100</v>
      </c>
      <c r="D35" s="29">
        <v>120</v>
      </c>
      <c r="E35" s="29">
        <v>110</v>
      </c>
      <c r="F35" s="29">
        <v>125</v>
      </c>
      <c r="G35" s="29">
        <v>70</v>
      </c>
      <c r="H35" s="29">
        <v>80</v>
      </c>
      <c r="I35" s="30">
        <f t="shared" ref="I35:I50" si="4">((C35+D35)/2-(G35+H35)/2)/((G35+H35)/2)*100</f>
        <v>46.666666666666664</v>
      </c>
      <c r="J35" s="29">
        <v>130</v>
      </c>
      <c r="K35" s="29">
        <v>150</v>
      </c>
      <c r="L35" s="31">
        <f t="shared" ref="L35:L50" si="5">((C35+D35)/2-(J35+K35)/2)/((J35+K35)/2)*100</f>
        <v>-21.428571428571427</v>
      </c>
    </row>
    <row r="36" spans="1:12" ht="21" x14ac:dyDescent="0.3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90</v>
      </c>
      <c r="K36" s="29">
        <v>120</v>
      </c>
      <c r="L36" s="31">
        <f t="shared" si="5"/>
        <v>-100</v>
      </c>
    </row>
    <row r="37" spans="1:12" ht="21" x14ac:dyDescent="0.3">
      <c r="A37" s="69" t="s">
        <v>45</v>
      </c>
      <c r="B37" s="6" t="s">
        <v>18</v>
      </c>
      <c r="C37" s="29">
        <v>80</v>
      </c>
      <c r="D37" s="29">
        <v>150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-4.1666666666666661</v>
      </c>
      <c r="J37" s="29">
        <v>240</v>
      </c>
      <c r="K37" s="29">
        <v>270</v>
      </c>
      <c r="L37" s="31">
        <f t="shared" si="5"/>
        <v>-54.901960784313729</v>
      </c>
    </row>
    <row r="38" spans="1:12" ht="21" x14ac:dyDescent="0.3">
      <c r="A38" s="69" t="s">
        <v>46</v>
      </c>
      <c r="B38" s="6" t="s">
        <v>18</v>
      </c>
      <c r="C38" s="29">
        <v>160</v>
      </c>
      <c r="D38" s="29">
        <v>220</v>
      </c>
      <c r="E38" s="29">
        <v>150</v>
      </c>
      <c r="F38" s="29">
        <v>200</v>
      </c>
      <c r="G38" s="29">
        <v>130</v>
      </c>
      <c r="H38" s="29">
        <v>200</v>
      </c>
      <c r="I38" s="30">
        <f t="shared" si="4"/>
        <v>15.151515151515152</v>
      </c>
      <c r="J38" s="29">
        <v>230</v>
      </c>
      <c r="K38" s="29">
        <v>250</v>
      </c>
      <c r="L38" s="31">
        <f t="shared" si="5"/>
        <v>-20.833333333333336</v>
      </c>
    </row>
    <row r="39" spans="1:12" ht="21" x14ac:dyDescent="0.3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350</v>
      </c>
      <c r="I39" s="30">
        <f t="shared" si="4"/>
        <v>-5.4545454545454541</v>
      </c>
      <c r="J39" s="29">
        <v>250</v>
      </c>
      <c r="K39" s="29">
        <v>350</v>
      </c>
      <c r="L39" s="31">
        <f t="shared" si="5"/>
        <v>-13.333333333333334</v>
      </c>
    </row>
    <row r="40" spans="1:12" ht="21" x14ac:dyDescent="0.3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400</v>
      </c>
      <c r="I40" s="30">
        <f t="shared" si="4"/>
        <v>-7.1428571428571423</v>
      </c>
      <c r="J40" s="29">
        <v>350</v>
      </c>
      <c r="K40" s="29">
        <v>450</v>
      </c>
      <c r="L40" s="31">
        <f t="shared" si="5"/>
        <v>-18.75</v>
      </c>
    </row>
    <row r="41" spans="1:12" ht="21" x14ac:dyDescent="0.3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" x14ac:dyDescent="0.3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" x14ac:dyDescent="0.3">
      <c r="A43" s="69" t="s">
        <v>51</v>
      </c>
      <c r="B43" s="6" t="s">
        <v>18</v>
      </c>
      <c r="C43" s="29">
        <v>150</v>
      </c>
      <c r="D43" s="29">
        <v>180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-65.26315789473685</v>
      </c>
    </row>
    <row r="44" spans="1:12" ht="21" x14ac:dyDescent="0.3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140</v>
      </c>
      <c r="H44" s="29">
        <v>250</v>
      </c>
      <c r="I44" s="30">
        <f t="shared" si="4"/>
        <v>-5.1282051282051277</v>
      </c>
      <c r="J44" s="29">
        <v>140</v>
      </c>
      <c r="K44" s="29">
        <v>300</v>
      </c>
      <c r="L44" s="31">
        <f t="shared" si="5"/>
        <v>-15.909090909090908</v>
      </c>
    </row>
    <row r="45" spans="1:12" ht="21" x14ac:dyDescent="0.3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" x14ac:dyDescent="0.3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" x14ac:dyDescent="0.3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" x14ac:dyDescent="0.3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3400</v>
      </c>
      <c r="K48" s="29">
        <v>3900</v>
      </c>
      <c r="L48" s="31">
        <f t="shared" si="5"/>
        <v>41.095890410958901</v>
      </c>
    </row>
    <row r="49" spans="1:12" ht="21" x14ac:dyDescent="0.3">
      <c r="A49" s="69" t="s">
        <v>57</v>
      </c>
      <c r="B49" s="6" t="s">
        <v>18</v>
      </c>
      <c r="C49" s="29">
        <v>190</v>
      </c>
      <c r="D49" s="29">
        <v>280</v>
      </c>
      <c r="E49" s="29">
        <v>190</v>
      </c>
      <c r="F49" s="29">
        <v>280</v>
      </c>
      <c r="G49" s="29">
        <v>200</v>
      </c>
      <c r="H49" s="29">
        <v>280</v>
      </c>
      <c r="I49" s="30">
        <f t="shared" si="4"/>
        <v>-2.083333333333333</v>
      </c>
      <c r="J49" s="29">
        <v>230</v>
      </c>
      <c r="K49" s="29">
        <v>280</v>
      </c>
      <c r="L49" s="31">
        <f t="shared" si="5"/>
        <v>-7.8431372549019605</v>
      </c>
    </row>
    <row r="50" spans="1:12" ht="21" x14ac:dyDescent="0.3">
      <c r="A50" s="69" t="s">
        <v>58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210</v>
      </c>
      <c r="L50" s="31">
        <f t="shared" si="5"/>
        <v>16.666666666666664</v>
      </c>
    </row>
    <row r="51" spans="1:12" ht="21" x14ac:dyDescent="0.3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" x14ac:dyDescent="0.3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300</v>
      </c>
      <c r="K52" s="29">
        <v>450</v>
      </c>
      <c r="L52" s="31">
        <f t="shared" ref="L52:L57" si="7">((C52+D52)/2-(J52+K52)/2)/((J52+K52)/2)*100</f>
        <v>0</v>
      </c>
    </row>
    <row r="53" spans="1:12" ht="21" x14ac:dyDescent="0.3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0</v>
      </c>
      <c r="H53" s="29">
        <v>0</v>
      </c>
      <c r="I53" s="30" t="e">
        <f t="shared" si="6"/>
        <v>#DIV/0!</v>
      </c>
      <c r="J53" s="29">
        <v>700</v>
      </c>
      <c r="K53" s="29">
        <v>1600</v>
      </c>
      <c r="L53" s="31">
        <f t="shared" si="7"/>
        <v>13.043478260869565</v>
      </c>
    </row>
    <row r="54" spans="1:12" ht="21" x14ac:dyDescent="0.3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780</v>
      </c>
      <c r="I54" s="30">
        <f t="shared" si="6"/>
        <v>1.3071895424836601</v>
      </c>
      <c r="J54" s="29">
        <v>700</v>
      </c>
      <c r="K54" s="29">
        <v>800</v>
      </c>
      <c r="L54" s="31">
        <f t="shared" si="7"/>
        <v>3.3333333333333335</v>
      </c>
    </row>
    <row r="55" spans="1:12" ht="21" x14ac:dyDescent="0.3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" x14ac:dyDescent="0.3">
      <c r="A56" s="69" t="s">
        <v>62</v>
      </c>
      <c r="B56" s="6" t="s">
        <v>18</v>
      </c>
      <c r="C56" s="29">
        <v>170</v>
      </c>
      <c r="D56" s="29">
        <v>185</v>
      </c>
      <c r="E56" s="29">
        <v>170</v>
      </c>
      <c r="F56" s="29">
        <v>190</v>
      </c>
      <c r="G56" s="29">
        <v>170</v>
      </c>
      <c r="H56" s="29">
        <v>190</v>
      </c>
      <c r="I56" s="30">
        <f t="shared" si="6"/>
        <v>-1.3888888888888888</v>
      </c>
      <c r="J56" s="29">
        <v>180</v>
      </c>
      <c r="K56" s="29">
        <v>200</v>
      </c>
      <c r="L56" s="31">
        <f t="shared" si="7"/>
        <v>-6.5789473684210522</v>
      </c>
    </row>
    <row r="57" spans="1:12" ht="21" x14ac:dyDescent="0.3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" x14ac:dyDescent="0.3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 x14ac:dyDescent="0.3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 x14ac:dyDescent="0.3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 x14ac:dyDescent="0.3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 x14ac:dyDescent="0.3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 x14ac:dyDescent="0.3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 x14ac:dyDescent="0.3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 x14ac:dyDescent="0.3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" x14ac:dyDescent="0.25">
      <c r="A66" s="69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6" t="s">
        <v>9</v>
      </c>
      <c r="J66" s="83" t="s">
        <v>10</v>
      </c>
      <c r="K66" s="84"/>
      <c r="L66" s="26" t="s">
        <v>11</v>
      </c>
    </row>
    <row r="67" spans="1:12" ht="18" customHeight="1" x14ac:dyDescent="0.25">
      <c r="A67" s="73"/>
      <c r="B67" s="64"/>
      <c r="C67" s="85">
        <v>45976</v>
      </c>
      <c r="D67" s="84"/>
      <c r="E67" s="85">
        <v>45969</v>
      </c>
      <c r="F67" s="84"/>
      <c r="G67" s="85">
        <v>45945</v>
      </c>
      <c r="H67" s="84"/>
      <c r="I67" s="26" t="s">
        <v>12</v>
      </c>
      <c r="J67" s="85">
        <v>45611</v>
      </c>
      <c r="K67" s="84"/>
      <c r="L67" s="26" t="s">
        <v>12</v>
      </c>
    </row>
    <row r="68" spans="1:12" ht="21" x14ac:dyDescent="0.2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 x14ac:dyDescent="0.3">
      <c r="A69" s="69" t="s">
        <v>71</v>
      </c>
      <c r="B69" s="6" t="s">
        <v>18</v>
      </c>
      <c r="C69" s="29">
        <v>95</v>
      </c>
      <c r="D69" s="29">
        <v>110</v>
      </c>
      <c r="E69" s="29">
        <v>100</v>
      </c>
      <c r="F69" s="29">
        <v>110</v>
      </c>
      <c r="G69" s="29">
        <v>105</v>
      </c>
      <c r="H69" s="29">
        <v>110</v>
      </c>
      <c r="I69" s="30">
        <f>((C69+D69)/2-(G69+H69)/2)/((G69+H69)/2)*100</f>
        <v>-4.6511627906976747</v>
      </c>
      <c r="J69" s="29">
        <v>128</v>
      </c>
      <c r="K69" s="29">
        <v>135</v>
      </c>
      <c r="L69" s="31">
        <f t="shared" ref="L69:L75" si="8">((C69+D69)/2-(J69+K69)/2)/((J69+K69)/2)*100</f>
        <v>-22.053231939163499</v>
      </c>
    </row>
    <row r="70" spans="1:12" ht="21" x14ac:dyDescent="0.3">
      <c r="A70" s="69" t="s">
        <v>72</v>
      </c>
      <c r="B70" s="66" t="s">
        <v>18</v>
      </c>
      <c r="C70" s="29">
        <v>200</v>
      </c>
      <c r="D70" s="29">
        <v>550</v>
      </c>
      <c r="E70" s="29">
        <v>200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-2.5974025974025974</v>
      </c>
      <c r="J70" s="29">
        <v>250</v>
      </c>
      <c r="K70" s="29">
        <v>500</v>
      </c>
      <c r="L70" s="31">
        <f t="shared" si="8"/>
        <v>0</v>
      </c>
    </row>
    <row r="71" spans="1:12" ht="21" x14ac:dyDescent="0.3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 x14ac:dyDescent="0.3">
      <c r="A72" s="69" t="s">
        <v>73</v>
      </c>
      <c r="B72" s="6" t="s">
        <v>74</v>
      </c>
      <c r="C72" s="37">
        <v>43</v>
      </c>
      <c r="D72" s="37">
        <v>50</v>
      </c>
      <c r="E72" s="37">
        <v>43</v>
      </c>
      <c r="F72" s="37">
        <v>50</v>
      </c>
      <c r="G72" s="37">
        <v>45</v>
      </c>
      <c r="H72" s="37">
        <v>50</v>
      </c>
      <c r="I72" s="30">
        <f t="shared" si="9"/>
        <v>-2.1052631578947367</v>
      </c>
      <c r="J72" s="37">
        <v>48</v>
      </c>
      <c r="K72" s="37">
        <v>50</v>
      </c>
      <c r="L72" s="31">
        <f t="shared" si="8"/>
        <v>-5.1020408163265305</v>
      </c>
    </row>
    <row r="73" spans="1:12" ht="21" x14ac:dyDescent="0.3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" x14ac:dyDescent="0.3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83500</v>
      </c>
      <c r="H74" s="29">
        <v>86000</v>
      </c>
      <c r="I74" s="30">
        <f t="shared" si="9"/>
        <v>-1.4749262536873156</v>
      </c>
      <c r="J74" s="29">
        <v>88000</v>
      </c>
      <c r="K74" s="29">
        <v>92500</v>
      </c>
      <c r="L74" s="31">
        <f t="shared" si="8"/>
        <v>-7.4792243767313016</v>
      </c>
    </row>
    <row r="75" spans="1:12" ht="21" x14ac:dyDescent="0.3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76000</v>
      </c>
      <c r="H75" s="37">
        <v>79000</v>
      </c>
      <c r="I75" s="30">
        <f t="shared" si="9"/>
        <v>-0.64516129032258063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 x14ac:dyDescent="0.25">
      <c r="A76" s="86" t="s">
        <v>115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" x14ac:dyDescent="0.2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6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6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" x14ac:dyDescent="0.2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" x14ac:dyDescent="0.3">
      <c r="A83" s="69" t="s">
        <v>29</v>
      </c>
      <c r="B83" s="6" t="s">
        <v>30</v>
      </c>
      <c r="C83" s="29">
        <v>900</v>
      </c>
      <c r="D83" s="29">
        <v>925</v>
      </c>
      <c r="E83" s="29">
        <v>910</v>
      </c>
      <c r="F83" s="29">
        <v>920</v>
      </c>
      <c r="G83" s="7">
        <f t="shared" ref="G83:G85" si="10">((C83+D83)/2-(E83+F83)/2)/((E83+F83)/2)*100</f>
        <v>-0.27322404371584702</v>
      </c>
      <c r="H83" s="5" t="s">
        <v>121</v>
      </c>
      <c r="I83" s="6"/>
      <c r="J83" s="6"/>
      <c r="K83" s="50"/>
      <c r="L83" s="17"/>
    </row>
    <row r="84" spans="1:12" ht="21" x14ac:dyDescent="0.3">
      <c r="A84" s="69" t="s">
        <v>29</v>
      </c>
      <c r="B84" s="6" t="s">
        <v>32</v>
      </c>
      <c r="C84" s="29">
        <v>189</v>
      </c>
      <c r="D84" s="29">
        <v>192</v>
      </c>
      <c r="E84" s="29">
        <v>189</v>
      </c>
      <c r="F84" s="29">
        <v>195</v>
      </c>
      <c r="G84" s="7">
        <f t="shared" si="10"/>
        <v>-0.78125</v>
      </c>
      <c r="H84" s="5" t="s">
        <v>120</v>
      </c>
      <c r="I84" s="6"/>
      <c r="J84" s="6"/>
      <c r="K84" s="50"/>
      <c r="L84" s="17"/>
    </row>
    <row r="85" spans="1:12" ht="21" x14ac:dyDescent="0.3">
      <c r="A85" s="69" t="s">
        <v>33</v>
      </c>
      <c r="B85" s="6" t="s">
        <v>28</v>
      </c>
      <c r="C85" s="29">
        <v>150</v>
      </c>
      <c r="D85" s="29">
        <v>162</v>
      </c>
      <c r="E85" s="29">
        <v>152</v>
      </c>
      <c r="F85" s="29">
        <v>162</v>
      </c>
      <c r="G85" s="7">
        <f t="shared" si="10"/>
        <v>-0.63694267515923575</v>
      </c>
      <c r="H85" s="5" t="s">
        <v>120</v>
      </c>
      <c r="I85" s="6"/>
      <c r="J85" s="6"/>
      <c r="K85" s="50"/>
      <c r="L85" s="17"/>
    </row>
    <row r="86" spans="1:12" ht="21" x14ac:dyDescent="0.3">
      <c r="A86" s="69" t="s">
        <v>90</v>
      </c>
      <c r="B86" s="6" t="s">
        <v>18</v>
      </c>
      <c r="C86" s="29">
        <v>100</v>
      </c>
      <c r="D86" s="29">
        <v>120</v>
      </c>
      <c r="E86" s="29">
        <v>110</v>
      </c>
      <c r="F86" s="29">
        <v>125</v>
      </c>
      <c r="G86" s="7">
        <f t="shared" ref="G86:G90" si="11">((C86+D86)/2-(E86+F86)/2)/((E86+F86)/2)*100</f>
        <v>-6.3829787234042552</v>
      </c>
      <c r="H86" s="5" t="s">
        <v>123</v>
      </c>
      <c r="I86" s="6"/>
      <c r="J86" s="6"/>
      <c r="K86" s="11"/>
      <c r="L86" s="11"/>
    </row>
    <row r="87" spans="1:12" ht="21" x14ac:dyDescent="0.3">
      <c r="A87" s="69" t="s">
        <v>45</v>
      </c>
      <c r="B87" s="6" t="s">
        <v>18</v>
      </c>
      <c r="C87" s="29">
        <v>80</v>
      </c>
      <c r="D87" s="29">
        <v>150</v>
      </c>
      <c r="E87" s="29">
        <v>100</v>
      </c>
      <c r="F87" s="29">
        <v>140</v>
      </c>
      <c r="G87" s="7">
        <f t="shared" si="11"/>
        <v>-4.1666666666666661</v>
      </c>
      <c r="H87" s="5" t="s">
        <v>123</v>
      </c>
      <c r="I87" s="6"/>
      <c r="J87" s="6"/>
      <c r="K87" s="11"/>
      <c r="L87" s="11"/>
    </row>
    <row r="88" spans="1:12" ht="21" x14ac:dyDescent="0.3">
      <c r="A88" s="69" t="s">
        <v>46</v>
      </c>
      <c r="B88" s="6" t="s">
        <v>18</v>
      </c>
      <c r="C88" s="29">
        <v>160</v>
      </c>
      <c r="D88" s="29">
        <v>220</v>
      </c>
      <c r="E88" s="29">
        <v>150</v>
      </c>
      <c r="F88" s="29">
        <v>200</v>
      </c>
      <c r="G88" s="7">
        <f t="shared" si="11"/>
        <v>8.5714285714285712</v>
      </c>
      <c r="H88" s="5" t="s">
        <v>122</v>
      </c>
      <c r="I88" s="6"/>
      <c r="J88" s="6"/>
      <c r="K88" s="11"/>
      <c r="L88" s="11"/>
    </row>
    <row r="89" spans="1:12" ht="23.25" x14ac:dyDescent="0.3">
      <c r="A89" s="69" t="s">
        <v>62</v>
      </c>
      <c r="B89" s="6" t="s">
        <v>18</v>
      </c>
      <c r="C89" s="29">
        <v>170</v>
      </c>
      <c r="D89" s="29">
        <v>185</v>
      </c>
      <c r="E89" s="29">
        <v>170</v>
      </c>
      <c r="F89" s="29">
        <v>190</v>
      </c>
      <c r="G89" s="7">
        <f t="shared" si="11"/>
        <v>-1.3888888888888888</v>
      </c>
      <c r="H89" s="5" t="s">
        <v>127</v>
      </c>
      <c r="I89" s="6"/>
      <c r="J89" s="6"/>
      <c r="K89" s="40"/>
      <c r="L89" s="11"/>
    </row>
    <row r="90" spans="1:12" ht="23.25" x14ac:dyDescent="0.3">
      <c r="A90" s="69" t="s">
        <v>71</v>
      </c>
      <c r="B90" s="6" t="s">
        <v>18</v>
      </c>
      <c r="C90" s="29">
        <v>95</v>
      </c>
      <c r="D90" s="29">
        <v>110</v>
      </c>
      <c r="E90" s="29">
        <v>100</v>
      </c>
      <c r="F90" s="29">
        <v>110</v>
      </c>
      <c r="G90" s="7">
        <f t="shared" si="11"/>
        <v>-2.3809523809523809</v>
      </c>
      <c r="H90" s="5" t="s">
        <v>121</v>
      </c>
      <c r="I90" s="6"/>
      <c r="J90" s="6"/>
      <c r="K90" s="40"/>
      <c r="L90" s="11"/>
    </row>
    <row r="91" spans="1:12" ht="23.25" x14ac:dyDescent="0.3">
      <c r="A91" s="1"/>
      <c r="B91" s="3"/>
      <c r="C91" s="82"/>
      <c r="D91" s="82"/>
      <c r="E91" s="8"/>
      <c r="F91" s="82"/>
      <c r="G91" s="9"/>
      <c r="H91" s="1"/>
      <c r="I91" s="3"/>
      <c r="J91" s="3"/>
      <c r="K91" s="40"/>
      <c r="L91" s="11"/>
    </row>
    <row r="92" spans="1:12" ht="23.25" x14ac:dyDescent="0.3">
      <c r="A92" s="1"/>
      <c r="B92" s="3"/>
      <c r="C92" s="82"/>
      <c r="D92" s="82"/>
      <c r="E92" s="8"/>
      <c r="F92" s="82"/>
      <c r="G92" s="38"/>
      <c r="H92" s="39"/>
      <c r="I92" s="40"/>
      <c r="J92" s="40"/>
      <c r="K92" s="40"/>
      <c r="L92" s="11"/>
    </row>
    <row r="93" spans="1:12" ht="23.25" x14ac:dyDescent="0.3">
      <c r="A93" s="1"/>
      <c r="B93" s="13"/>
      <c r="C93" s="14"/>
      <c r="D93" s="14"/>
      <c r="E93" s="13"/>
      <c r="F93" s="14"/>
      <c r="G93" s="38"/>
      <c r="H93" s="39"/>
      <c r="I93" s="40"/>
      <c r="J93" s="40"/>
      <c r="K93" s="40"/>
      <c r="L93" s="11"/>
    </row>
    <row r="94" spans="1:12" ht="23.25" x14ac:dyDescent="0.3">
      <c r="A94" s="1"/>
      <c r="B94" s="41"/>
      <c r="C94" s="42" t="s">
        <v>119</v>
      </c>
      <c r="D94" s="10"/>
      <c r="E94" s="41"/>
      <c r="F94" s="13"/>
      <c r="G94" s="10"/>
      <c r="H94" s="39"/>
      <c r="I94" s="12"/>
      <c r="J94" s="13" t="s">
        <v>117</v>
      </c>
      <c r="K94" s="10"/>
      <c r="L94" s="10"/>
    </row>
    <row r="95" spans="1:12" ht="23.25" x14ac:dyDescent="0.3">
      <c r="A95" s="1"/>
      <c r="B95" s="43"/>
      <c r="C95" s="42" t="s">
        <v>116</v>
      </c>
      <c r="D95" s="13"/>
      <c r="E95" s="41"/>
      <c r="F95" s="44"/>
      <c r="G95" s="46"/>
      <c r="H95" s="46"/>
      <c r="I95" s="76"/>
      <c r="J95" s="13" t="s">
        <v>118</v>
      </c>
      <c r="K95" s="13"/>
      <c r="L95" s="13"/>
    </row>
    <row r="96" spans="1:12" ht="23.25" x14ac:dyDescent="0.3">
      <c r="A96" s="1"/>
      <c r="B96" s="13"/>
      <c r="C96" s="14"/>
      <c r="D96" s="13"/>
      <c r="E96" s="14"/>
      <c r="F96" s="44"/>
      <c r="G96" s="46"/>
      <c r="H96" s="46"/>
      <c r="I96" s="45"/>
      <c r="J96" s="10"/>
      <c r="K96" s="10"/>
      <c r="L96" s="2"/>
    </row>
    <row r="97" spans="1:12" ht="18.75" x14ac:dyDescent="0.25">
      <c r="A97" s="55" t="s">
        <v>93</v>
      </c>
      <c r="B97" s="53"/>
      <c r="C97" s="51"/>
      <c r="D97" s="53"/>
      <c r="E97" s="51"/>
      <c r="F97" s="51"/>
      <c r="G97" s="51"/>
      <c r="H97" s="52"/>
      <c r="I97" s="57"/>
      <c r="J97" s="2"/>
      <c r="K97" s="2"/>
      <c r="L97" s="2"/>
    </row>
    <row r="98" spans="1:12" ht="18.75" x14ac:dyDescent="0.25">
      <c r="A98" s="54" t="s">
        <v>99</v>
      </c>
      <c r="B98" s="53"/>
      <c r="C98" s="51"/>
      <c r="D98" s="53"/>
      <c r="E98" s="51"/>
      <c r="F98" s="51"/>
      <c r="G98" s="53"/>
      <c r="H98" s="52"/>
      <c r="I98" s="57"/>
      <c r="J98" s="2"/>
      <c r="K98" s="2"/>
      <c r="L98" s="2"/>
    </row>
    <row r="99" spans="1:12" ht="18.75" x14ac:dyDescent="0.25">
      <c r="A99" s="54" t="s">
        <v>98</v>
      </c>
      <c r="B99" s="53"/>
      <c r="C99" s="53"/>
      <c r="D99" s="53"/>
      <c r="E99" s="53"/>
      <c r="F99" s="51"/>
      <c r="G99" s="53"/>
      <c r="H99" s="52"/>
      <c r="I99" s="57"/>
      <c r="J99" s="2"/>
      <c r="K99" s="2"/>
      <c r="L99" s="2"/>
    </row>
    <row r="100" spans="1:12" ht="18.75" x14ac:dyDescent="0.25">
      <c r="A100" s="54" t="s">
        <v>85</v>
      </c>
      <c r="B100" s="53"/>
      <c r="C100" s="53"/>
      <c r="D100" s="53"/>
      <c r="E100" s="53"/>
      <c r="F100" s="52"/>
      <c r="G100" s="52"/>
      <c r="H100" s="52"/>
      <c r="I100" s="57"/>
      <c r="J100" s="2"/>
      <c r="K100" s="2"/>
      <c r="L100" s="2"/>
    </row>
    <row r="101" spans="1:12" ht="18.75" x14ac:dyDescent="0.25">
      <c r="A101" s="54" t="s">
        <v>97</v>
      </c>
      <c r="B101" s="53"/>
      <c r="C101" s="53"/>
      <c r="D101" s="53"/>
      <c r="E101" s="53"/>
      <c r="F101" s="53"/>
      <c r="G101" s="52"/>
      <c r="H101" s="52"/>
      <c r="I101" s="57"/>
      <c r="J101" s="2"/>
      <c r="K101" s="2"/>
      <c r="L101" s="2"/>
    </row>
    <row r="102" spans="1:12" ht="18.75" x14ac:dyDescent="0.25">
      <c r="A102" s="54" t="s">
        <v>96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8.75" x14ac:dyDescent="0.25">
      <c r="A103" s="54" t="s">
        <v>107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8.75" x14ac:dyDescent="0.25">
      <c r="A104" s="54" t="s">
        <v>95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94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86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101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8.75" x14ac:dyDescent="0.25">
      <c r="A108" s="54" t="s">
        <v>100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8.75" x14ac:dyDescent="0.25">
      <c r="A109" s="54" t="s">
        <v>102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8.75" x14ac:dyDescent="0.25">
      <c r="A110" s="54" t="s">
        <v>103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8.75" x14ac:dyDescent="0.25">
      <c r="A111" s="54" t="s">
        <v>87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8.75" x14ac:dyDescent="0.25">
      <c r="A112" s="54"/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8.75" x14ac:dyDescent="0.25">
      <c r="A113" s="55" t="s">
        <v>88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8.75" x14ac:dyDescent="0.25">
      <c r="A114" s="54" t="s">
        <v>89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8.75" x14ac:dyDescent="0.25">
      <c r="A115" s="54" t="s">
        <v>114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8.75" x14ac:dyDescent="0.25">
      <c r="A116" s="54" t="s">
        <v>113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8.75" x14ac:dyDescent="0.25">
      <c r="A117" s="54" t="s">
        <v>112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2025-11-13T10:58:57Z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