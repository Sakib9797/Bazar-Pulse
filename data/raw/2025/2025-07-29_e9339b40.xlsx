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F309E983-F9E6-1C4B-932A-9AB4656A30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86" i="4"/>
  <c r="G87" i="4"/>
  <c r="G85" i="4"/>
  <c r="G84" i="4"/>
  <c r="G83" i="4"/>
  <c r="G89" i="4"/>
  <c r="G91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<sst xmlns="http://schemas.openxmlformats.org/spreadsheetml/2006/main" count="237" uniqueCount="134">
  <si>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</si>
  <si>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</si>
  <si>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</si>
  <si>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</si>
  <si>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</si>
  <si>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</si>
  <si>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</si>
  <si>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</si>
  <si>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</si>
  <si>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</si>
  <si>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</si>
  <si>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</si>
  <si>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</si>
  <si>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</si>
  <si>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</si>
  <si>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</si>
  <si>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</si>
  <si>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</si>
  <si>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</si>
  <si>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</si>
  <si>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</si>
  <si>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</si>
  <si>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</si>
  <si>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</si>
  <si>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</si>
  <si>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</si>
  <si>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</si>
  <si>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</si>
  <si>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</si>
  <si>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</si>
  <si>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</si>
  <si>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</si>
  <si>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</si>
  <si>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</si>
  <si>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</si>
  <si>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</si>
  <si>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</si>
  <si>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</si>
  <si>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</si>
  <si>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</si>
  <si>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</si>
  <si>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</si>
  <si>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</si>
  <si>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</si>
  <si>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</si>
  <si>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</si>
  <si>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</si>
  <si>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</si>
  <si>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</si>
  <si>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</si>
  <si>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</si>
  <si>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</si>
  <si>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</si>
  <si>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</si>
  <si>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</si>
  <si>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</si>
  <si>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</si>
  <si>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</si>
  <si>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</si>
  <si>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</si>
  <si>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</si>
  <si>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</si>
  <si>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</si>
  <si>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</si>
  <si>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</si>
  <si>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</si>
  <si>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</si>
  <si>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</si>
  <si>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</si>
  <si>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</si>
  <si>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</si>
  <si>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</si>
  <si>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</si>
  <si>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</si>
  <si>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</si>
  <si>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</si>
  <si>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</si>
  <si>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</si>
  <si>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</si>
  <si>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</si>
  <si>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</si>
  <si>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</si>
  <si>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</si>
  <si>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</si>
  <si>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</si>
  <si>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</si>
  <si>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</si>
  <si>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</si>
  <si>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</si>
  <si>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</si>
  <si>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</si>
  <si>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</si>
  <si>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</si>
  <si>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</si>
  <si>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</si>
  <si>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</si>
  <si>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</si>
  <si>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</si>
  <si>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</si>
  <si>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</si>
  <si>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</si>
  <si>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</si>
  <si>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</si>
  <si>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</si>
  <si>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</si>
  <si>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</si>
  <si>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</si>
  <si>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</si>
  <si>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</si>
  <si>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</si>
  <si>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</si>
  <si>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</si>
  <si>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</si>
  <si>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</si>
  <si>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</si>
  <si>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</si>
  <si>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</si>
  <si>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</si>
  <si>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</si>
  <si>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</si>
  <si>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</si>
  <si>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২৫-০৭-২০২৫ তারিখে মূল্য বৃদ্ধি পেয়েছে।</t>
  </si>
  <si>
    <t>স্মারক নং-২৬.০৫.০০০০.০১৭.৩১.০১.২৫-৫৩৪</t>
  </si>
  <si>
    <t xml:space="preserve">মঙ্গলবার ২৯ জুলাই ২০২৫ খ্রিঃ, ১৪ শ্রাবণ ১৪৩২ বাংলা, ০৩ সফর ১৪৪৭ হিজরি </t>
  </si>
  <si>
    <t xml:space="preserve">   সিরিয়াল নংঃ     ১৮৬</t>
  </si>
  <si>
    <t>২৯-০৭-২০২৫ তারিখে মূল্য বৃদ্ধি পেয়েছে।</t>
  </si>
  <si>
    <t>২৯-০৭-২০২৫ তারিখে মূল্য হ্রাস পেয়েছে।</t>
  </si>
  <si>
    <t>(১)   সয়াবিন তেল (লুজ, ৫লি: বোতল), পাম অয়েল লুজ,  দারুচিনি, ধনে   এর মূল্য বৃদ্ধি পেয়েছে।</t>
  </si>
  <si>
    <t>(২ )  আলু, আদা (আম), ডিম,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</si>
</sst>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E1" zoomScale="98" zoomScaleNormal="98" workbookViewId="0">
      <selection activeCell="L6" sqref="L6"/>
    </sheetView>
  </sheetViews>
  <sheetFormatPr defaultRowHeight="16.5" x14ac:dyDescent="0.25"/>
  <cols>
    <col min="1" max="1" width="17.35156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875" customWidth="1"/>
    <col min="11" max="11" width="9.4140625" customWidth="1"/>
    <col min="12" max="12" width="10.3554687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124</v>
      </c>
      <c r="L4" s="92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45867</v>
      </c>
    </row>
    <row r="7" spans="1:12" ht="21" x14ac:dyDescent="0.2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" x14ac:dyDescent="0.25">
      <c r="A8" s="26"/>
      <c r="B8" s="27"/>
      <c r="C8" s="93">
        <v>45867</v>
      </c>
      <c r="D8" s="92"/>
      <c r="E8" s="93">
        <v>45860</v>
      </c>
      <c r="F8" s="92"/>
      <c r="G8" s="93">
        <v>45837</v>
      </c>
      <c r="H8" s="92"/>
      <c r="I8" s="27" t="s">
        <v>12</v>
      </c>
      <c r="J8" s="101">
        <v>45502</v>
      </c>
      <c r="K8" s="10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65</v>
      </c>
      <c r="I11" s="31">
        <f>((C11+D11)/2-(G11+H11)/2)/((G11+H11)/2)*100</f>
        <v>4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50</v>
      </c>
      <c r="H12" s="30">
        <v>60</v>
      </c>
      <c r="I12" s="31">
        <f>((C12+D12)/2-(G12+H12)/2)/((G12+H12)/2)*100</f>
        <v>4.5454545454545459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148</v>
      </c>
      <c r="F23" s="30">
        <v>155</v>
      </c>
      <c r="G23" s="30">
        <v>147</v>
      </c>
      <c r="H23" s="30">
        <v>155</v>
      </c>
      <c r="I23" s="31">
        <f t="shared" si="0"/>
        <v>0.99337748344370869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152</v>
      </c>
      <c r="H24" s="30">
        <v>162</v>
      </c>
      <c r="I24" s="31">
        <f t="shared" si="0"/>
        <v>-0.63694267515923575</v>
      </c>
      <c r="J24" s="62">
        <v>135</v>
      </c>
      <c r="K24" s="62">
        <v>140</v>
      </c>
      <c r="L24" s="32">
        <f t="shared" si="1"/>
        <v>13.454545454545455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1050</v>
      </c>
      <c r="I25" s="31">
        <f t="shared" si="0"/>
        <v>1.4423076923076923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140</v>
      </c>
      <c r="E29" s="30">
        <v>130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125</v>
      </c>
      <c r="K29" s="62">
        <v>130</v>
      </c>
      <c r="L29" s="32">
        <f t="shared" si="3"/>
        <v>5.8823529411764701</v>
      </c>
    </row>
    <row r="30" spans="1:12" ht="21" x14ac:dyDescent="0.3">
      <c r="A30" s="76" t="s">
        <v>39</v>
      </c>
      <c r="B30" s="6" t="s">
        <v>18</v>
      </c>
      <c r="C30" s="30">
        <v>110</v>
      </c>
      <c r="D30" s="30">
        <v>180</v>
      </c>
      <c r="E30" s="30">
        <v>110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" x14ac:dyDescent="0.3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3.8461538461538463</v>
      </c>
      <c r="J31" s="62">
        <v>80</v>
      </c>
      <c r="K31" s="62">
        <v>90</v>
      </c>
      <c r="L31" s="32">
        <f t="shared" si="3"/>
        <v>-20.588235294117645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115</v>
      </c>
      <c r="K32" s="62">
        <v>120</v>
      </c>
      <c r="L32" s="32">
        <f t="shared" si="3"/>
        <v>-14.893617021276595</v>
      </c>
    </row>
    <row r="33" spans="1:12" ht="21" x14ac:dyDescent="0.3">
      <c r="A33" s="76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11.111111111111111</v>
      </c>
      <c r="J33" s="62">
        <v>55</v>
      </c>
      <c r="K33" s="62">
        <v>60</v>
      </c>
      <c r="L33" s="32">
        <f t="shared" si="3"/>
        <v>-56.521739130434781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55</v>
      </c>
      <c r="D35" s="30">
        <v>65</v>
      </c>
      <c r="E35" s="30">
        <v>55</v>
      </c>
      <c r="F35" s="30">
        <v>65</v>
      </c>
      <c r="G35" s="30">
        <v>50</v>
      </c>
      <c r="H35" s="30">
        <v>65</v>
      </c>
      <c r="I35" s="31">
        <f t="shared" ref="I35:I50" si="4">((C35+D35)/2-(G35+H35)/2)/((G35+H35)/2)*100</f>
        <v>4.3478260869565215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100</v>
      </c>
      <c r="H37" s="30">
        <v>140</v>
      </c>
      <c r="I37" s="31">
        <f t="shared" si="4"/>
        <v>4.1666666666666661</v>
      </c>
      <c r="J37" s="62">
        <v>200</v>
      </c>
      <c r="K37" s="62">
        <v>220</v>
      </c>
      <c r="L37" s="32">
        <f t="shared" si="5"/>
        <v>-40.476190476190474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190</v>
      </c>
      <c r="K38" s="62">
        <v>220</v>
      </c>
      <c r="L38" s="32">
        <f t="shared" si="5"/>
        <v>-12.195121951219512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180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-6.25</v>
      </c>
      <c r="J44" s="62">
        <v>240</v>
      </c>
      <c r="K44" s="62">
        <v>300</v>
      </c>
      <c r="L44" s="32">
        <f t="shared" si="5"/>
        <v>-44.444444444444443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600</v>
      </c>
      <c r="L46" s="32">
        <f t="shared" si="5"/>
        <v>-3.5087719298245612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1350</v>
      </c>
      <c r="H47" s="30">
        <v>1600</v>
      </c>
      <c r="I47" s="31">
        <f t="shared" si="4"/>
        <v>1.6949152542372881</v>
      </c>
      <c r="J47" s="62">
        <v>1480</v>
      </c>
      <c r="K47" s="62">
        <v>1700</v>
      </c>
      <c r="L47" s="32">
        <f t="shared" si="5"/>
        <v>-5.6603773584905666</v>
      </c>
    </row>
    <row r="48" spans="1:12" ht="21" x14ac:dyDescent="0.3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3600</v>
      </c>
      <c r="L48" s="32">
        <f t="shared" si="5"/>
        <v>41.17647058823529</v>
      </c>
    </row>
    <row r="49" spans="1:12" ht="21" x14ac:dyDescent="0.3">
      <c r="A49" s="76" t="s">
        <v>57</v>
      </c>
      <c r="B49" s="6" t="s">
        <v>18</v>
      </c>
      <c r="C49" s="30">
        <v>200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62">
        <v>200</v>
      </c>
      <c r="K49" s="62">
        <v>250</v>
      </c>
      <c r="L49" s="32">
        <f t="shared" si="5"/>
        <v>6.666666666666667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1000</v>
      </c>
      <c r="D53" s="30">
        <v>2000</v>
      </c>
      <c r="E53" s="30">
        <v>1000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150</v>
      </c>
      <c r="D56" s="30">
        <v>170</v>
      </c>
      <c r="E56" s="30">
        <v>150</v>
      </c>
      <c r="F56" s="30">
        <v>170</v>
      </c>
      <c r="G56" s="30">
        <v>150</v>
      </c>
      <c r="H56" s="30">
        <v>175</v>
      </c>
      <c r="I56" s="31">
        <f t="shared" si="6"/>
        <v>-1.5384615384615385</v>
      </c>
      <c r="J56" s="62">
        <v>165</v>
      </c>
      <c r="K56" s="62">
        <v>175</v>
      </c>
      <c r="L56" s="32">
        <f t="shared" si="7"/>
        <v>-5.8823529411764701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 x14ac:dyDescent="0.25">
      <c r="A67" s="80"/>
      <c r="B67" s="71"/>
      <c r="C67" s="93">
        <v>45867</v>
      </c>
      <c r="D67" s="92"/>
      <c r="E67" s="93">
        <v>45860</v>
      </c>
      <c r="F67" s="92"/>
      <c r="G67" s="93">
        <v>45837</v>
      </c>
      <c r="H67" s="92"/>
      <c r="I67" s="27" t="s">
        <v>12</v>
      </c>
      <c r="J67" s="101">
        <v>45502</v>
      </c>
      <c r="K67" s="10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" x14ac:dyDescent="0.3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0</v>
      </c>
      <c r="J70" s="62">
        <v>200</v>
      </c>
      <c r="K70" s="62">
        <v>350</v>
      </c>
      <c r="L70" s="32">
        <f t="shared" si="8"/>
        <v>45.454545454545453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45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1.2195121951219512</v>
      </c>
      <c r="J72" s="63">
        <v>48</v>
      </c>
      <c r="K72" s="63">
        <v>50</v>
      </c>
      <c r="L72" s="32">
        <f t="shared" si="8"/>
        <v>-15.306122448979592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91500</v>
      </c>
      <c r="K74" s="62">
        <v>99500</v>
      </c>
      <c r="L74" s="32">
        <f t="shared" si="8"/>
        <v>-8.9005235602094235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87500</v>
      </c>
      <c r="K75" s="63">
        <v>90000</v>
      </c>
      <c r="L75" s="32">
        <f t="shared" si="8"/>
        <v>-9.577464788732394</v>
      </c>
    </row>
    <row r="76" spans="1:12" ht="21.75" customHeight="1" x14ac:dyDescent="0.25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1" si="10">((C83+D83)/2-(E83+F83)/2)/((E83+F83)/2)*100</f>
        <v>0.60606060606060608</v>
      </c>
      <c r="H83" s="5" t="s">
        <v>119</v>
      </c>
      <c r="I83" s="6"/>
      <c r="J83" s="6"/>
      <c r="K83" s="51"/>
      <c r="L83" s="18"/>
    </row>
    <row r="84" spans="1:12" ht="21" x14ac:dyDescent="0.3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119</v>
      </c>
      <c r="I84" s="6"/>
      <c r="J84" s="6"/>
      <c r="K84" s="51"/>
      <c r="L84" s="18"/>
    </row>
    <row r="85" spans="1:12" ht="21" x14ac:dyDescent="0.3">
      <c r="A85" s="5" t="s">
        <v>33</v>
      </c>
      <c r="B85" s="6" t="s">
        <v>28</v>
      </c>
      <c r="C85" s="30">
        <v>150</v>
      </c>
      <c r="D85" s="30">
        <v>155</v>
      </c>
      <c r="E85" s="30">
        <v>148</v>
      </c>
      <c r="F85" s="30">
        <v>155</v>
      </c>
      <c r="G85" s="7">
        <f t="shared" si="10"/>
        <v>0.66006600660066006</v>
      </c>
      <c r="H85" s="5" t="s">
        <v>121</v>
      </c>
      <c r="I85" s="6"/>
      <c r="J85" s="6"/>
      <c r="K85" s="51"/>
      <c r="L85" s="18"/>
    </row>
    <row r="86" spans="1:12" ht="21" x14ac:dyDescent="0.3">
      <c r="A86" s="76" t="s">
        <v>42</v>
      </c>
      <c r="B86" s="6" t="s">
        <v>18</v>
      </c>
      <c r="C86" s="30">
        <v>20</v>
      </c>
      <c r="D86" s="30">
        <v>30</v>
      </c>
      <c r="E86" s="30">
        <v>25</v>
      </c>
      <c r="F86" s="30">
        <v>30</v>
      </c>
      <c r="G86" s="7">
        <f t="shared" si="10"/>
        <v>-9.0909090909090917</v>
      </c>
      <c r="H86" s="5" t="s">
        <v>126</v>
      </c>
      <c r="I86" s="6"/>
      <c r="J86" s="6"/>
      <c r="K86" s="51"/>
      <c r="L86" s="18"/>
    </row>
    <row r="87" spans="1:12" ht="21" x14ac:dyDescent="0.3">
      <c r="A87" s="76" t="s">
        <v>52</v>
      </c>
      <c r="B87" s="6" t="s">
        <v>18</v>
      </c>
      <c r="C87" s="30">
        <v>120</v>
      </c>
      <c r="D87" s="30">
        <v>180</v>
      </c>
      <c r="E87" s="30">
        <v>120</v>
      </c>
      <c r="F87" s="30">
        <v>200</v>
      </c>
      <c r="G87" s="7">
        <f t="shared" si="10"/>
        <v>-6.25</v>
      </c>
      <c r="H87" s="5" t="s">
        <v>126</v>
      </c>
      <c r="I87" s="6"/>
      <c r="J87" s="6"/>
      <c r="K87" s="51"/>
      <c r="L87" s="18"/>
    </row>
    <row r="88" spans="1:12" ht="21" x14ac:dyDescent="0.3">
      <c r="A88" s="76" t="s">
        <v>54</v>
      </c>
      <c r="B88" s="6" t="s">
        <v>18</v>
      </c>
      <c r="C88" s="30">
        <v>500</v>
      </c>
      <c r="D88" s="30">
        <v>600</v>
      </c>
      <c r="E88" s="30">
        <v>480</v>
      </c>
      <c r="F88" s="30">
        <v>600</v>
      </c>
      <c r="G88" s="7">
        <f t="shared" si="10"/>
        <v>1.8518518518518516</v>
      </c>
      <c r="H88" s="5" t="s">
        <v>119</v>
      </c>
      <c r="I88" s="6"/>
      <c r="J88" s="6"/>
      <c r="K88" s="51"/>
      <c r="L88" s="18"/>
    </row>
    <row r="89" spans="1:12" ht="21" x14ac:dyDescent="0.3">
      <c r="A89" s="76" t="s">
        <v>57</v>
      </c>
      <c r="B89" s="6" t="s">
        <v>18</v>
      </c>
      <c r="C89" s="30">
        <v>200</v>
      </c>
      <c r="D89" s="30">
        <v>280</v>
      </c>
      <c r="E89" s="30">
        <v>180</v>
      </c>
      <c r="F89" s="30">
        <v>280</v>
      </c>
      <c r="G89" s="7">
        <f t="shared" si="10"/>
        <v>4.3478260869565215</v>
      </c>
      <c r="H89" s="5" t="s">
        <v>125</v>
      </c>
      <c r="I89" s="6"/>
      <c r="J89" s="6"/>
      <c r="K89" s="51"/>
      <c r="L89" s="18"/>
    </row>
    <row r="90" spans="1:12" ht="21" x14ac:dyDescent="0.3">
      <c r="A90" s="76" t="s">
        <v>73</v>
      </c>
      <c r="B90" s="6" t="s">
        <v>74</v>
      </c>
      <c r="C90" s="38">
        <v>38</v>
      </c>
      <c r="D90" s="38">
        <v>45</v>
      </c>
      <c r="E90" s="38">
        <v>38</v>
      </c>
      <c r="F90" s="38">
        <v>46</v>
      </c>
      <c r="G90" s="7">
        <f t="shared" si="10"/>
        <v>-1.1904761904761905</v>
      </c>
      <c r="H90" s="5" t="s">
        <v>126</v>
      </c>
      <c r="I90" s="6"/>
      <c r="J90" s="6"/>
      <c r="K90" s="51"/>
      <c r="L90" s="18"/>
    </row>
    <row r="91" spans="1:12" ht="21" x14ac:dyDescent="0.3">
      <c r="A91" s="76" t="s">
        <v>77</v>
      </c>
      <c r="B91" s="6" t="s">
        <v>78</v>
      </c>
      <c r="C91" s="30">
        <v>85000</v>
      </c>
      <c r="D91" s="30">
        <v>89000</v>
      </c>
      <c r="E91" s="30">
        <v>85000</v>
      </c>
      <c r="F91" s="30">
        <v>91500</v>
      </c>
      <c r="G91" s="7">
        <f t="shared" si="10"/>
        <v>-1.41643059490085</v>
      </c>
      <c r="H91" s="5" t="s">
        <v>120</v>
      </c>
      <c r="I91" s="6"/>
      <c r="J91" s="6"/>
      <c r="K91" s="51"/>
      <c r="L91" s="18"/>
    </row>
    <row r="92" spans="1:12" ht="21" x14ac:dyDescent="0.3">
      <c r="A92" s="79"/>
      <c r="B92" s="3"/>
      <c r="C92" s="90"/>
      <c r="D92" s="90"/>
      <c r="E92" s="90"/>
      <c r="F92" s="90"/>
      <c r="G92" s="10"/>
      <c r="H92" s="1"/>
      <c r="I92" s="3"/>
      <c r="J92" s="3"/>
      <c r="K92" s="51"/>
      <c r="L92" s="18"/>
    </row>
    <row r="93" spans="1:12" ht="21" x14ac:dyDescent="0.3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3.25" x14ac:dyDescent="0.3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3.25" x14ac:dyDescent="0.3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3.25" x14ac:dyDescent="0.3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3.25" x14ac:dyDescent="0.3">
      <c r="A97" s="1"/>
      <c r="B97" s="42"/>
      <c r="C97" s="43" t="s">
        <v>113</v>
      </c>
      <c r="D97" s="11"/>
      <c r="E97" s="42"/>
      <c r="F97" s="14"/>
      <c r="G97" s="11"/>
      <c r="H97" s="40"/>
      <c r="I97" s="13"/>
      <c r="J97" s="14" t="s">
        <v>117</v>
      </c>
      <c r="K97" s="11"/>
      <c r="L97" s="11"/>
    </row>
    <row r="98" spans="1:12" ht="23.25" x14ac:dyDescent="0.3">
      <c r="A98" s="1"/>
      <c r="B98" s="44"/>
      <c r="C98" s="43" t="s">
        <v>114</v>
      </c>
      <c r="D98" s="14"/>
      <c r="E98" s="42"/>
      <c r="F98" s="45"/>
      <c r="G98" s="47"/>
      <c r="H98" s="47"/>
      <c r="I98" s="86"/>
      <c r="J98" s="14" t="s">
        <v>118</v>
      </c>
      <c r="K98" s="14"/>
      <c r="L98" s="14"/>
    </row>
    <row r="99" spans="1:12" ht="23.25" x14ac:dyDescent="0.3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8.75" x14ac:dyDescent="0.25">
      <c r="A100" s="56" t="s">
        <v>95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8.75" x14ac:dyDescent="0.25">
      <c r="A101" s="55" t="s">
        <v>101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100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8.75" x14ac:dyDescent="0.25">
      <c r="A104" s="55" t="s">
        <v>99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8.75" x14ac:dyDescent="0.25">
      <c r="A105" s="55" t="s">
        <v>98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109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97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96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104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105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5" t="s">
        <v>90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91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" x14ac:dyDescent="0.25">
      <c r="A120" s="60"/>
      <c r="B120" s="58"/>
      <c r="C120" s="58"/>
      <c r="D120" s="58"/>
      <c r="E120" s="58"/>
      <c r="F120" s="58"/>
      <c r="G120" s="58"/>
      <c r="H120" s="61"/>
      <c r="I120" s="59"/>
      <c r="J120" s="12"/>
      <c r="K120" s="12"/>
      <c r="L120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2025-07-28T10:12:34Z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