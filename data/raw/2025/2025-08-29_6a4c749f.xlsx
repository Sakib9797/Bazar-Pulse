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84F48EB5-E89B-804D-91B7-331201013B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2" i="4"/>
  <c r="G85" i="4"/>
  <c r="G96" i="4"/>
  <c r="G95" i="4"/>
  <c r="G93" i="4"/>
  <c r="G90" i="4"/>
  <c r="G89" i="4"/>
  <c r="G88" i="4"/>
  <c r="G91" i="4"/>
  <c r="G86" i="4"/>
  <c r="G87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<sst xmlns="http://schemas.openxmlformats.org/spreadsheetml/2006/main" count="250" uniqueCount="135">
  <si>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</si>
  <si>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</si>
  <si>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</si>
  <si>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</si>
  <si>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</si>
  <si>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</si>
  <si>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</si>
  <si>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</si>
  <si>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</si>
  <si>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</si>
  <si>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</si>
  <si>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</si>
  <si>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</si>
  <si>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</si>
  <si>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</si>
  <si>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</si>
  <si>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</si>
  <si>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</si>
  <si>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</si>
  <si>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</si>
  <si>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</si>
  <si>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</si>
  <si>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</si>
  <si>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</si>
  <si>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</si>
  <si>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</si>
  <si>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</si>
  <si>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</si>
  <si>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</si>
  <si>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</si>
  <si>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</si>
  <si>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</si>
  <si>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</si>
  <si>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</si>
  <si>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</si>
  <si>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</si>
  <si>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</si>
  <si>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</si>
  <si>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</si>
  <si>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</si>
  <si>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</si>
  <si>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</si>
  <si>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</si>
  <si>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</si>
  <si>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</si>
  <si>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</si>
  <si>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</si>
  <si>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</si>
  <si>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</si>
  <si>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</si>
  <si>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</si>
  <si>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</si>
  <si>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</si>
  <si>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</si>
  <si>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</si>
  <si>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</si>
  <si>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</si>
  <si>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</si>
  <si>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</si>
  <si>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</si>
  <si>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</si>
  <si>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</si>
  <si>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</si>
  <si>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</si>
  <si>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</si>
  <si>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</si>
  <si>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</si>
  <si>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</si>
  <si>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</si>
  <si>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</si>
  <si>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</si>
  <si>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</si>
  <si>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</si>
  <si>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</si>
  <si>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</si>
  <si>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</si>
  <si>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</si>
  <si>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</si>
  <si>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</si>
  <si>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</si>
  <si>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</si>
  <si>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</si>
  <si>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</si>
  <si>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</si>
  <si>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</si>
  <si>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</si>
  <si>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</si>
  <si>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</si>
  <si>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</si>
  <si>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</si>
  <si>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</si>
  <si>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</si>
  <si>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</si>
  <si>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</si>
  <si>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</si>
  <si>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</si>
  <si>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</si>
  <si>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</si>
  <si>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</si>
  <si>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</si>
  <si>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</si>
  <si>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</si>
  <si>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</si>
  <si>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</si>
  <si>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</si>
  <si>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</si>
  <si>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</si>
  <si>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</si>
  <si>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</si>
  <si>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</si>
  <si>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</si>
  <si>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</si>
  <si>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</si>
  <si>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</si>
  <si>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</si>
  <si>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১৯-০৮-২০২৫ তারিখে মূল্য বৃদ্ধি পেয়েছে।</t>
  </si>
  <si>
    <t>২৪-০৮-২০২৫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</si>
  <si>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</si>
  <si>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</si>
  <si>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</si>
  <si>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</si>
  <si>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</si>
  <si>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</si>
  <si>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স্মারক নং-২৬.০৫.০০০০.০১৭.৩১.০১.২৫-৬০৭</t>
  </si>
  <si>
    <t xml:space="preserve">শুক্রবার ২৯ আগষ্ট ২০২৫ খ্রিঃ, ১৪ ভাদ্র ১৪৩২ বাংলা, ০৪ রবিউল আউয়াল ১৪৪৭ হিজরি </t>
  </si>
  <si>
    <t xml:space="preserve">   সিরিয়াল নংঃ     ২১৫</t>
  </si>
  <si>
    <t>২৫-০৮-২০২৫ তারিখে মূল্য হ্রাস পেয়েছে।</t>
  </si>
  <si>
    <t>২৯-০৮-২০২৫ তারিখে মূল্য বৃদ্ধি পেয়েছে।</t>
  </si>
  <si>
    <t>২৯-০৮-২০২৫ তারিখে মূল্য হ্রাস পেয়েছে।</t>
  </si>
  <si>
    <t xml:space="preserve">(১)    আটা (খোলা), সয়াবিন তেল (লুজ, ২লি: বোতল), পাম অয়েল লুজ, সুপার পাম অয়েল লুজ, </t>
  </si>
  <si>
    <t xml:space="preserve">        মসুর ডাল (ছোট), চিনি, ডিম  এর মূল্য বৃদ্ধি পেয়েছে।</t>
  </si>
  <si>
    <t>(২ )    রশুন (আম), লবঙ্গ,  মুরগী ব্রয়লার,  এম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</si>
</sst>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4"/>
  <sheetViews>
    <sheetView tabSelected="1" topLeftCell="H1" zoomScale="98" zoomScaleNormal="98" workbookViewId="0">
      <selection activeCell="L6" sqref="L6"/>
    </sheetView>
  </sheetViews>
  <sheetFormatPr defaultRowHeight="16.5" x14ac:dyDescent="0.25"/>
  <cols>
    <col min="1" max="1" width="16.1601562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3710937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125</v>
      </c>
      <c r="L4" s="86"/>
    </row>
    <row r="5" spans="1:12" ht="19.5" customHeight="1" x14ac:dyDescent="0.25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" x14ac:dyDescent="0.2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45898</v>
      </c>
    </row>
    <row r="7" spans="1:12" ht="21" x14ac:dyDescent="0.2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" x14ac:dyDescent="0.25">
      <c r="A8" s="26"/>
      <c r="B8" s="27"/>
      <c r="C8" s="85">
        <v>45898</v>
      </c>
      <c r="D8" s="86"/>
      <c r="E8" s="85">
        <v>45891</v>
      </c>
      <c r="F8" s="86"/>
      <c r="G8" s="85">
        <v>45867</v>
      </c>
      <c r="H8" s="86"/>
      <c r="I8" s="27" t="s">
        <v>12</v>
      </c>
      <c r="J8" s="85">
        <v>45533</v>
      </c>
      <c r="K8" s="86"/>
      <c r="L8" s="27" t="s">
        <v>12</v>
      </c>
    </row>
    <row r="9" spans="1:12" ht="21" x14ac:dyDescent="0.2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" x14ac:dyDescent="0.3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3" t="s">
        <v>21</v>
      </c>
      <c r="B14" s="6" t="s">
        <v>18</v>
      </c>
      <c r="C14" s="30">
        <v>45</v>
      </c>
      <c r="D14" s="30">
        <v>50</v>
      </c>
      <c r="E14" s="30">
        <v>44</v>
      </c>
      <c r="F14" s="30">
        <v>50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" x14ac:dyDescent="0.3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3" t="s">
        <v>27</v>
      </c>
      <c r="B19" s="6" t="s">
        <v>28</v>
      </c>
      <c r="C19" s="30">
        <v>167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2.1084337349397591</v>
      </c>
      <c r="J19" s="30">
        <v>145</v>
      </c>
      <c r="K19" s="30">
        <v>152</v>
      </c>
      <c r="L19" s="32">
        <f t="shared" ref="L19:L25" si="1">((C19+D19)/2-(J19+K19)/2)/((J19+K19)/2)*100</f>
        <v>14.14141414141414</v>
      </c>
    </row>
    <row r="20" spans="1:12" ht="21" x14ac:dyDescent="0.3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3" t="s">
        <v>29</v>
      </c>
      <c r="B21" s="6" t="s">
        <v>31</v>
      </c>
      <c r="C21" s="30">
        <v>375</v>
      </c>
      <c r="D21" s="30">
        <v>378</v>
      </c>
      <c r="E21" s="30">
        <v>372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" x14ac:dyDescent="0.3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" x14ac:dyDescent="0.3">
      <c r="A24" s="73" t="s">
        <v>108</v>
      </c>
      <c r="B24" s="6" t="s">
        <v>28</v>
      </c>
      <c r="C24" s="30">
        <v>158</v>
      </c>
      <c r="D24" s="30">
        <v>164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3.2051282051282048</v>
      </c>
      <c r="J24" s="30">
        <v>135</v>
      </c>
      <c r="K24" s="30">
        <v>140</v>
      </c>
      <c r="L24" s="32">
        <f t="shared" si="1"/>
        <v>17.09090909090909</v>
      </c>
    </row>
    <row r="25" spans="1:12" ht="21" x14ac:dyDescent="0.3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" x14ac:dyDescent="0.3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110</v>
      </c>
      <c r="H30" s="30">
        <v>180</v>
      </c>
      <c r="I30" s="31">
        <f t="shared" si="2"/>
        <v>3.4482758620689653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" x14ac:dyDescent="0.3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52</v>
      </c>
      <c r="K33" s="30">
        <v>60</v>
      </c>
      <c r="L33" s="32">
        <f t="shared" si="3"/>
        <v>-50.892857142857139</v>
      </c>
    </row>
    <row r="34" spans="1:12" ht="21" x14ac:dyDescent="0.3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" x14ac:dyDescent="0.3">
      <c r="A36" s="73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" x14ac:dyDescent="0.3">
      <c r="A37" s="73" t="s">
        <v>45</v>
      </c>
      <c r="B37" s="6" t="s">
        <v>18</v>
      </c>
      <c r="C37" s="30">
        <v>90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-8</v>
      </c>
      <c r="J37" s="30">
        <v>200</v>
      </c>
      <c r="K37" s="30">
        <v>230</v>
      </c>
      <c r="L37" s="32">
        <f t="shared" si="5"/>
        <v>-46.511627906976742</v>
      </c>
    </row>
    <row r="38" spans="1:12" ht="21" x14ac:dyDescent="0.3">
      <c r="A38" s="73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" x14ac:dyDescent="0.3">
      <c r="A39" s="73" t="s">
        <v>47</v>
      </c>
      <c r="B39" s="6" t="s">
        <v>18</v>
      </c>
      <c r="C39" s="30">
        <v>280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6.7796610169491522</v>
      </c>
      <c r="J39" s="30">
        <v>320</v>
      </c>
      <c r="K39" s="30">
        <v>400</v>
      </c>
      <c r="L39" s="32">
        <f t="shared" si="5"/>
        <v>-12.5</v>
      </c>
    </row>
    <row r="40" spans="1:12" ht="21" x14ac:dyDescent="0.3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" x14ac:dyDescent="0.3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3" t="s">
        <v>52</v>
      </c>
      <c r="B44" s="6" t="s">
        <v>18</v>
      </c>
      <c r="C44" s="30">
        <v>150</v>
      </c>
      <c r="D44" s="30">
        <v>270</v>
      </c>
      <c r="E44" s="30">
        <v>150</v>
      </c>
      <c r="F44" s="30">
        <v>270</v>
      </c>
      <c r="G44" s="30">
        <v>120</v>
      </c>
      <c r="H44" s="30">
        <v>180</v>
      </c>
      <c r="I44" s="31">
        <f t="shared" si="4"/>
        <v>40</v>
      </c>
      <c r="J44" s="30">
        <v>200</v>
      </c>
      <c r="K44" s="30">
        <v>260</v>
      </c>
      <c r="L44" s="32">
        <f t="shared" si="5"/>
        <v>-8.695652173913043</v>
      </c>
    </row>
    <row r="45" spans="1:12" ht="21" x14ac:dyDescent="0.3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" x14ac:dyDescent="0.3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" x14ac:dyDescent="0.3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" x14ac:dyDescent="0.3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" x14ac:dyDescent="0.3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220</v>
      </c>
      <c r="K49" s="30">
        <v>260</v>
      </c>
      <c r="L49" s="32">
        <f t="shared" si="5"/>
        <v>0</v>
      </c>
    </row>
    <row r="50" spans="1:12" ht="21" x14ac:dyDescent="0.3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" x14ac:dyDescent="0.3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" x14ac:dyDescent="0.3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190</v>
      </c>
      <c r="G56" s="30">
        <v>150</v>
      </c>
      <c r="H56" s="30">
        <v>170</v>
      </c>
      <c r="I56" s="31">
        <f t="shared" si="6"/>
        <v>7.8125</v>
      </c>
      <c r="J56" s="30">
        <v>160</v>
      </c>
      <c r="K56" s="30">
        <v>175</v>
      </c>
      <c r="L56" s="32">
        <f t="shared" si="7"/>
        <v>2.9850746268656714</v>
      </c>
    </row>
    <row r="57" spans="1:12" ht="21" x14ac:dyDescent="0.3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 x14ac:dyDescent="0.3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 x14ac:dyDescent="0.3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 x14ac:dyDescent="0.3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 x14ac:dyDescent="0.3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" x14ac:dyDescent="0.2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 x14ac:dyDescent="0.25">
      <c r="A67" s="77"/>
      <c r="B67" s="68"/>
      <c r="C67" s="85">
        <v>45898</v>
      </c>
      <c r="D67" s="86"/>
      <c r="E67" s="85">
        <v>45891</v>
      </c>
      <c r="F67" s="86"/>
      <c r="G67" s="85">
        <v>45867</v>
      </c>
      <c r="H67" s="86"/>
      <c r="I67" s="27" t="s">
        <v>12</v>
      </c>
      <c r="J67" s="85">
        <v>45533</v>
      </c>
      <c r="K67" s="86"/>
      <c r="L67" s="27" t="s">
        <v>12</v>
      </c>
    </row>
    <row r="68" spans="1:12" ht="21" x14ac:dyDescent="0.2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3" t="s">
        <v>73</v>
      </c>
      <c r="B72" s="6" t="s">
        <v>74</v>
      </c>
      <c r="C72" s="38">
        <v>48</v>
      </c>
      <c r="D72" s="38">
        <v>50</v>
      </c>
      <c r="E72" s="38">
        <v>45</v>
      </c>
      <c r="F72" s="38">
        <v>50</v>
      </c>
      <c r="G72" s="38">
        <v>38</v>
      </c>
      <c r="H72" s="38">
        <v>45</v>
      </c>
      <c r="I72" s="31">
        <f t="shared" si="9"/>
        <v>18.072289156626507</v>
      </c>
      <c r="J72" s="38">
        <v>50</v>
      </c>
      <c r="K72" s="38">
        <v>53</v>
      </c>
      <c r="L72" s="32">
        <f t="shared" si="8"/>
        <v>-4.8543689320388346</v>
      </c>
    </row>
    <row r="73" spans="1:12" ht="21" x14ac:dyDescent="0.3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131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" x14ac:dyDescent="0.2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" x14ac:dyDescent="0.3">
      <c r="A84" s="5" t="s">
        <v>21</v>
      </c>
      <c r="B84" s="6" t="s">
        <v>18</v>
      </c>
      <c r="C84" s="30">
        <v>45</v>
      </c>
      <c r="D84" s="30">
        <v>50</v>
      </c>
      <c r="E84" s="30">
        <v>44</v>
      </c>
      <c r="F84" s="30">
        <v>50</v>
      </c>
      <c r="G84" s="7">
        <f t="shared" ref="G84:G90" si="10">((C84+D84)/2-(E84+F84)/2)/((E84+F84)/2)*100</f>
        <v>1.0638297872340425</v>
      </c>
      <c r="H84" s="5" t="s">
        <v>115</v>
      </c>
      <c r="I84" s="6"/>
      <c r="J84" s="6"/>
      <c r="K84" s="51"/>
      <c r="L84" s="18"/>
    </row>
    <row r="85" spans="1:12" ht="21" x14ac:dyDescent="0.3">
      <c r="A85" s="73" t="s">
        <v>27</v>
      </c>
      <c r="B85" s="6" t="s">
        <v>28</v>
      </c>
      <c r="C85" s="30">
        <v>167</v>
      </c>
      <c r="D85" s="30">
        <v>172</v>
      </c>
      <c r="E85" s="30">
        <v>165</v>
      </c>
      <c r="F85" s="30">
        <v>172</v>
      </c>
      <c r="G85" s="7">
        <f t="shared" si="10"/>
        <v>0.59347181008902083</v>
      </c>
      <c r="H85" s="5" t="s">
        <v>127</v>
      </c>
      <c r="I85" s="6"/>
      <c r="J85" s="6"/>
      <c r="K85" s="51"/>
      <c r="L85" s="18"/>
    </row>
    <row r="86" spans="1:12" ht="21" x14ac:dyDescent="0.3">
      <c r="A86" s="73" t="s">
        <v>29</v>
      </c>
      <c r="B86" s="6" t="s">
        <v>31</v>
      </c>
      <c r="C86" s="30">
        <v>375</v>
      </c>
      <c r="D86" s="30">
        <v>378</v>
      </c>
      <c r="E86" s="30">
        <v>372</v>
      </c>
      <c r="F86" s="30">
        <v>378</v>
      </c>
      <c r="G86" s="7">
        <f t="shared" si="10"/>
        <v>0.4</v>
      </c>
      <c r="H86" s="5" t="s">
        <v>116</v>
      </c>
      <c r="I86" s="6"/>
      <c r="J86" s="6"/>
      <c r="K86" s="51"/>
      <c r="L86" s="18"/>
    </row>
    <row r="87" spans="1:12" ht="21" x14ac:dyDescent="0.3">
      <c r="A87" s="73" t="s">
        <v>33</v>
      </c>
      <c r="B87" s="6" t="s">
        <v>28</v>
      </c>
      <c r="C87" s="30">
        <v>153</v>
      </c>
      <c r="D87" s="30">
        <v>158</v>
      </c>
      <c r="E87" s="30">
        <v>150</v>
      </c>
      <c r="F87" s="30">
        <v>158</v>
      </c>
      <c r="G87" s="7">
        <f t="shared" si="10"/>
        <v>0.97402597402597402</v>
      </c>
      <c r="H87" s="5" t="s">
        <v>116</v>
      </c>
      <c r="I87" s="6"/>
      <c r="J87" s="6"/>
      <c r="K87" s="51"/>
      <c r="L87" s="18"/>
    </row>
    <row r="88" spans="1:12" ht="21" x14ac:dyDescent="0.3">
      <c r="A88" s="73" t="s">
        <v>108</v>
      </c>
      <c r="B88" s="6" t="s">
        <v>28</v>
      </c>
      <c r="C88" s="30">
        <v>158</v>
      </c>
      <c r="D88" s="30">
        <v>164</v>
      </c>
      <c r="E88" s="30">
        <v>152</v>
      </c>
      <c r="F88" s="30">
        <v>163</v>
      </c>
      <c r="G88" s="7">
        <f t="shared" si="10"/>
        <v>2.2222222222222223</v>
      </c>
      <c r="H88" s="5" t="s">
        <v>122</v>
      </c>
      <c r="I88" s="6"/>
      <c r="J88" s="6"/>
      <c r="K88" s="51"/>
      <c r="L88" s="18"/>
    </row>
    <row r="89" spans="1:12" ht="21" x14ac:dyDescent="0.3">
      <c r="A89" s="73" t="s">
        <v>38</v>
      </c>
      <c r="B89" s="6" t="s">
        <v>18</v>
      </c>
      <c r="C89" s="30">
        <v>150</v>
      </c>
      <c r="D89" s="30">
        <v>160</v>
      </c>
      <c r="E89" s="30">
        <v>150</v>
      </c>
      <c r="F89" s="30">
        <v>155</v>
      </c>
      <c r="G89" s="7">
        <f t="shared" si="10"/>
        <v>1.639344262295082</v>
      </c>
      <c r="H89" s="5" t="s">
        <v>116</v>
      </c>
      <c r="I89" s="6"/>
      <c r="J89" s="6"/>
      <c r="K89" s="51"/>
      <c r="L89" s="18"/>
    </row>
    <row r="90" spans="1:12" ht="21" x14ac:dyDescent="0.3">
      <c r="A90" s="73" t="s">
        <v>46</v>
      </c>
      <c r="B90" s="6" t="s">
        <v>18</v>
      </c>
      <c r="C90" s="30">
        <v>130</v>
      </c>
      <c r="D90" s="30">
        <v>200</v>
      </c>
      <c r="E90" s="30">
        <v>140</v>
      </c>
      <c r="F90" s="30">
        <v>200</v>
      </c>
      <c r="G90" s="7">
        <f t="shared" si="10"/>
        <v>-2.9411764705882351</v>
      </c>
      <c r="H90" s="5" t="s">
        <v>126</v>
      </c>
      <c r="I90" s="6"/>
      <c r="J90" s="6"/>
      <c r="K90" s="51"/>
      <c r="L90" s="18"/>
    </row>
    <row r="91" spans="1:12" ht="21" x14ac:dyDescent="0.3">
      <c r="A91" s="73" t="s">
        <v>55</v>
      </c>
      <c r="B91" s="6" t="s">
        <v>18</v>
      </c>
      <c r="C91" s="30">
        <v>1350</v>
      </c>
      <c r="D91" s="30">
        <v>1700</v>
      </c>
      <c r="E91" s="30">
        <v>1400</v>
      </c>
      <c r="F91" s="30">
        <v>1700</v>
      </c>
      <c r="G91" s="7">
        <f>((C91+D91)/2-(E91+F91)/2)/((E91+F91)/2)*100</f>
        <v>-1.6129032258064515</v>
      </c>
      <c r="H91" s="5" t="s">
        <v>128</v>
      </c>
      <c r="I91" s="6"/>
      <c r="J91" s="6"/>
      <c r="K91" s="51"/>
      <c r="L91" s="18"/>
    </row>
    <row r="92" spans="1:12" ht="21" x14ac:dyDescent="0.3">
      <c r="A92" s="73" t="s">
        <v>62</v>
      </c>
      <c r="B92" s="6" t="s">
        <v>18</v>
      </c>
      <c r="C92" s="30">
        <v>160</v>
      </c>
      <c r="D92" s="30">
        <v>185</v>
      </c>
      <c r="E92" s="30">
        <v>170</v>
      </c>
      <c r="F92" s="30">
        <v>190</v>
      </c>
      <c r="G92" s="7">
        <f t="shared" ref="G92" si="11">((C92+D92)/2-(E92+F92)/2)/((E92+F92)/2)*100</f>
        <v>-4.1666666666666661</v>
      </c>
      <c r="H92" s="5" t="s">
        <v>128</v>
      </c>
      <c r="I92" s="6"/>
      <c r="J92" s="6"/>
      <c r="K92" s="51"/>
      <c r="L92" s="18"/>
    </row>
    <row r="93" spans="1:12" ht="21" x14ac:dyDescent="0.3">
      <c r="A93" s="73" t="s">
        <v>71</v>
      </c>
      <c r="B93" s="6" t="s">
        <v>18</v>
      </c>
      <c r="C93" s="30">
        <v>105</v>
      </c>
      <c r="D93" s="30">
        <v>115</v>
      </c>
      <c r="E93" s="30">
        <v>105</v>
      </c>
      <c r="F93" s="30">
        <v>110</v>
      </c>
      <c r="G93" s="7">
        <f t="shared" ref="G93:G96" si="12">((C93+D93)/2-(E93+F93)/2)/((E93+F93)/2)*100</f>
        <v>2.3255813953488373</v>
      </c>
      <c r="H93" s="5" t="s">
        <v>122</v>
      </c>
      <c r="I93" s="6"/>
      <c r="J93" s="6"/>
      <c r="K93" s="51"/>
      <c r="L93" s="18"/>
    </row>
    <row r="94" spans="1:12" ht="21" x14ac:dyDescent="0.3">
      <c r="A94" s="73" t="s">
        <v>73</v>
      </c>
      <c r="B94" s="6" t="s">
        <v>74</v>
      </c>
      <c r="C94" s="38">
        <v>48</v>
      </c>
      <c r="D94" s="38">
        <v>50</v>
      </c>
      <c r="E94" s="38">
        <v>45</v>
      </c>
      <c r="F94" s="38">
        <v>50</v>
      </c>
      <c r="G94" s="7">
        <f t="shared" si="12"/>
        <v>3.1578947368421053</v>
      </c>
      <c r="H94" s="5" t="s">
        <v>127</v>
      </c>
      <c r="I94" s="6"/>
      <c r="J94" s="6"/>
      <c r="K94" s="51"/>
      <c r="L94" s="18"/>
    </row>
    <row r="95" spans="1:12" ht="21" x14ac:dyDescent="0.3">
      <c r="A95" s="73" t="s">
        <v>77</v>
      </c>
      <c r="B95" s="6" t="s">
        <v>78</v>
      </c>
      <c r="C95" s="30">
        <v>83500</v>
      </c>
      <c r="D95" s="30">
        <v>86000</v>
      </c>
      <c r="E95" s="30">
        <v>83500</v>
      </c>
      <c r="F95" s="30">
        <v>87000</v>
      </c>
      <c r="G95" s="7">
        <f t="shared" si="12"/>
        <v>-0.5865102639296188</v>
      </c>
      <c r="H95" s="5" t="s">
        <v>121</v>
      </c>
      <c r="I95" s="6"/>
      <c r="J95" s="6"/>
      <c r="K95" s="51"/>
      <c r="L95" s="18"/>
    </row>
    <row r="96" spans="1:12" ht="21" x14ac:dyDescent="0.3">
      <c r="A96" s="73" t="s">
        <v>79</v>
      </c>
      <c r="B96" s="6" t="s">
        <v>78</v>
      </c>
      <c r="C96" s="30">
        <v>75000</v>
      </c>
      <c r="D96" s="38">
        <v>79000</v>
      </c>
      <c r="E96" s="30">
        <v>78500</v>
      </c>
      <c r="F96" s="38">
        <v>80000</v>
      </c>
      <c r="G96" s="7">
        <f t="shared" si="12"/>
        <v>-2.8391167192429023</v>
      </c>
      <c r="H96" s="5" t="s">
        <v>121</v>
      </c>
      <c r="I96" s="6"/>
      <c r="J96" s="6"/>
      <c r="K96" s="51"/>
      <c r="L96" s="18"/>
    </row>
    <row r="97" spans="1:12" ht="21" x14ac:dyDescent="0.3">
      <c r="A97" s="76"/>
      <c r="B97" s="3"/>
      <c r="C97" s="84"/>
      <c r="D97" s="84"/>
      <c r="E97" s="84"/>
      <c r="F97" s="84"/>
      <c r="G97" s="10"/>
      <c r="H97" s="1"/>
      <c r="I97" s="3"/>
      <c r="J97" s="3"/>
      <c r="K97" s="51"/>
      <c r="L97" s="18"/>
    </row>
    <row r="98" spans="1:12" ht="23.25" x14ac:dyDescent="0.3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3.25" x14ac:dyDescent="0.3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3.25" x14ac:dyDescent="0.3">
      <c r="A100" s="1"/>
      <c r="B100" s="14"/>
      <c r="C100" s="15"/>
      <c r="D100" s="15"/>
      <c r="E100" s="14"/>
      <c r="F100" s="15"/>
      <c r="G100" s="39"/>
      <c r="H100" s="40"/>
      <c r="I100" s="41"/>
      <c r="J100" s="41"/>
      <c r="K100" s="41"/>
      <c r="L100" s="12"/>
    </row>
    <row r="101" spans="1:12" ht="23.25" x14ac:dyDescent="0.3">
      <c r="A101" s="1"/>
      <c r="B101" s="42"/>
      <c r="C101" s="43" t="s">
        <v>119</v>
      </c>
      <c r="D101" s="11"/>
      <c r="E101" s="42"/>
      <c r="F101" s="14"/>
      <c r="G101" s="11"/>
      <c r="H101" s="40"/>
      <c r="I101" s="13"/>
      <c r="J101" s="14" t="s">
        <v>117</v>
      </c>
      <c r="K101" s="11"/>
      <c r="L101" s="11"/>
    </row>
    <row r="102" spans="1:12" ht="23.25" x14ac:dyDescent="0.3">
      <c r="A102" s="1"/>
      <c r="B102" s="44"/>
      <c r="C102" s="43" t="s">
        <v>120</v>
      </c>
      <c r="D102" s="14"/>
      <c r="E102" s="42"/>
      <c r="F102" s="45"/>
      <c r="G102" s="47"/>
      <c r="H102" s="47"/>
      <c r="I102" s="80"/>
      <c r="J102" s="14" t="s">
        <v>118</v>
      </c>
      <c r="K102" s="14"/>
      <c r="L102" s="14"/>
    </row>
    <row r="103" spans="1:12" ht="23.25" x14ac:dyDescent="0.3">
      <c r="A103" s="1"/>
      <c r="B103" s="14"/>
      <c r="C103" s="15"/>
      <c r="D103" s="14"/>
      <c r="E103" s="15"/>
      <c r="F103" s="45"/>
      <c r="G103" s="47"/>
      <c r="H103" s="47"/>
      <c r="I103" s="46"/>
      <c r="J103" s="11"/>
      <c r="K103" s="11"/>
      <c r="L103" s="2"/>
    </row>
    <row r="104" spans="1:12" ht="18.75" x14ac:dyDescent="0.25">
      <c r="A104" s="56" t="s">
        <v>95</v>
      </c>
      <c r="B104" s="54"/>
      <c r="C104" s="52"/>
      <c r="D104" s="54"/>
      <c r="E104" s="52"/>
      <c r="F104" s="52"/>
      <c r="G104" s="52"/>
      <c r="H104" s="53"/>
      <c r="I104" s="58"/>
      <c r="J104" s="2"/>
      <c r="K104" s="2"/>
      <c r="L104" s="2"/>
    </row>
    <row r="105" spans="1:12" ht="18.75" x14ac:dyDescent="0.25">
      <c r="A105" s="55" t="s">
        <v>101</v>
      </c>
      <c r="B105" s="54"/>
      <c r="C105" s="52"/>
      <c r="D105" s="54"/>
      <c r="E105" s="52"/>
      <c r="F105" s="52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100</v>
      </c>
      <c r="B106" s="54"/>
      <c r="C106" s="54"/>
      <c r="D106" s="54"/>
      <c r="E106" s="54"/>
      <c r="F106" s="52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85</v>
      </c>
      <c r="B107" s="54"/>
      <c r="C107" s="54"/>
      <c r="D107" s="54"/>
      <c r="E107" s="54"/>
      <c r="F107" s="53"/>
      <c r="G107" s="53"/>
      <c r="H107" s="53"/>
      <c r="I107" s="58"/>
      <c r="J107" s="2"/>
      <c r="K107" s="2"/>
      <c r="L107" s="2"/>
    </row>
    <row r="108" spans="1:12" ht="18.75" x14ac:dyDescent="0.25">
      <c r="A108" s="55" t="s">
        <v>99</v>
      </c>
      <c r="B108" s="54"/>
      <c r="C108" s="54"/>
      <c r="D108" s="54"/>
      <c r="E108" s="54"/>
      <c r="F108" s="54"/>
      <c r="G108" s="53"/>
      <c r="H108" s="53"/>
      <c r="I108" s="58"/>
      <c r="J108" s="2"/>
      <c r="K108" s="2"/>
      <c r="L108" s="2"/>
    </row>
    <row r="109" spans="1:12" ht="18.75" x14ac:dyDescent="0.25">
      <c r="A109" s="55" t="s">
        <v>98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109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97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96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86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102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104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105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87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/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6" t="s">
        <v>88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 t="s">
        <v>89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 t="s">
        <v>90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91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" x14ac:dyDescent="0.25">
      <c r="A124" s="60"/>
      <c r="B124" s="58"/>
      <c r="C124" s="58"/>
      <c r="D124" s="58"/>
      <c r="E124" s="58"/>
      <c r="F124" s="58"/>
      <c r="G124" s="58"/>
      <c r="H124" s="61"/>
      <c r="I124" s="59"/>
      <c r="J124" s="12"/>
      <c r="K124" s="12"/>
      <c r="L124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2025-08-28T11:13:24Z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