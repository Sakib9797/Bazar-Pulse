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770" windowHeight="12360"/>
  </bookViews>
  <sheets>
    <sheet name="Daily retail price" sheetId="4" r:id="rId1"/>
  </sheets>
  <definedNames>
    <definedName name="_xlnm.Print_Area" localSheetId="0">'Daily retail price'!$A$1:$L$121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89" i="4" l="1"/>
  <c r="G92" i="4" l="1"/>
  <c r="G91" i="4"/>
  <c r="G90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<sst xmlns="http://schemas.openxmlformats.org/spreadsheetml/2006/main" count="234" uniqueCount="133">
  <si>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</si>
  <si>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</si>
  <si>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</si>
  <si>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</si>
  <si>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</si>
  <si>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</si>
  <si>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</si>
  <si>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</si>
  <si>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</si>
  <si>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</si>
  <si>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</si>
  <si>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</si>
  <si>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</si>
  <si>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</si>
  <si>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</si>
  <si>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</si>
  <si>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</si>
  <si>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</si>
  <si>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</si>
  <si>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</si>
  <si>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</si>
  <si>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</si>
  <si>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</si>
  <si>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</si>
  <si>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</si>
  <si>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</si>
  <si>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</si>
  <si>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</si>
  <si>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</si>
  <si>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</si>
  <si>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</si>
  <si>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</si>
  <si>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</si>
  <si>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</si>
  <si>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</si>
  <si>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</si>
  <si>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</si>
  <si>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</si>
  <si>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</si>
  <si>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</si>
  <si>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</si>
  <si>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</si>
  <si>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</si>
  <si>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</si>
  <si>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</si>
  <si>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</si>
  <si>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</si>
  <si>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</si>
  <si>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</si>
  <si>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</si>
  <si>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</si>
  <si>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</si>
  <si>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</si>
  <si>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</si>
  <si>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</si>
  <si>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</si>
  <si>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</si>
  <si>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</si>
  <si>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</si>
  <si>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</si>
  <si>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</si>
  <si>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</si>
  <si>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</si>
  <si>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</si>
  <si>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</si>
  <si>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</si>
  <si>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</si>
  <si>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</si>
  <si>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</si>
  <si>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</si>
  <si>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</si>
  <si>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</si>
  <si>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</si>
  <si>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</si>
  <si>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</si>
  <si>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</si>
  <si>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</si>
  <si>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</si>
  <si>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</si>
  <si>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</si>
  <si>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</si>
  <si>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</si>
  <si>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</si>
  <si>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</si>
  <si>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</si>
  <si>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</si>
  <si>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</si>
  <si>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</si>
  <si>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</si>
  <si>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</si>
  <si>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</si>
  <si>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</si>
  <si>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</si>
  <si>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</si>
  <si>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</si>
  <si>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</si>
  <si>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</si>
  <si>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</si>
  <si>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</si>
  <si>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</si>
  <si>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</si>
  <si>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</si>
  <si>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</si>
  <si>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</si>
  <si>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</si>
  <si>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</si>
  <si>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</si>
  <si>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</si>
  <si>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</si>
  <si>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</si>
  <si>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</si>
  <si>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</si>
  <si>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</si>
  <si>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</si>
  <si>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</si>
  <si>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</si>
  <si>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</si>
  <si>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</si>
  <si>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</si>
  <si>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</si>
  <si>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</si>
  <si>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</si>
  <si>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</si>
  <si>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</si>
  <si>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২৪-১০-২০২৬ তারিখে মূল্য হ্রাস পেয়েছে।</t>
  </si>
  <si>
    <t>২৫-১০-২০২৬ তারিখে মূল্য বৃদ্ধি পেয়েছে।</t>
  </si>
  <si>
    <t xml:space="preserve">নং-২৬.০৫.০০০০.০১৭.৩১.০১.২৬-৮৪৫                                                                                                           তারিখঃ ২৬-১০-২০২৬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</si>
  <si>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২৬৬</t>
  </si>
  <si>
    <t xml:space="preserve">সোমবার ২৬ অক্টোবর ২০২৬ খ্রিঃ, ১০ কার্তিক ১৪৩৩ বাংলা, ১৫ জমা.আউ ১৪৪৮ হিজরি </t>
  </si>
  <si>
    <t>২৬-১০-২০২৬ তারিখে মূল্য হ্রাস পেয়েছে।</t>
  </si>
  <si>
    <t>২৬-১০-২০২৬ তারিখে মূল্য বৃদ্ধি পেয়েছে।</t>
  </si>
  <si>
    <t>(২)    রসুন (দেশী), আদা (আম), ডিম  এর মূল্য হ্রাস পেয়েছে।</t>
  </si>
  <si>
    <t>(১)     চাল (সরু), আদা (দেশী)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</si>
</sst>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6"/>
  <sheetViews>
    <sheetView tabSelected="1" topLeftCell="A79" zoomScaleNormal="100" workbookViewId="0">
      <selection activeCell="B84" sqref="B84:L84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127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128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1"/>
      <c r="Q4" s="51"/>
      <c r="R4" s="51"/>
    </row>
    <row r="5" spans="1:18">
      <c r="A5" s="82" t="s">
        <v>126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2"/>
      <c r="Q5" s="53"/>
    </row>
    <row r="6" spans="1:18" s="27" customFormat="1">
      <c r="A6" s="83" t="s">
        <v>1</v>
      </c>
      <c r="B6" s="83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4" t="s">
        <v>6</v>
      </c>
      <c r="J6" s="73" t="s">
        <v>7</v>
      </c>
      <c r="K6" s="75"/>
      <c r="L6" s="26" t="s">
        <v>8</v>
      </c>
      <c r="M6" s="49"/>
    </row>
    <row r="7" spans="1:18" s="27" customFormat="1">
      <c r="A7" s="84"/>
      <c r="B7" s="84"/>
      <c r="C7" s="87">
        <v>46321</v>
      </c>
      <c r="D7" s="88"/>
      <c r="E7" s="87">
        <v>46314</v>
      </c>
      <c r="F7" s="88"/>
      <c r="G7" s="87">
        <v>46291</v>
      </c>
      <c r="H7" s="88"/>
      <c r="I7" s="24" t="s">
        <v>9</v>
      </c>
      <c r="J7" s="85">
        <v>45956</v>
      </c>
      <c r="K7" s="86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3.225806451612903</v>
      </c>
      <c r="J11" s="37">
        <v>75</v>
      </c>
      <c r="K11" s="37">
        <v>85</v>
      </c>
      <c r="L11" s="47">
        <f>((C11+D11)/2-(J11+K11)/2)/((J11+K11)/2)*100</f>
        <v>0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0</v>
      </c>
      <c r="J15" s="37">
        <v>45</v>
      </c>
      <c r="K15" s="37">
        <v>50</v>
      </c>
      <c r="L15" s="47">
        <f>((C15+D15)/2-(J15+K15)/2)/((J15+K15)/2)*100</f>
        <v>5.2631578947368416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0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0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900</v>
      </c>
      <c r="K21" s="37">
        <v>925</v>
      </c>
      <c r="L21" s="47">
        <f t="shared" ref="L21:L25" si="2">((C21+D21)/2-(J21+K21)/2)/((J21+K21)/2)*100</f>
        <v>9.5890410958904102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174</v>
      </c>
      <c r="I24" s="46">
        <f t="shared" si="1"/>
        <v>-0.29069767441860467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230</v>
      </c>
      <c r="E39" s="39">
        <v>170</v>
      </c>
      <c r="F39" s="37">
        <v>230</v>
      </c>
      <c r="G39" s="39">
        <v>170</v>
      </c>
      <c r="H39" s="37">
        <v>200</v>
      </c>
      <c r="I39" s="46">
        <f t="shared" si="5"/>
        <v>8.1081081081081088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160</v>
      </c>
      <c r="E44" s="37">
        <v>120</v>
      </c>
      <c r="F44" s="37">
        <v>150</v>
      </c>
      <c r="G44" s="37">
        <v>120</v>
      </c>
      <c r="H44" s="37">
        <v>140</v>
      </c>
      <c r="I44" s="46">
        <f t="shared" si="5"/>
        <v>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3.7037037037037033</v>
      </c>
    </row>
    <row r="45" spans="1:13" s="48" customFormat="1" ht="19.5">
      <c r="A45" s="43" t="s">
        <v>47</v>
      </c>
      <c r="B45" s="44" t="s">
        <v>14</v>
      </c>
      <c r="C45" s="37">
        <v>170</v>
      </c>
      <c r="D45" s="37">
        <v>220</v>
      </c>
      <c r="E45" s="37">
        <v>170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150</v>
      </c>
      <c r="K45" s="37">
        <v>220</v>
      </c>
      <c r="L45" s="47">
        <f t="shared" si="6"/>
        <v>5.4054054054054053</v>
      </c>
      <c r="M45" s="49">
        <f t="shared" si="0"/>
        <v>-2.5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 t="e">
        <f t="shared" si="0"/>
        <v>#DIV/0!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180</v>
      </c>
      <c r="I57" s="46">
        <f t="shared" si="7"/>
        <v>5.7142857142857144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>
      <c r="A68" s="83" t="s">
        <v>1</v>
      </c>
      <c r="B68" s="83" t="s">
        <v>2</v>
      </c>
      <c r="C68" s="73" t="s">
        <v>3</v>
      </c>
      <c r="D68" s="75"/>
      <c r="E68" s="73" t="s">
        <v>4</v>
      </c>
      <c r="F68" s="75"/>
      <c r="G68" s="73" t="s">
        <v>5</v>
      </c>
      <c r="H68" s="75"/>
      <c r="I68" s="24" t="s">
        <v>6</v>
      </c>
      <c r="J68" s="73" t="s">
        <v>7</v>
      </c>
      <c r="K68" s="75"/>
      <c r="L68" s="24" t="s">
        <v>8</v>
      </c>
    </row>
    <row r="69" spans="1:13" ht="18" customHeight="1">
      <c r="A69" s="84"/>
      <c r="B69" s="84"/>
      <c r="C69" s="87">
        <v>46321</v>
      </c>
      <c r="D69" s="88"/>
      <c r="E69" s="87">
        <v>46314</v>
      </c>
      <c r="F69" s="88"/>
      <c r="G69" s="87">
        <v>46291</v>
      </c>
      <c r="H69" s="88"/>
      <c r="I69" s="24" t="s">
        <v>9</v>
      </c>
      <c r="J69" s="85">
        <v>45956</v>
      </c>
      <c r="K69" s="86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120</v>
      </c>
      <c r="H75" s="37">
        <v>180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70</v>
      </c>
      <c r="F76" s="37">
        <v>120</v>
      </c>
      <c r="G76" s="37">
        <v>90</v>
      </c>
      <c r="H76" s="37">
        <v>120</v>
      </c>
      <c r="I76" s="46">
        <f t="shared" si="9"/>
        <v>-9.5238095238095237</v>
      </c>
      <c r="J76" s="45">
        <v>70</v>
      </c>
      <c r="K76" s="45">
        <v>110</v>
      </c>
      <c r="L76" s="47">
        <f t="shared" si="10"/>
        <v>5.5555555555555554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100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45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-9.5238095238095237</v>
      </c>
      <c r="J78" s="42">
        <v>45</v>
      </c>
      <c r="K78" s="42">
        <v>50</v>
      </c>
      <c r="L78" s="47">
        <f>((C78+D78)/2-(J78+K78)/2)/((J78+K78)/2)*100</f>
        <v>0</v>
      </c>
      <c r="M78" s="49">
        <f t="shared" si="11"/>
        <v>-2.0618556701030926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>
      <c r="A82" s="91" t="s">
        <v>117</v>
      </c>
      <c r="B82" s="92"/>
      <c r="C82" s="76" t="s">
        <v>123</v>
      </c>
      <c r="D82" s="76"/>
      <c r="E82" s="76"/>
      <c r="F82" s="76"/>
      <c r="G82" s="76"/>
      <c r="H82" s="76"/>
      <c r="I82" s="76"/>
      <c r="J82" s="76"/>
      <c r="K82" s="76"/>
      <c r="L82" s="76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7" t="s">
        <v>132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</row>
    <row r="85" spans="1:13">
      <c r="A85" s="61"/>
      <c r="B85" s="77" t="s">
        <v>131</v>
      </c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3" t="s">
        <v>3</v>
      </c>
      <c r="D88" s="75"/>
      <c r="E88" s="89" t="s">
        <v>78</v>
      </c>
      <c r="F88" s="90"/>
      <c r="G88" s="25" t="s">
        <v>9</v>
      </c>
      <c r="H88" s="73" t="s">
        <v>79</v>
      </c>
      <c r="I88" s="74"/>
      <c r="J88" s="75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93" si="12">((C89+D89)/2-(E89+F89)/2)/((E89+F89)/2)*100</f>
        <v>3.225806451612903</v>
      </c>
      <c r="H89" s="73" t="s">
        <v>125</v>
      </c>
      <c r="I89" s="74"/>
      <c r="J89" s="75"/>
      <c r="K89" s="9"/>
      <c r="L89" s="71"/>
    </row>
    <row r="90" spans="1:13">
      <c r="A90" s="43" t="s">
        <v>40</v>
      </c>
      <c r="B90" s="44" t="s">
        <v>14</v>
      </c>
      <c r="C90" s="37">
        <v>100</v>
      </c>
      <c r="D90" s="37">
        <v>120</v>
      </c>
      <c r="E90" s="37">
        <v>100</v>
      </c>
      <c r="F90" s="37">
        <v>140</v>
      </c>
      <c r="G90" s="30">
        <f t="shared" si="12"/>
        <v>-8.3333333333333321</v>
      </c>
      <c r="H90" s="73" t="s">
        <v>124</v>
      </c>
      <c r="I90" s="74"/>
      <c r="J90" s="75"/>
      <c r="K90" s="9"/>
      <c r="L90" s="69"/>
    </row>
    <row r="91" spans="1:13">
      <c r="A91" s="43" t="s">
        <v>46</v>
      </c>
      <c r="B91" s="44" t="s">
        <v>14</v>
      </c>
      <c r="C91" s="37">
        <v>120</v>
      </c>
      <c r="D91" s="37">
        <v>160</v>
      </c>
      <c r="E91" s="37">
        <v>120</v>
      </c>
      <c r="F91" s="37">
        <v>150</v>
      </c>
      <c r="G91" s="30">
        <f t="shared" si="12"/>
        <v>3.7037037037037033</v>
      </c>
      <c r="H91" s="73" t="s">
        <v>130</v>
      </c>
      <c r="I91" s="74"/>
      <c r="J91" s="75"/>
      <c r="K91" s="9"/>
      <c r="L91" s="70"/>
    </row>
    <row r="92" spans="1:13">
      <c r="A92" s="43" t="s">
        <v>47</v>
      </c>
      <c r="B92" s="44" t="s">
        <v>14</v>
      </c>
      <c r="C92" s="37">
        <v>170</v>
      </c>
      <c r="D92" s="37">
        <v>220</v>
      </c>
      <c r="E92" s="37">
        <v>170</v>
      </c>
      <c r="F92" s="37">
        <v>230</v>
      </c>
      <c r="G92" s="30">
        <f t="shared" si="12"/>
        <v>-2.5</v>
      </c>
      <c r="H92" s="73" t="s">
        <v>129</v>
      </c>
      <c r="I92" s="74"/>
      <c r="J92" s="75"/>
      <c r="K92" s="9"/>
      <c r="L92" s="70"/>
    </row>
    <row r="93" spans="1:13">
      <c r="A93" s="43" t="s">
        <v>68</v>
      </c>
      <c r="B93" s="44" t="s">
        <v>69</v>
      </c>
      <c r="C93" s="42">
        <v>45</v>
      </c>
      <c r="D93" s="42">
        <v>50</v>
      </c>
      <c r="E93" s="42">
        <v>47</v>
      </c>
      <c r="F93" s="42">
        <v>50</v>
      </c>
      <c r="G93" s="30">
        <f t="shared" si="12"/>
        <v>-2.0618556701030926</v>
      </c>
      <c r="H93" s="73" t="s">
        <v>129</v>
      </c>
      <c r="I93" s="74"/>
      <c r="J93" s="75"/>
      <c r="K93" s="9"/>
      <c r="L93" s="67"/>
    </row>
    <row r="94" spans="1:13">
      <c r="A94" s="62"/>
      <c r="B94" s="63"/>
      <c r="C94" s="57"/>
      <c r="D94" s="57"/>
      <c r="E94" s="57"/>
      <c r="F94" s="57"/>
      <c r="G94" s="58"/>
      <c r="H94" s="68"/>
      <c r="I94" s="68"/>
      <c r="J94" s="68"/>
      <c r="K94" s="9"/>
      <c r="L94" s="72"/>
    </row>
    <row r="95" spans="1:13">
      <c r="A95" s="54"/>
      <c r="B95" s="55"/>
      <c r="C95" s="56"/>
      <c r="D95" s="57"/>
      <c r="E95" s="56"/>
      <c r="F95" s="57"/>
      <c r="G95" s="58"/>
      <c r="H95" s="6"/>
      <c r="I95" s="1"/>
      <c r="J95" s="1"/>
      <c r="K95" s="9"/>
      <c r="L95" s="11"/>
    </row>
    <row r="96" spans="1:13">
      <c r="A96" s="6"/>
      <c r="B96" s="12"/>
      <c r="C96" s="3"/>
      <c r="D96" s="3"/>
      <c r="E96" s="3"/>
      <c r="F96" s="3"/>
      <c r="G96" s="4"/>
      <c r="H96" s="6"/>
      <c r="I96" s="1"/>
      <c r="J96" s="1"/>
      <c r="K96" s="11"/>
      <c r="L96" s="11"/>
    </row>
    <row r="97" spans="1:12">
      <c r="A97" s="6"/>
      <c r="B97" s="13" t="s">
        <v>110</v>
      </c>
      <c r="C97" s="2"/>
      <c r="E97" s="6"/>
      <c r="F97" s="13" t="s">
        <v>119</v>
      </c>
      <c r="G97" s="2"/>
      <c r="I97" s="14"/>
      <c r="J97" s="1"/>
      <c r="K97" s="2"/>
      <c r="L97" s="11"/>
    </row>
    <row r="98" spans="1:12">
      <c r="A98" s="15"/>
      <c r="B98" s="13" t="s">
        <v>109</v>
      </c>
      <c r="C98" s="1"/>
      <c r="E98" s="15"/>
      <c r="F98" s="13" t="s">
        <v>120</v>
      </c>
      <c r="G98" s="1"/>
      <c r="I98" s="2"/>
      <c r="J98" s="1"/>
      <c r="L98" s="11"/>
    </row>
    <row r="99" spans="1:12">
      <c r="A99" s="6"/>
      <c r="C99" s="5"/>
      <c r="D99" s="5"/>
      <c r="E99" s="1"/>
      <c r="F99" s="5"/>
      <c r="G99" s="4"/>
      <c r="H99" s="16"/>
      <c r="I99" s="11"/>
      <c r="J99" s="11"/>
      <c r="K99" s="11"/>
      <c r="L99" s="11"/>
    </row>
    <row r="100" spans="1:12">
      <c r="A100" s="17" t="s">
        <v>86</v>
      </c>
      <c r="B100" s="18"/>
      <c r="C100" s="19"/>
      <c r="D100" s="18"/>
      <c r="E100" s="19"/>
      <c r="F100" s="19"/>
      <c r="G100" s="19"/>
      <c r="H100" s="20"/>
      <c r="I100" s="2"/>
      <c r="J100" s="2"/>
      <c r="K100" s="2"/>
      <c r="L100" s="2"/>
    </row>
    <row r="101" spans="1:12">
      <c r="A101" s="21" t="s">
        <v>111</v>
      </c>
      <c r="B101" s="18"/>
      <c r="C101" s="19"/>
      <c r="D101" s="18"/>
      <c r="E101" s="19"/>
      <c r="F101" s="19"/>
      <c r="G101" s="18"/>
      <c r="H101" s="20"/>
      <c r="I101" s="2"/>
      <c r="J101" s="2"/>
      <c r="K101" s="2"/>
      <c r="L101" s="2"/>
    </row>
    <row r="102" spans="1:12">
      <c r="A102" s="21" t="s">
        <v>105</v>
      </c>
      <c r="B102" s="18"/>
      <c r="C102" s="18"/>
      <c r="D102" s="18"/>
      <c r="E102" s="18"/>
      <c r="F102" s="19"/>
      <c r="G102" s="18"/>
      <c r="H102" s="20"/>
      <c r="I102" s="2"/>
      <c r="J102" s="2"/>
      <c r="K102" s="2"/>
      <c r="L102" s="2"/>
    </row>
    <row r="103" spans="1:12">
      <c r="A103" s="21" t="s">
        <v>80</v>
      </c>
      <c r="B103" s="18"/>
      <c r="C103" s="18"/>
      <c r="D103" s="18"/>
      <c r="E103" s="18"/>
      <c r="F103" s="20"/>
      <c r="G103" s="20"/>
      <c r="H103" s="20"/>
      <c r="I103" s="2"/>
      <c r="J103" s="2"/>
      <c r="K103" s="2"/>
      <c r="L103" s="2"/>
    </row>
    <row r="104" spans="1:12">
      <c r="A104" s="21" t="s">
        <v>106</v>
      </c>
      <c r="B104" s="18"/>
      <c r="C104" s="18"/>
      <c r="D104" s="18"/>
      <c r="E104" s="18"/>
      <c r="F104" s="18"/>
      <c r="G104" s="20"/>
      <c r="H104" s="20"/>
      <c r="I104" s="2"/>
      <c r="J104" s="2"/>
      <c r="K104" s="2"/>
      <c r="L104" s="2"/>
    </row>
    <row r="105" spans="1:12">
      <c r="A105" s="21" t="s">
        <v>89</v>
      </c>
      <c r="B105" s="18"/>
      <c r="C105" s="18"/>
      <c r="D105" s="18"/>
      <c r="E105" s="18"/>
      <c r="F105" s="18"/>
      <c r="G105" s="18"/>
      <c r="H105" s="20"/>
      <c r="I105" s="2"/>
      <c r="J105" s="2"/>
      <c r="K105" s="2"/>
      <c r="L105" s="2"/>
    </row>
    <row r="106" spans="1:12">
      <c r="A106" s="21" t="s">
        <v>95</v>
      </c>
      <c r="B106" s="18"/>
      <c r="C106" s="18"/>
      <c r="D106" s="18"/>
      <c r="E106" s="18"/>
      <c r="F106" s="18"/>
      <c r="G106" s="18"/>
      <c r="H106" s="20"/>
      <c r="I106" s="2"/>
      <c r="J106" s="2"/>
      <c r="K106" s="2"/>
      <c r="L106" s="2"/>
    </row>
    <row r="107" spans="1:12">
      <c r="A107" s="21" t="s">
        <v>88</v>
      </c>
      <c r="B107" s="18"/>
      <c r="C107" s="18"/>
      <c r="D107" s="18"/>
      <c r="E107" s="18"/>
      <c r="F107" s="18"/>
      <c r="G107" s="18"/>
      <c r="H107" s="20"/>
      <c r="I107" s="2"/>
      <c r="J107" s="2"/>
      <c r="K107" s="2"/>
      <c r="L107" s="2"/>
    </row>
    <row r="108" spans="1:12">
      <c r="A108" s="21" t="s">
        <v>87</v>
      </c>
      <c r="B108" s="18"/>
      <c r="C108" s="18"/>
      <c r="D108" s="18"/>
      <c r="E108" s="18"/>
      <c r="F108" s="18"/>
      <c r="G108" s="18"/>
      <c r="H108" s="20"/>
      <c r="I108" s="2"/>
      <c r="J108" s="2"/>
      <c r="K108" s="2"/>
      <c r="L108" s="2"/>
    </row>
    <row r="109" spans="1:12">
      <c r="A109" s="21" t="s">
        <v>81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90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112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91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92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107</v>
      </c>
      <c r="B114" s="18"/>
      <c r="C114" s="18"/>
      <c r="D114" s="18"/>
      <c r="E114" s="18"/>
      <c r="F114" s="18"/>
      <c r="G114" s="18"/>
      <c r="H114" s="22"/>
      <c r="I114" s="11"/>
      <c r="J114" s="11"/>
      <c r="K114" s="11"/>
      <c r="L114" s="11"/>
    </row>
    <row r="115" spans="1:12">
      <c r="A115" s="21"/>
      <c r="B115" s="18"/>
      <c r="C115" s="18"/>
      <c r="D115" s="18"/>
      <c r="E115" s="18"/>
      <c r="F115" s="18"/>
      <c r="G115" s="18"/>
      <c r="H115" s="22"/>
      <c r="I115" s="11"/>
      <c r="J115" s="11"/>
      <c r="K115" s="11"/>
      <c r="L115" s="11"/>
    </row>
    <row r="116" spans="1:12">
      <c r="A116" s="17" t="s">
        <v>82</v>
      </c>
      <c r="B116" s="18"/>
      <c r="C116" s="18"/>
      <c r="D116" s="18"/>
      <c r="E116" s="18"/>
      <c r="F116" s="18"/>
      <c r="G116" s="18"/>
      <c r="H116" s="22"/>
      <c r="I116" s="11"/>
      <c r="J116" s="11"/>
      <c r="K116" s="11"/>
      <c r="L116" s="11"/>
    </row>
    <row r="117" spans="1:12">
      <c r="A117" s="21" t="s">
        <v>83</v>
      </c>
      <c r="B117" s="18"/>
      <c r="C117" s="18"/>
      <c r="D117" s="18"/>
      <c r="E117" s="18"/>
      <c r="F117" s="18"/>
      <c r="G117" s="18"/>
      <c r="H117" s="22"/>
      <c r="I117" s="11"/>
      <c r="J117" s="11"/>
      <c r="K117" s="11"/>
      <c r="L117" s="11"/>
    </row>
    <row r="118" spans="1:12">
      <c r="A118" s="21" t="s">
        <v>113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21" t="s">
        <v>114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 t="s">
        <v>99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436" spans="2:2">
      <c r="B436" s="10" t="s">
        <v>108</v>
      </c>
    </row>
  </sheetData>
  <mergeCells count="37">
    <mergeCell ref="H93:J93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82:B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H92:J92"/>
    <mergeCell ref="H90:J90"/>
    <mergeCell ref="C82:L82"/>
    <mergeCell ref="B84:L84"/>
    <mergeCell ref="B85:L85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2026-10-26T07:52:59Z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