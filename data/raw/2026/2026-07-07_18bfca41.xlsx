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1DE3B263-6672-4539-9A15-CD3B3DA6436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price'!$A$1:$L$125</definedName>
  </definedNames>
  <calcPr calcId="191028"/>
</workbook>
</file>

<file path=xl/calcChain.xml><?xml version="1.0" encoding="utf-8"?>
<calcChain xmlns="http://schemas.openxmlformats.org/spreadsheetml/2006/main">
  <c r="G87" i="4" l="1"/>
  <c r="G86" i="4"/>
  <c r="G92" i="4"/>
  <c r="G96" i="4"/>
  <c r="G89" i="4"/>
  <c r="G88" i="4"/>
  <c r="G93" i="4"/>
  <c r="G94" i="4"/>
  <c r="G91" i="4"/>
  <c r="G90" i="4"/>
  <c r="G95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<sst xmlns="http://schemas.openxmlformats.org/spreadsheetml/2006/main" count="249" uniqueCount="137">
  <si>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</si>
  <si>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</si>
  <si>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</si>
  <si>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</si>
  <si>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</si>
  <si>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</si>
  <si>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</si>
  <si>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</si>
  <si>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</si>
  <si>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</si>
  <si>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</si>
  <si>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</si>
  <si>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</si>
  <si>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</si>
  <si>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</si>
  <si>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</si>
  <si>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</si>
  <si>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</si>
  <si>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</si>
  <si>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</si>
  <si>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</si>
  <si>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</si>
  <si>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</si>
  <si>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</si>
  <si>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</si>
  <si>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</si>
  <si>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</si>
  <si>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</si>
  <si>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</si>
  <si>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</si>
  <si>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</si>
  <si>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</si>
  <si>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</si>
  <si>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</si>
  <si>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</si>
  <si>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</si>
  <si>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</si>
  <si>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</si>
  <si>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</si>
  <si>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</si>
  <si>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</si>
  <si>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</si>
  <si>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</si>
  <si>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</si>
  <si>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</si>
  <si>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</si>
  <si>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</si>
  <si>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</si>
  <si>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</si>
  <si>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</si>
  <si>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</si>
  <si>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</si>
  <si>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</si>
  <si>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</si>
  <si>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</si>
  <si>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</si>
  <si>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</si>
  <si>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</si>
  <si>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</si>
  <si>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</si>
  <si>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</si>
  <si>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</si>
  <si>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</si>
  <si>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</si>
  <si>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</si>
  <si>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</si>
  <si>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</si>
  <si>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</si>
  <si>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</si>
  <si>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</si>
  <si>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</si>
  <si>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</si>
  <si>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</si>
  <si>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</si>
  <si>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</si>
  <si>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</si>
  <si>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</si>
  <si>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</si>
  <si>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</si>
  <si>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</si>
  <si>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</si>
  <si>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</si>
  <si>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</si>
  <si>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</si>
  <si>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</si>
  <si>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</si>
  <si>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</si>
  <si>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</si>
  <si>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</si>
  <si>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</si>
  <si>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</si>
  <si>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</si>
  <si>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</si>
  <si>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</si>
  <si>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</si>
  <si>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</si>
  <si>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</si>
  <si>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</si>
  <si>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</si>
  <si>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</si>
  <si>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</si>
  <si>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</si>
  <si>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</si>
  <si>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</si>
  <si>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</si>
  <si>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</si>
  <si>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</si>
  <si>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</si>
  <si>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</si>
  <si>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</si>
  <si>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</si>
  <si>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</si>
  <si>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</si>
  <si>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</si>
  <si>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</si>
  <si>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</si>
  <si>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</si>
  <si>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</si>
  <si>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</si>
  <si>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</si>
  <si>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</si>
  <si>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</si>
  <si>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 (মোঃ গোলাম খোরশেদ)   </t>
  </si>
  <si>
    <t xml:space="preserve"> অতিরিক্ত পরিচালক (বাণিজ্যিক)</t>
  </si>
  <si>
    <t>২৯-০৬-২০২৬ তারিখে মূল্য হ্রাস পেয়েছে।</t>
  </si>
  <si>
    <t>০২-০৭-২০২৬ তারিখে মূল্য হ্রাস পেয়েছে।</t>
  </si>
  <si>
    <t>০৫-০৭-২০২৬ তারিখে মূল্য বৃদ্ধি পেয়েছে।</t>
  </si>
  <si>
    <t>০৫-০৭-২০২৬ তারিখে মূল্য হ্রাস পেয়েছে।</t>
  </si>
  <si>
    <t>০৬-০৭-২০২৬ তারিখে মূল্য বৃদ্ধি পেয়েছে।</t>
  </si>
  <si>
    <t>০৬-০৭-২০২৬ তারিখে মূল্য হ্রাস পেয়েছে।</t>
  </si>
  <si>
    <t>(২)    সয়াবিন লুজ, রশুন (দেশী), মুরগী ব্রয়লার, কাঁচামরিচ, শসা   এর মূল্য বৃদ্ধি পেয়েছে।</t>
  </si>
  <si>
    <t>(১)    চাল (সরু, মোটা), আটা (খোলা), রশুন (আম), লেবু, বেগুন  এর মূল্য হ্রাস পেয়েছে।</t>
  </si>
  <si>
    <t xml:space="preserve">নং-২৬.০৫.০০০০.০১৭.৩১.০১.২৬-৫২৬                                                                                                           তারিখঃ ০৭-০৭-২০২৬ </t>
  </si>
  <si>
    <t xml:space="preserve">মঙ্গলবার ০৭ জুলাই ২০২৬ খ্রিঃ, ২৩ আষাঢ় ১৪৩৩ বাংলা, ২১ মহরম ১৪৪৮ হিজরি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</si>
  <si>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১৬৩</t>
  </si>
  <si>
    <t>০৭-০৭-২০২৬ তারিখে মূল্য হ্রাস পেয়েছে।</t>
  </si>
  <si>
    <t>০৭-০৭-২০২৬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</si>
</sst>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8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0"/>
  <sheetViews>
    <sheetView tabSelected="1" topLeftCell="A83" zoomScale="93" zoomScaleNormal="93" workbookViewId="0">
      <selection activeCell="B82" sqref="B82:L82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77" t="s">
        <v>119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8">
      <c r="A2" s="78" t="s">
        <v>120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8">
      <c r="A3" s="79" t="s">
        <v>134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</row>
    <row r="4" spans="1:18">
      <c r="A4" s="80" t="s">
        <v>133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P4" s="56"/>
      <c r="Q4" s="56"/>
      <c r="R4" s="56"/>
    </row>
    <row r="5" spans="1:18">
      <c r="A5" s="81" t="s">
        <v>132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P5" s="57"/>
      <c r="Q5" s="58"/>
    </row>
    <row r="6" spans="1:18" s="29" customFormat="1">
      <c r="A6" s="82" t="s">
        <v>1</v>
      </c>
      <c r="B6" s="82" t="s">
        <v>2</v>
      </c>
      <c r="C6" s="71" t="s">
        <v>3</v>
      </c>
      <c r="D6" s="72"/>
      <c r="E6" s="71" t="s">
        <v>4</v>
      </c>
      <c r="F6" s="72"/>
      <c r="G6" s="71" t="s">
        <v>5</v>
      </c>
      <c r="H6" s="72"/>
      <c r="I6" s="26" t="s">
        <v>6</v>
      </c>
      <c r="J6" s="71" t="s">
        <v>7</v>
      </c>
      <c r="K6" s="72"/>
      <c r="L6" s="28" t="s">
        <v>8</v>
      </c>
      <c r="M6" s="53"/>
    </row>
    <row r="7" spans="1:18" s="29" customFormat="1">
      <c r="A7" s="83"/>
      <c r="B7" s="83"/>
      <c r="C7" s="86">
        <v>46210</v>
      </c>
      <c r="D7" s="87"/>
      <c r="E7" s="86">
        <v>46203</v>
      </c>
      <c r="F7" s="87"/>
      <c r="G7" s="86">
        <v>46180</v>
      </c>
      <c r="H7" s="87"/>
      <c r="I7" s="26" t="s">
        <v>9</v>
      </c>
      <c r="J7" s="84">
        <v>45845</v>
      </c>
      <c r="K7" s="85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31" t="s">
        <v>10</v>
      </c>
      <c r="H8" s="31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70</v>
      </c>
      <c r="D9" s="41">
        <v>85</v>
      </c>
      <c r="E9" s="41">
        <v>72</v>
      </c>
      <c r="F9" s="41">
        <v>85</v>
      </c>
      <c r="G9" s="41">
        <v>70</v>
      </c>
      <c r="H9" s="41">
        <v>85</v>
      </c>
      <c r="I9" s="50">
        <f>((C9+D9)/2-(G9+H9)/2)/((G9+H9)/2)*100</f>
        <v>0</v>
      </c>
      <c r="J9" s="60">
        <v>75</v>
      </c>
      <c r="K9" s="60">
        <v>85</v>
      </c>
      <c r="L9" s="51">
        <f>((C9+D9)/2-(J9+K9)/2)/((J9+K9)/2)*100</f>
        <v>-3.125</v>
      </c>
      <c r="M9" s="53">
        <f>((C9+D9)/2-(E9+F9)/2)/((E9+F9)/2)*100</f>
        <v>-1.2738853503184715</v>
      </c>
    </row>
    <row r="10" spans="1:18" s="29" customFormat="1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41">
        <v>54</v>
      </c>
      <c r="H10" s="41">
        <v>68</v>
      </c>
      <c r="I10" s="50">
        <f>((C10+D10)/2-(G10+H10)/2)/((G10+H10)/2)*100</f>
        <v>0.81967213114754101</v>
      </c>
      <c r="J10" s="60">
        <v>60</v>
      </c>
      <c r="K10" s="60">
        <v>70</v>
      </c>
      <c r="L10" s="51">
        <f>((C10+D10)/2-(J10+K10)/2)/((J10+K10)/2)*100</f>
        <v>-5.384615384615385</v>
      </c>
      <c r="M10" s="53">
        <f t="shared" ref="M10:M70" si="0">((C10+D10)/2-(E10+F10)/2)/((E10+F10)/2)*100</f>
        <v>0</v>
      </c>
    </row>
    <row r="11" spans="1:18" s="29" customFormat="1">
      <c r="A11" s="47" t="s">
        <v>15</v>
      </c>
      <c r="B11" s="48" t="s">
        <v>14</v>
      </c>
      <c r="C11" s="41">
        <v>48</v>
      </c>
      <c r="D11" s="41">
        <v>60</v>
      </c>
      <c r="E11" s="41">
        <v>50</v>
      </c>
      <c r="F11" s="41">
        <v>60</v>
      </c>
      <c r="G11" s="41">
        <v>50</v>
      </c>
      <c r="H11" s="41">
        <v>60</v>
      </c>
      <c r="I11" s="50">
        <f>((C11+D11)/2-(G11+H11)/2)/((G11+H11)/2)*100</f>
        <v>-1.8181818181818181</v>
      </c>
      <c r="J11" s="60">
        <v>55</v>
      </c>
      <c r="K11" s="60">
        <v>60</v>
      </c>
      <c r="L11" s="51">
        <f>((C11+D11)/2-(J11+K11)/2)/((J11+K11)/2)*100</f>
        <v>-6.0869565217391308</v>
      </c>
      <c r="M11" s="53">
        <f t="shared" si="0"/>
        <v>-1.8181818181818181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42"/>
      <c r="H12" s="42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40</v>
      </c>
      <c r="D13" s="41">
        <v>45</v>
      </c>
      <c r="E13" s="41">
        <v>45</v>
      </c>
      <c r="F13" s="41">
        <v>46</v>
      </c>
      <c r="G13" s="41">
        <v>40</v>
      </c>
      <c r="H13" s="41">
        <v>46</v>
      </c>
      <c r="I13" s="50">
        <f>((C13+D13)/2-(G13+H13)/2)/((G13+H13)/2)*100</f>
        <v>-1.1627906976744187</v>
      </c>
      <c r="J13" s="60">
        <v>40</v>
      </c>
      <c r="K13" s="60">
        <v>45</v>
      </c>
      <c r="L13" s="51">
        <f>((C13+D13)/2-(J13+K13)/2)/((J13+K13)/2)*100</f>
        <v>0</v>
      </c>
      <c r="M13" s="53">
        <f t="shared" si="0"/>
        <v>-6.593406593406594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41">
        <v>55</v>
      </c>
      <c r="H14" s="41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41">
        <v>55</v>
      </c>
      <c r="H15" s="41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41">
        <v>60</v>
      </c>
      <c r="H16" s="41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42" t="s">
        <v>0</v>
      </c>
      <c r="H17" s="42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188</v>
      </c>
      <c r="D18" s="41">
        <v>195</v>
      </c>
      <c r="E18" s="43">
        <v>186</v>
      </c>
      <c r="F18" s="41">
        <v>192</v>
      </c>
      <c r="G18" s="43">
        <v>185</v>
      </c>
      <c r="H18" s="41">
        <v>195</v>
      </c>
      <c r="I18" s="50">
        <f t="shared" ref="I18:I24" si="1">((C18+D18)/2-(G18+H18)/2)/((G18+H18)/2)*100</f>
        <v>0.78947368421052633</v>
      </c>
      <c r="J18" s="60">
        <v>160</v>
      </c>
      <c r="K18" s="60">
        <v>170</v>
      </c>
      <c r="L18" s="51">
        <f t="shared" ref="L18:L24" si="2">((C18+D18)/2-(J18+K18)/2)/((J18+K18)/2)*100</f>
        <v>16.060606060606062</v>
      </c>
      <c r="M18" s="53">
        <f t="shared" si="0"/>
        <v>1.3227513227513228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41">
        <v>975</v>
      </c>
      <c r="H19" s="41">
        <v>975</v>
      </c>
      <c r="I19" s="50">
        <f t="shared" si="1"/>
        <v>0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41">
        <v>398</v>
      </c>
      <c r="H20" s="41">
        <v>398</v>
      </c>
      <c r="I20" s="50">
        <f t="shared" si="1"/>
        <v>0</v>
      </c>
      <c r="J20" s="60">
        <v>370</v>
      </c>
      <c r="K20" s="60">
        <v>378</v>
      </c>
      <c r="L20" s="51">
        <f t="shared" si="2"/>
        <v>6.4171122994652414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41">
        <v>199</v>
      </c>
      <c r="H21" s="41">
        <v>199</v>
      </c>
      <c r="I21" s="50">
        <f t="shared" si="1"/>
        <v>0</v>
      </c>
      <c r="J21" s="60">
        <v>185</v>
      </c>
      <c r="K21" s="60">
        <v>190</v>
      </c>
      <c r="L21" s="51">
        <f t="shared" si="2"/>
        <v>6.1333333333333329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41">
        <v>165</v>
      </c>
      <c r="H22" s="41">
        <v>170</v>
      </c>
      <c r="I22" s="50">
        <f t="shared" si="1"/>
        <v>0</v>
      </c>
      <c r="J22" s="60">
        <v>147</v>
      </c>
      <c r="K22" s="60">
        <v>155</v>
      </c>
      <c r="L22" s="51">
        <f t="shared" si="2"/>
        <v>10.927152317880795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41">
        <v>170</v>
      </c>
      <c r="H23" s="41">
        <v>175</v>
      </c>
      <c r="I23" s="50">
        <f t="shared" si="1"/>
        <v>0</v>
      </c>
      <c r="J23" s="60">
        <v>152</v>
      </c>
      <c r="K23" s="60">
        <v>160</v>
      </c>
      <c r="L23" s="51">
        <f t="shared" si="2"/>
        <v>10.576923076923077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41">
        <v>1030</v>
      </c>
      <c r="H24" s="41">
        <v>1140</v>
      </c>
      <c r="I24" s="50">
        <f t="shared" si="1"/>
        <v>0</v>
      </c>
      <c r="J24" s="60">
        <v>1030</v>
      </c>
      <c r="K24" s="60">
        <v>1050</v>
      </c>
      <c r="L24" s="51">
        <f t="shared" si="2"/>
        <v>4.3269230769230766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44"/>
      <c r="H25" s="44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41">
        <v>90</v>
      </c>
      <c r="H26" s="41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41">
        <v>115</v>
      </c>
      <c r="H27" s="41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41">
        <v>150</v>
      </c>
      <c r="H28" s="41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41">
        <v>130</v>
      </c>
      <c r="H29" s="41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41">
        <v>60</v>
      </c>
      <c r="H30" s="41">
        <v>75</v>
      </c>
      <c r="I30" s="50">
        <f t="shared" si="3"/>
        <v>0</v>
      </c>
      <c r="J30" s="60">
        <v>70</v>
      </c>
      <c r="K30" s="60">
        <v>80</v>
      </c>
      <c r="L30" s="51">
        <f t="shared" si="4"/>
        <v>-10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41">
        <v>85</v>
      </c>
      <c r="H31" s="41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>
      <c r="A32" s="47" t="s">
        <v>100</v>
      </c>
      <c r="B32" s="48" t="s">
        <v>14</v>
      </c>
      <c r="C32" s="41">
        <v>25</v>
      </c>
      <c r="D32" s="41">
        <v>30</v>
      </c>
      <c r="E32" s="41">
        <v>25</v>
      </c>
      <c r="F32" s="41">
        <v>30</v>
      </c>
      <c r="G32" s="41">
        <v>20</v>
      </c>
      <c r="H32" s="41">
        <v>25</v>
      </c>
      <c r="I32" s="50">
        <f t="shared" si="3"/>
        <v>22.222222222222221</v>
      </c>
      <c r="J32" s="60">
        <v>20</v>
      </c>
      <c r="K32" s="60">
        <v>28</v>
      </c>
      <c r="L32" s="51">
        <f t="shared" si="4"/>
        <v>14.583333333333334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44"/>
      <c r="H33" s="44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35</v>
      </c>
      <c r="D34" s="43">
        <v>45</v>
      </c>
      <c r="E34" s="43">
        <v>35</v>
      </c>
      <c r="F34" s="43">
        <v>45</v>
      </c>
      <c r="G34" s="43">
        <v>40</v>
      </c>
      <c r="H34" s="43">
        <v>45</v>
      </c>
      <c r="I34" s="50">
        <f t="shared" ref="I34:I49" si="5">((C34+D34)/2-(G34+H34)/2)/((G34+H34)/2)*100</f>
        <v>-5.8823529411764701</v>
      </c>
      <c r="J34" s="60">
        <v>55</v>
      </c>
      <c r="K34" s="60">
        <v>60</v>
      </c>
      <c r="L34" s="51">
        <f t="shared" ref="L34:L49" si="6">((C34+D34)/2-(J34+K34)/2)/((J34+K34)/2)*100</f>
        <v>-30.434782608695656</v>
      </c>
      <c r="M34" s="53">
        <f>((C34+D34)/2-(E34+F34)/2)/((E34+F34)/2)*100</f>
        <v>0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90</v>
      </c>
      <c r="D36" s="41">
        <v>140</v>
      </c>
      <c r="E36" s="41">
        <v>80</v>
      </c>
      <c r="F36" s="41">
        <v>140</v>
      </c>
      <c r="G36" s="41">
        <v>70</v>
      </c>
      <c r="H36" s="41">
        <v>140</v>
      </c>
      <c r="I36" s="50">
        <f t="shared" si="5"/>
        <v>9.5238095238095237</v>
      </c>
      <c r="J36" s="60">
        <v>100</v>
      </c>
      <c r="K36" s="60">
        <v>140</v>
      </c>
      <c r="L36" s="51">
        <f t="shared" si="6"/>
        <v>-4.1666666666666661</v>
      </c>
      <c r="M36" s="53">
        <f t="shared" si="0"/>
        <v>4.5454545454545459</v>
      </c>
    </row>
    <row r="37" spans="1:13" s="52" customFormat="1">
      <c r="A37" s="47" t="s">
        <v>41</v>
      </c>
      <c r="B37" s="48" t="s">
        <v>14</v>
      </c>
      <c r="C37" s="43">
        <v>120</v>
      </c>
      <c r="D37" s="41">
        <v>200</v>
      </c>
      <c r="E37" s="43">
        <v>120</v>
      </c>
      <c r="F37" s="41">
        <v>210</v>
      </c>
      <c r="G37" s="43">
        <v>140</v>
      </c>
      <c r="H37" s="41">
        <v>220</v>
      </c>
      <c r="I37" s="50">
        <f t="shared" si="5"/>
        <v>-11.111111111111111</v>
      </c>
      <c r="J37" s="60">
        <v>150</v>
      </c>
      <c r="K37" s="60">
        <v>200</v>
      </c>
      <c r="L37" s="51">
        <f t="shared" si="6"/>
        <v>-8.5714285714285712</v>
      </c>
      <c r="M37" s="53">
        <f t="shared" si="0"/>
        <v>-3.0303030303030303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41">
        <v>340</v>
      </c>
      <c r="H38" s="41">
        <v>380</v>
      </c>
      <c r="I38" s="50">
        <f t="shared" si="5"/>
        <v>-5.5555555555555554</v>
      </c>
      <c r="J38" s="60">
        <v>220</v>
      </c>
      <c r="K38" s="60">
        <v>350</v>
      </c>
      <c r="L38" s="51">
        <f t="shared" si="6"/>
        <v>19.298245614035086</v>
      </c>
      <c r="M38" s="53">
        <f t="shared" si="0"/>
        <v>0</v>
      </c>
    </row>
    <row r="39" spans="1:13" s="52" customFormat="1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43">
        <v>420</v>
      </c>
      <c r="H39" s="43">
        <v>450</v>
      </c>
      <c r="I39" s="50">
        <f t="shared" si="5"/>
        <v>-4.5977011494252871</v>
      </c>
      <c r="J39" s="60">
        <v>300</v>
      </c>
      <c r="K39" s="60">
        <v>450</v>
      </c>
      <c r="L39" s="51">
        <f t="shared" si="6"/>
        <v>10.666666666666668</v>
      </c>
      <c r="M39" s="53">
        <f t="shared" si="0"/>
        <v>0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41">
        <v>280</v>
      </c>
      <c r="H40" s="41">
        <v>350</v>
      </c>
      <c r="I40" s="50">
        <f t="shared" si="5"/>
        <v>6.3492063492063489</v>
      </c>
      <c r="J40" s="60">
        <v>300</v>
      </c>
      <c r="K40" s="60">
        <v>400</v>
      </c>
      <c r="L40" s="51">
        <f t="shared" si="6"/>
        <v>-4.2857142857142856</v>
      </c>
      <c r="M40" s="53">
        <f t="shared" si="0"/>
        <v>0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350</v>
      </c>
      <c r="G41" s="41">
        <v>250</v>
      </c>
      <c r="H41" s="41">
        <v>400</v>
      </c>
      <c r="I41" s="50">
        <f t="shared" si="5"/>
        <v>0</v>
      </c>
      <c r="J41" s="60">
        <v>280</v>
      </c>
      <c r="K41" s="60">
        <v>420</v>
      </c>
      <c r="L41" s="51">
        <f t="shared" si="6"/>
        <v>-7.1428571428571423</v>
      </c>
      <c r="M41" s="53">
        <f t="shared" si="0"/>
        <v>0</v>
      </c>
    </row>
    <row r="42" spans="1:13" s="52" customFormat="1">
      <c r="A42" s="47" t="s">
        <v>46</v>
      </c>
      <c r="B42" s="48" t="s">
        <v>14</v>
      </c>
      <c r="C42" s="41">
        <v>130</v>
      </c>
      <c r="D42" s="41">
        <v>160</v>
      </c>
      <c r="E42" s="41">
        <v>130</v>
      </c>
      <c r="F42" s="41">
        <v>160</v>
      </c>
      <c r="G42" s="41">
        <v>140</v>
      </c>
      <c r="H42" s="41">
        <v>150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>
      <c r="A43" s="47" t="s">
        <v>47</v>
      </c>
      <c r="B43" s="48" t="s">
        <v>14</v>
      </c>
      <c r="C43" s="41">
        <v>120</v>
      </c>
      <c r="D43" s="41">
        <v>180</v>
      </c>
      <c r="E43" s="41">
        <v>120</v>
      </c>
      <c r="F43" s="41">
        <v>180</v>
      </c>
      <c r="G43" s="41">
        <v>150</v>
      </c>
      <c r="H43" s="41">
        <v>250</v>
      </c>
      <c r="I43" s="50">
        <f t="shared" si="5"/>
        <v>-25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0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43">
        <v>600</v>
      </c>
      <c r="H44" s="41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41">
        <v>500</v>
      </c>
      <c r="H45" s="41">
        <v>600</v>
      </c>
      <c r="I45" s="50">
        <f t="shared" si="5"/>
        <v>0</v>
      </c>
      <c r="J45" s="60">
        <v>500</v>
      </c>
      <c r="K45" s="60">
        <v>600</v>
      </c>
      <c r="L45" s="51">
        <f t="shared" si="6"/>
        <v>0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41">
        <v>1400</v>
      </c>
      <c r="H46" s="41">
        <v>1600</v>
      </c>
      <c r="I46" s="50">
        <f t="shared" si="5"/>
        <v>0</v>
      </c>
      <c r="J46" s="60">
        <v>1400</v>
      </c>
      <c r="K46" s="60">
        <v>1600</v>
      </c>
      <c r="L46" s="51">
        <f t="shared" si="6"/>
        <v>0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43">
        <v>4600</v>
      </c>
      <c r="H47" s="41">
        <v>5500</v>
      </c>
      <c r="I47" s="50">
        <f t="shared" si="5"/>
        <v>0</v>
      </c>
      <c r="J47" s="60">
        <v>4200</v>
      </c>
      <c r="K47" s="60">
        <v>5200</v>
      </c>
      <c r="L47" s="51">
        <f t="shared" si="6"/>
        <v>7.4468085106382977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41">
        <v>180</v>
      </c>
      <c r="H48" s="41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41">
        <v>180</v>
      </c>
      <c r="H49" s="41">
        <v>220</v>
      </c>
      <c r="I49" s="50">
        <f t="shared" si="5"/>
        <v>0</v>
      </c>
      <c r="J49" s="60">
        <v>150</v>
      </c>
      <c r="K49" s="60">
        <v>220</v>
      </c>
      <c r="L49" s="51">
        <f t="shared" si="6"/>
        <v>8.1081081081081088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44"/>
      <c r="H50" s="44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41">
        <v>300</v>
      </c>
      <c r="H51" s="41">
        <v>450</v>
      </c>
      <c r="I51" s="50">
        <f t="shared" ref="I51:I56" si="7">((C51+D51)/2-(G51+H51)/2)/((G51+H51)/2)*100</f>
        <v>0</v>
      </c>
      <c r="J51" s="60">
        <v>280</v>
      </c>
      <c r="K51" s="60">
        <v>450</v>
      </c>
      <c r="L51" s="51">
        <f t="shared" ref="L51:L56" si="8">((C51+D51)/2-(J51+K51)/2)/((J51+K51)/2)*100</f>
        <v>2.7397260273972601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41">
        <v>800</v>
      </c>
      <c r="H52" s="41">
        <v>1800</v>
      </c>
      <c r="I52" s="50">
        <f t="shared" si="7"/>
        <v>0</v>
      </c>
      <c r="J52" s="60">
        <v>900</v>
      </c>
      <c r="K52" s="60">
        <v>2000</v>
      </c>
      <c r="L52" s="51">
        <f t="shared" si="8"/>
        <v>-10.344827586206897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41">
        <v>780</v>
      </c>
      <c r="H53" s="41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41">
        <v>1200</v>
      </c>
      <c r="H54" s="41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>
      <c r="A55" s="47" t="s">
        <v>57</v>
      </c>
      <c r="B55" s="48" t="s">
        <v>14</v>
      </c>
      <c r="C55" s="41">
        <v>180</v>
      </c>
      <c r="D55" s="41">
        <v>190</v>
      </c>
      <c r="E55" s="41">
        <v>160</v>
      </c>
      <c r="F55" s="41">
        <v>180</v>
      </c>
      <c r="G55" s="41">
        <v>180</v>
      </c>
      <c r="H55" s="41">
        <v>200</v>
      </c>
      <c r="I55" s="50">
        <f t="shared" si="7"/>
        <v>-2.6315789473684208</v>
      </c>
      <c r="J55" s="60">
        <v>150</v>
      </c>
      <c r="K55" s="60">
        <v>170</v>
      </c>
      <c r="L55" s="51">
        <f t="shared" si="8"/>
        <v>15.625</v>
      </c>
      <c r="M55" s="53">
        <f t="shared" si="0"/>
        <v>8.8235294117647065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41">
        <v>600</v>
      </c>
      <c r="H56" s="41">
        <v>750</v>
      </c>
      <c r="I56" s="50">
        <f t="shared" si="7"/>
        <v>0</v>
      </c>
      <c r="J56" s="60">
        <v>580</v>
      </c>
      <c r="K56" s="60">
        <v>700</v>
      </c>
      <c r="L56" s="51">
        <f t="shared" si="8"/>
        <v>5.46875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45"/>
      <c r="H57" s="45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830</v>
      </c>
      <c r="D58" s="41">
        <v>900</v>
      </c>
      <c r="E58" s="41">
        <v>830</v>
      </c>
      <c r="F58" s="41">
        <v>900</v>
      </c>
      <c r="G58" s="41">
        <v>720</v>
      </c>
      <c r="H58" s="41">
        <v>860</v>
      </c>
      <c r="I58" s="50">
        <f>((C58+D58)/2-(G59+H59)/2)/((G59+H59)/2)*100</f>
        <v>-2.2598870056497176</v>
      </c>
      <c r="J58" s="60">
        <v>720</v>
      </c>
      <c r="K58" s="60">
        <v>860</v>
      </c>
      <c r="L58" s="51">
        <f>((C58+D58)/2-(J59+K59)/2)/((J59+K59)/2)*100</f>
        <v>-1.1428571428571428</v>
      </c>
      <c r="M58" s="53">
        <f t="shared" si="0"/>
        <v>0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41">
        <v>850</v>
      </c>
      <c r="H59" s="41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41">
        <v>830</v>
      </c>
      <c r="H60" s="41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41">
        <v>830</v>
      </c>
      <c r="H61" s="41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68"/>
      <c r="H62" s="68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68"/>
      <c r="H63" s="68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68"/>
      <c r="H64" s="68"/>
      <c r="I64" s="4"/>
      <c r="J64" s="3"/>
      <c r="K64" s="3"/>
      <c r="L64" s="5"/>
    </row>
    <row r="65" spans="1:13">
      <c r="A65" s="82" t="s">
        <v>1</v>
      </c>
      <c r="B65" s="82" t="s">
        <v>2</v>
      </c>
      <c r="C65" s="71" t="s">
        <v>3</v>
      </c>
      <c r="D65" s="72"/>
      <c r="E65" s="71" t="s">
        <v>4</v>
      </c>
      <c r="F65" s="72"/>
      <c r="G65" s="71" t="s">
        <v>5</v>
      </c>
      <c r="H65" s="72"/>
      <c r="I65" s="26" t="s">
        <v>6</v>
      </c>
      <c r="J65" s="71" t="s">
        <v>7</v>
      </c>
      <c r="K65" s="72"/>
      <c r="L65" s="26" t="s">
        <v>8</v>
      </c>
    </row>
    <row r="66" spans="1:13" ht="18" customHeight="1">
      <c r="A66" s="83"/>
      <c r="B66" s="83"/>
      <c r="C66" s="86">
        <v>46210</v>
      </c>
      <c r="D66" s="87"/>
      <c r="E66" s="86">
        <v>46203</v>
      </c>
      <c r="F66" s="87"/>
      <c r="G66" s="86">
        <v>46180</v>
      </c>
      <c r="H66" s="87"/>
      <c r="I66" s="26" t="s">
        <v>9</v>
      </c>
      <c r="J66" s="84">
        <v>45845</v>
      </c>
      <c r="K66" s="85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31" t="s">
        <v>10</v>
      </c>
      <c r="H67" s="31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41">
        <v>105</v>
      </c>
      <c r="H68" s="41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41">
        <v>350</v>
      </c>
      <c r="H69" s="41">
        <v>550</v>
      </c>
      <c r="I69" s="50">
        <f>((C69+D69)/2-(G69+H69)/2)/((G69+H69)/2)*100</f>
        <v>0</v>
      </c>
      <c r="J69" s="60">
        <v>250</v>
      </c>
      <c r="K69" s="60">
        <v>550</v>
      </c>
      <c r="L69" s="51">
        <f t="shared" si="9"/>
        <v>12.5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41">
        <v>38</v>
      </c>
      <c r="H70" s="41">
        <v>42</v>
      </c>
      <c r="I70" s="50">
        <f t="shared" ref="I70" si="10">((C70+D70)/2-(G72+H72)/2)/((G72+H72)/2)*100</f>
        <v>-60</v>
      </c>
      <c r="J70" s="60">
        <v>38</v>
      </c>
      <c r="K70" s="60">
        <v>42</v>
      </c>
      <c r="L70" s="51">
        <f t="shared" si="9"/>
        <v>0</v>
      </c>
      <c r="M70" s="53">
        <f t="shared" si="0"/>
        <v>0</v>
      </c>
    </row>
    <row r="71" spans="1:13" s="53" customFormat="1" ht="19.5">
      <c r="A71" s="47" t="s">
        <v>104</v>
      </c>
      <c r="B71" s="54" t="s">
        <v>69</v>
      </c>
      <c r="C71" s="41">
        <v>20</v>
      </c>
      <c r="D71" s="41">
        <v>25</v>
      </c>
      <c r="E71" s="41">
        <v>20</v>
      </c>
      <c r="F71" s="41">
        <v>30</v>
      </c>
      <c r="G71" s="41">
        <v>20</v>
      </c>
      <c r="H71" s="41">
        <v>40</v>
      </c>
      <c r="I71" s="50">
        <f t="shared" ref="I71:I78" si="11">((C71+D71)/2-(G71+H71)/2)/((G71+H71)/2)*100</f>
        <v>-25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-10</v>
      </c>
    </row>
    <row r="72" spans="1:13" s="53" customFormat="1" ht="19.5">
      <c r="A72" s="47" t="s">
        <v>105</v>
      </c>
      <c r="B72" s="54" t="s">
        <v>14</v>
      </c>
      <c r="C72" s="41">
        <v>80</v>
      </c>
      <c r="D72" s="41">
        <v>140</v>
      </c>
      <c r="E72" s="41">
        <v>80</v>
      </c>
      <c r="F72" s="41">
        <v>120</v>
      </c>
      <c r="G72" s="41">
        <v>80</v>
      </c>
      <c r="H72" s="41">
        <v>120</v>
      </c>
      <c r="I72" s="50">
        <f t="shared" si="11"/>
        <v>10</v>
      </c>
      <c r="J72" s="49">
        <v>60</v>
      </c>
      <c r="K72" s="49">
        <v>120</v>
      </c>
      <c r="L72" s="51">
        <f t="shared" si="9"/>
        <v>22.222222222222221</v>
      </c>
      <c r="M72" s="53">
        <f t="shared" si="12"/>
        <v>10</v>
      </c>
    </row>
    <row r="73" spans="1:13" s="53" customFormat="1" ht="19.5">
      <c r="A73" s="47" t="s">
        <v>106</v>
      </c>
      <c r="B73" s="54" t="s">
        <v>14</v>
      </c>
      <c r="C73" s="41">
        <v>60</v>
      </c>
      <c r="D73" s="41">
        <v>90</v>
      </c>
      <c r="E73" s="41">
        <v>80</v>
      </c>
      <c r="F73" s="41">
        <v>90</v>
      </c>
      <c r="G73" s="41">
        <v>80</v>
      </c>
      <c r="H73" s="41">
        <v>110</v>
      </c>
      <c r="I73" s="50">
        <f t="shared" si="11"/>
        <v>-21.052631578947366</v>
      </c>
      <c r="J73" s="49">
        <v>60</v>
      </c>
      <c r="K73" s="49">
        <v>100</v>
      </c>
      <c r="L73" s="51">
        <f t="shared" si="9"/>
        <v>-6.25</v>
      </c>
      <c r="M73" s="53">
        <f t="shared" si="12"/>
        <v>-11.76470588235294</v>
      </c>
    </row>
    <row r="74" spans="1:13" s="53" customFormat="1" ht="19.5">
      <c r="A74" s="47" t="s">
        <v>107</v>
      </c>
      <c r="B74" s="54" t="s">
        <v>14</v>
      </c>
      <c r="C74" s="41">
        <v>60</v>
      </c>
      <c r="D74" s="41">
        <v>80</v>
      </c>
      <c r="E74" s="41">
        <v>50</v>
      </c>
      <c r="F74" s="41">
        <v>80</v>
      </c>
      <c r="G74" s="41">
        <v>50</v>
      </c>
      <c r="H74" s="41">
        <v>80</v>
      </c>
      <c r="I74" s="50">
        <f t="shared" si="11"/>
        <v>7.6923076923076925</v>
      </c>
      <c r="J74" s="49">
        <v>50</v>
      </c>
      <c r="K74" s="49">
        <v>80</v>
      </c>
      <c r="L74" s="51">
        <f t="shared" si="9"/>
        <v>7.6923076923076925</v>
      </c>
      <c r="M74" s="53">
        <f t="shared" si="12"/>
        <v>7.6923076923076925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46">
        <v>45</v>
      </c>
      <c r="H75" s="46">
        <v>50</v>
      </c>
      <c r="I75" s="50">
        <f t="shared" si="11"/>
        <v>0</v>
      </c>
      <c r="J75" s="64">
        <v>38</v>
      </c>
      <c r="K75" s="64">
        <v>46</v>
      </c>
      <c r="L75" s="51">
        <f t="shared" si="9"/>
        <v>13.095238095238097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46">
        <v>34</v>
      </c>
      <c r="H76" s="46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41">
        <v>85000</v>
      </c>
      <c r="H77" s="41">
        <v>90000</v>
      </c>
      <c r="I77" s="50">
        <f t="shared" si="11"/>
        <v>2.8571428571428572</v>
      </c>
      <c r="J77" s="60">
        <v>85000</v>
      </c>
      <c r="K77" s="60">
        <v>91500</v>
      </c>
      <c r="L77" s="51">
        <f t="shared" si="9"/>
        <v>1.9830028328611897</v>
      </c>
      <c r="M77" s="53">
        <f t="shared" si="12"/>
        <v>0</v>
      </c>
    </row>
    <row r="78" spans="1:13" s="53" customFormat="1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41">
        <v>81000</v>
      </c>
      <c r="H78" s="46">
        <v>83000</v>
      </c>
      <c r="I78" s="50">
        <f t="shared" si="11"/>
        <v>2.1341463414634148</v>
      </c>
      <c r="J78" s="60">
        <v>78000</v>
      </c>
      <c r="K78" s="64">
        <v>82500</v>
      </c>
      <c r="L78" s="51">
        <f t="shared" si="9"/>
        <v>4.361370716510903</v>
      </c>
      <c r="M78" s="53">
        <f t="shared" si="12"/>
        <v>0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6" t="s">
        <v>131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</row>
    <row r="82" spans="1:12">
      <c r="A82" s="7"/>
      <c r="B82" s="76" t="s">
        <v>130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71" t="s">
        <v>3</v>
      </c>
      <c r="D85" s="72"/>
      <c r="E85" s="73" t="s">
        <v>78</v>
      </c>
      <c r="F85" s="74"/>
      <c r="G85" s="27" t="s">
        <v>9</v>
      </c>
      <c r="H85" s="71" t="s">
        <v>79</v>
      </c>
      <c r="I85" s="75"/>
      <c r="J85" s="72"/>
      <c r="K85" s="10"/>
      <c r="L85" s="2"/>
    </row>
    <row r="86" spans="1:12">
      <c r="A86" s="47" t="s">
        <v>13</v>
      </c>
      <c r="B86" s="48" t="s">
        <v>14</v>
      </c>
      <c r="C86" s="41">
        <v>70</v>
      </c>
      <c r="D86" s="41">
        <v>85</v>
      </c>
      <c r="E86" s="41">
        <v>72</v>
      </c>
      <c r="F86" s="41">
        <v>85</v>
      </c>
      <c r="G86" s="32">
        <f t="shared" ref="G86:G87" si="13">((C86+D86)/2-(E86+F86)/2)/((E86+F86)/2)*100</f>
        <v>-1.2738853503184715</v>
      </c>
      <c r="H86" s="71" t="s">
        <v>129</v>
      </c>
      <c r="I86" s="75"/>
      <c r="J86" s="72"/>
      <c r="K86" s="10"/>
      <c r="L86" s="2"/>
    </row>
    <row r="87" spans="1:12">
      <c r="A87" s="47" t="s">
        <v>15</v>
      </c>
      <c r="B87" s="48" t="s">
        <v>14</v>
      </c>
      <c r="C87" s="41">
        <v>48</v>
      </c>
      <c r="D87" s="41">
        <v>60</v>
      </c>
      <c r="E87" s="41">
        <v>50</v>
      </c>
      <c r="F87" s="41">
        <v>60</v>
      </c>
      <c r="G87" s="32">
        <f t="shared" si="13"/>
        <v>-1.8181818181818181</v>
      </c>
      <c r="H87" s="71" t="s">
        <v>129</v>
      </c>
      <c r="I87" s="75"/>
      <c r="J87" s="72"/>
      <c r="K87" s="10"/>
      <c r="L87" s="2"/>
    </row>
    <row r="88" spans="1:12">
      <c r="A88" s="47" t="s">
        <v>17</v>
      </c>
      <c r="B88" s="48" t="s">
        <v>14</v>
      </c>
      <c r="C88" s="41">
        <v>40</v>
      </c>
      <c r="D88" s="41">
        <v>45</v>
      </c>
      <c r="E88" s="41">
        <v>45</v>
      </c>
      <c r="F88" s="41">
        <v>46</v>
      </c>
      <c r="G88" s="32">
        <f t="shared" ref="G88:G89" si="14">((C88+D88)/2-(E88+F88)/2)/((E88+F88)/2)*100</f>
        <v>-6.593406593406594</v>
      </c>
      <c r="H88" s="71" t="s">
        <v>127</v>
      </c>
      <c r="I88" s="75"/>
      <c r="J88" s="72"/>
      <c r="K88" s="10"/>
      <c r="L88" s="2"/>
    </row>
    <row r="89" spans="1:12">
      <c r="A89" s="47" t="s">
        <v>23</v>
      </c>
      <c r="B89" s="48" t="s">
        <v>24</v>
      </c>
      <c r="C89" s="43">
        <v>188</v>
      </c>
      <c r="D89" s="41">
        <v>195</v>
      </c>
      <c r="E89" s="43">
        <v>186</v>
      </c>
      <c r="F89" s="41">
        <v>192</v>
      </c>
      <c r="G89" s="32">
        <f t="shared" si="14"/>
        <v>1.3227513227513228</v>
      </c>
      <c r="H89" s="71" t="s">
        <v>126</v>
      </c>
      <c r="I89" s="75"/>
      <c r="J89" s="72"/>
      <c r="K89" s="10"/>
      <c r="L89" s="2"/>
    </row>
    <row r="90" spans="1:12">
      <c r="A90" s="47" t="s">
        <v>40</v>
      </c>
      <c r="B90" s="48" t="s">
        <v>14</v>
      </c>
      <c r="C90" s="41">
        <v>90</v>
      </c>
      <c r="D90" s="41">
        <v>140</v>
      </c>
      <c r="E90" s="41">
        <v>80</v>
      </c>
      <c r="F90" s="41">
        <v>140</v>
      </c>
      <c r="G90" s="32">
        <f t="shared" ref="G90:G96" si="15">((C90+D90)/2-(E90+F90)/2)/((E90+F90)/2)*100</f>
        <v>4.5454545454545459</v>
      </c>
      <c r="H90" s="71" t="s">
        <v>128</v>
      </c>
      <c r="I90" s="75"/>
      <c r="J90" s="72"/>
      <c r="K90" s="10"/>
      <c r="L90" s="2"/>
    </row>
    <row r="91" spans="1:12">
      <c r="A91" s="47" t="s">
        <v>41</v>
      </c>
      <c r="B91" s="48" t="s">
        <v>14</v>
      </c>
      <c r="C91" s="43">
        <v>120</v>
      </c>
      <c r="D91" s="41">
        <v>200</v>
      </c>
      <c r="E91" s="43">
        <v>120</v>
      </c>
      <c r="F91" s="41">
        <v>210</v>
      </c>
      <c r="G91" s="32">
        <f t="shared" si="15"/>
        <v>-3.0303030303030303</v>
      </c>
      <c r="H91" s="71" t="s">
        <v>124</v>
      </c>
      <c r="I91" s="75"/>
      <c r="J91" s="72"/>
      <c r="K91" s="10"/>
      <c r="L91" s="2"/>
    </row>
    <row r="92" spans="1:12">
      <c r="A92" s="47" t="s">
        <v>57</v>
      </c>
      <c r="B92" s="48" t="s">
        <v>14</v>
      </c>
      <c r="C92" s="41">
        <v>180</v>
      </c>
      <c r="D92" s="41">
        <v>190</v>
      </c>
      <c r="E92" s="41">
        <v>160</v>
      </c>
      <c r="F92" s="41">
        <v>180</v>
      </c>
      <c r="G92" s="32">
        <f t="shared" si="15"/>
        <v>8.8235294117647065</v>
      </c>
      <c r="H92" s="71" t="s">
        <v>136</v>
      </c>
      <c r="I92" s="75"/>
      <c r="J92" s="72"/>
      <c r="K92" s="10"/>
      <c r="L92" s="2"/>
    </row>
    <row r="93" spans="1:12">
      <c r="A93" s="47" t="s">
        <v>104</v>
      </c>
      <c r="B93" s="54" t="s">
        <v>69</v>
      </c>
      <c r="C93" s="41">
        <v>20</v>
      </c>
      <c r="D93" s="41">
        <v>25</v>
      </c>
      <c r="E93" s="41">
        <v>20</v>
      </c>
      <c r="F93" s="41">
        <v>30</v>
      </c>
      <c r="G93" s="32">
        <f t="shared" si="15"/>
        <v>-10</v>
      </c>
      <c r="H93" s="71" t="s">
        <v>125</v>
      </c>
      <c r="I93" s="75"/>
      <c r="J93" s="72"/>
      <c r="K93" s="10"/>
      <c r="L93" s="2"/>
    </row>
    <row r="94" spans="1:12">
      <c r="A94" s="47" t="s">
        <v>105</v>
      </c>
      <c r="B94" s="54" t="s">
        <v>14</v>
      </c>
      <c r="C94" s="41">
        <v>80</v>
      </c>
      <c r="D94" s="41">
        <v>140</v>
      </c>
      <c r="E94" s="41">
        <v>80</v>
      </c>
      <c r="F94" s="41">
        <v>120</v>
      </c>
      <c r="G94" s="32">
        <f t="shared" si="15"/>
        <v>10</v>
      </c>
      <c r="H94" s="71" t="s">
        <v>136</v>
      </c>
      <c r="I94" s="75"/>
      <c r="J94" s="72"/>
      <c r="K94" s="10"/>
      <c r="L94" s="2"/>
    </row>
    <row r="95" spans="1:12">
      <c r="A95" s="47" t="s">
        <v>106</v>
      </c>
      <c r="B95" s="54" t="s">
        <v>14</v>
      </c>
      <c r="C95" s="41">
        <v>60</v>
      </c>
      <c r="D95" s="41">
        <v>90</v>
      </c>
      <c r="E95" s="41">
        <v>80</v>
      </c>
      <c r="F95" s="41">
        <v>90</v>
      </c>
      <c r="G95" s="32">
        <f t="shared" si="15"/>
        <v>-11.76470588235294</v>
      </c>
      <c r="H95" s="71" t="s">
        <v>135</v>
      </c>
      <c r="I95" s="75"/>
      <c r="J95" s="72"/>
      <c r="K95" s="10"/>
      <c r="L95" s="55"/>
    </row>
    <row r="96" spans="1:12">
      <c r="A96" s="47" t="s">
        <v>107</v>
      </c>
      <c r="B96" s="54" t="s">
        <v>14</v>
      </c>
      <c r="C96" s="41">
        <v>60</v>
      </c>
      <c r="D96" s="41">
        <v>80</v>
      </c>
      <c r="E96" s="41">
        <v>50</v>
      </c>
      <c r="F96" s="41">
        <v>80</v>
      </c>
      <c r="G96" s="32">
        <f t="shared" si="15"/>
        <v>7.6923076923076925</v>
      </c>
      <c r="H96" s="71" t="s">
        <v>126</v>
      </c>
      <c r="I96" s="75"/>
      <c r="J96" s="72"/>
      <c r="K96" s="10"/>
      <c r="L96" s="12"/>
    </row>
    <row r="97" spans="1:12">
      <c r="A97" s="66"/>
      <c r="B97" s="67"/>
      <c r="C97" s="68"/>
      <c r="D97" s="69"/>
      <c r="E97" s="68"/>
      <c r="F97" s="69"/>
      <c r="G97" s="70"/>
      <c r="H97" s="7"/>
      <c r="I97" s="1"/>
      <c r="J97" s="1"/>
      <c r="K97" s="10"/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4" t="s">
        <v>114</v>
      </c>
      <c r="C99" s="2"/>
      <c r="E99" s="7"/>
      <c r="F99" s="14" t="s">
        <v>102</v>
      </c>
      <c r="G99" s="2"/>
      <c r="I99" s="15"/>
      <c r="J99" s="1" t="s">
        <v>122</v>
      </c>
      <c r="K99" s="2"/>
      <c r="L99" s="12"/>
    </row>
    <row r="100" spans="1:12">
      <c r="A100" s="16"/>
      <c r="B100" s="14" t="s">
        <v>113</v>
      </c>
      <c r="C100" s="1"/>
      <c r="E100" s="16"/>
      <c r="F100" s="14" t="s">
        <v>103</v>
      </c>
      <c r="G100" s="1"/>
      <c r="I100" s="17"/>
      <c r="J100" s="1" t="s">
        <v>123</v>
      </c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"/>
      <c r="C102" s="3"/>
      <c r="D102" s="3"/>
      <c r="E102" s="3"/>
      <c r="F102" s="3"/>
      <c r="G102" s="4"/>
      <c r="H102" s="18"/>
      <c r="I102" s="12"/>
      <c r="J102" s="12"/>
      <c r="K102" s="12"/>
      <c r="L102" s="12"/>
    </row>
    <row r="103" spans="1:12">
      <c r="A103" s="7"/>
      <c r="C103" s="6"/>
      <c r="D103" s="6"/>
      <c r="E103" s="1"/>
      <c r="F103" s="6"/>
      <c r="G103" s="4"/>
      <c r="H103" s="18"/>
      <c r="I103" s="12"/>
      <c r="J103" s="12"/>
      <c r="K103" s="12"/>
      <c r="L103" s="12"/>
    </row>
    <row r="104" spans="1:12">
      <c r="A104" s="19" t="s">
        <v>86</v>
      </c>
      <c r="B104" s="20"/>
      <c r="C104" s="21"/>
      <c r="D104" s="20"/>
      <c r="E104" s="21"/>
      <c r="F104" s="21"/>
      <c r="G104" s="21"/>
      <c r="H104" s="22"/>
      <c r="I104" s="2"/>
      <c r="J104" s="2"/>
      <c r="K104" s="2"/>
      <c r="L104" s="2"/>
    </row>
    <row r="105" spans="1:12">
      <c r="A105" s="23" t="s">
        <v>115</v>
      </c>
      <c r="B105" s="20"/>
      <c r="C105" s="21"/>
      <c r="D105" s="20"/>
      <c r="E105" s="21"/>
      <c r="F105" s="21"/>
      <c r="G105" s="20"/>
      <c r="H105" s="22"/>
      <c r="I105" s="2"/>
      <c r="J105" s="2"/>
      <c r="K105" s="2"/>
      <c r="L105" s="2"/>
    </row>
    <row r="106" spans="1:12">
      <c r="A106" s="23" t="s">
        <v>108</v>
      </c>
      <c r="B106" s="20"/>
      <c r="C106" s="20"/>
      <c r="D106" s="20"/>
      <c r="E106" s="20"/>
      <c r="F106" s="21"/>
      <c r="G106" s="20"/>
      <c r="H106" s="22"/>
      <c r="I106" s="2"/>
      <c r="J106" s="2"/>
      <c r="K106" s="2"/>
      <c r="L106" s="2"/>
    </row>
    <row r="107" spans="1:12">
      <c r="A107" s="23" t="s">
        <v>80</v>
      </c>
      <c r="B107" s="20"/>
      <c r="C107" s="20"/>
      <c r="D107" s="20"/>
      <c r="E107" s="20"/>
      <c r="F107" s="22"/>
      <c r="G107" s="22"/>
      <c r="H107" s="22"/>
      <c r="I107" s="2"/>
      <c r="J107" s="2"/>
      <c r="K107" s="2"/>
      <c r="L107" s="2"/>
    </row>
    <row r="108" spans="1:12">
      <c r="A108" s="23" t="s">
        <v>109</v>
      </c>
      <c r="B108" s="20"/>
      <c r="C108" s="20"/>
      <c r="D108" s="20"/>
      <c r="E108" s="20"/>
      <c r="F108" s="20"/>
      <c r="G108" s="22"/>
      <c r="H108" s="22"/>
      <c r="I108" s="2"/>
      <c r="J108" s="2"/>
      <c r="K108" s="2"/>
      <c r="L108" s="2"/>
    </row>
    <row r="109" spans="1:12">
      <c r="A109" s="23" t="s">
        <v>89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>
      <c r="A110" s="23" t="s">
        <v>95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>
      <c r="A111" s="23" t="s">
        <v>88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>
      <c r="A112" s="23" t="s">
        <v>87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>
      <c r="A113" s="23" t="s">
        <v>81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90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116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91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>
      <c r="A117" s="23" t="s">
        <v>92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>
      <c r="A118" s="23" t="s">
        <v>110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>
      <c r="A119" s="23"/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>
      <c r="A120" s="19" t="s">
        <v>82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>
      <c r="A121" s="23" t="s">
        <v>83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>
      <c r="A122" s="23" t="s">
        <v>117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>
      <c r="A123" s="23" t="s">
        <v>118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>
      <c r="A124" s="23" t="s">
        <v>99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440" spans="2:2">
      <c r="B440" s="11" t="s">
        <v>112</v>
      </c>
    </row>
  </sheetData>
  <mergeCells count="41">
    <mergeCell ref="H96:J96"/>
    <mergeCell ref="H89:J89"/>
    <mergeCell ref="H88:J88"/>
    <mergeCell ref="H90:J90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B81:L81"/>
    <mergeCell ref="H95:J9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5:D85"/>
    <mergeCell ref="E85:F85"/>
    <mergeCell ref="H85:J85"/>
    <mergeCell ref="B82:L82"/>
    <mergeCell ref="H94:J94"/>
    <mergeCell ref="H91:J91"/>
    <mergeCell ref="H93:J93"/>
    <mergeCell ref="H92:J92"/>
    <mergeCell ref="H86:J86"/>
    <mergeCell ref="H87:J8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2026-07-07T09:03:09Z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