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2AA100EF-8A9B-4FD8-B3E6-165AED2933B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9" i="4" l="1"/>
  <c r="G91" i="4"/>
  <c r="G87" i="4" l="1"/>
  <c r="G85" i="4"/>
  <c r="G86" i="4"/>
  <c r="G88" i="4"/>
  <c r="G92" i="4"/>
  <c r="G90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<sst xmlns="http://schemas.openxmlformats.org/spreadsheetml/2006/main" count="235" uniqueCount="130">
  <si>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</si>
  <si>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</si>
  <si>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</si>
  <si>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</si>
  <si>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</si>
  <si>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</si>
  <si>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</si>
  <si>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</si>
  <si>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</si>
  <si>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</si>
  <si>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</si>
  <si>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</si>
  <si>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</si>
  <si>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</si>
  <si>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</si>
  <si>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</si>
  <si>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</si>
  <si>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</si>
  <si>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</si>
  <si>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</si>
  <si>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</si>
  <si>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</si>
  <si>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</si>
  <si>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</si>
  <si>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</si>
  <si>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</si>
  <si>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</si>
  <si>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</si>
  <si>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</si>
  <si>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</si>
  <si>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</si>
  <si>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</si>
  <si>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</si>
  <si>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</si>
  <si>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</si>
  <si>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</si>
  <si>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</si>
  <si>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</si>
  <si>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</si>
  <si>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</si>
  <si>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</si>
  <si>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</si>
  <si>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</si>
  <si>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</si>
  <si>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</si>
  <si>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</si>
  <si>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</si>
  <si>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</si>
  <si>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</si>
  <si>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</si>
  <si>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</si>
  <si>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</si>
  <si>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</si>
  <si>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</si>
  <si>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</si>
  <si>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</si>
  <si>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</si>
  <si>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</si>
  <si>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</si>
  <si>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</si>
  <si>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</si>
  <si>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</si>
  <si>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</si>
  <si>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</si>
  <si>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</si>
  <si>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</si>
  <si>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</si>
  <si>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</si>
  <si>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</si>
  <si>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</si>
  <si>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</si>
  <si>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</si>
  <si>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</si>
  <si>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</si>
  <si>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</si>
  <si>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</si>
  <si>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</si>
  <si>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</si>
  <si>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</si>
  <si>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</si>
  <si>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</si>
  <si>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</si>
  <si>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</si>
  <si>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</si>
  <si>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</si>
  <si>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</si>
  <si>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</si>
  <si>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</si>
  <si>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</si>
  <si>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</si>
  <si>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</si>
  <si>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</si>
  <si>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</si>
  <si>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</si>
  <si>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</si>
  <si>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</si>
  <si>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</si>
  <si>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</si>
  <si>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</si>
  <si>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</si>
  <si>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</si>
  <si>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</si>
  <si>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</si>
  <si>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</si>
  <si>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</si>
  <si>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</si>
  <si>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</si>
  <si>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</si>
  <si>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</si>
  <si>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</si>
  <si>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</si>
  <si>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</si>
  <si>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</si>
  <si>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</si>
  <si>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</si>
  <si>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</si>
  <si>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</si>
  <si>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১৯-০১-২০২৬ তারিখে মূল্য হ্রাস পেয়েছে।</t>
  </si>
  <si>
    <t>২০-০১-২০২৬ তারিখে মূল্য হ্রাস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</si>
  <si>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</si>
  <si>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</si>
  <si>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২৫-০১-২০২৬ তারিখে মূল্য হ্রাস পেয়েছে।</t>
  </si>
  <si>
    <t>স্মারক নং-২৬.০৫.০০০০.০১৭.৩১.০১.২৬-০৮৫</t>
  </si>
  <si>
    <t xml:space="preserve">সোমবার ২৬ জানুয়ারী ২০২৬ খ্রিঃ, ১২ মাঘ ১৪৩২ বাংলা, ০৬ শাবান ১৪৪৭ হিজরি </t>
  </si>
  <si>
    <t xml:space="preserve">   সিরিয়াল নংঃ     ০২৬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</si>
  <si>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রামপুরা, নিউমার্কেট বাজার।   </t>
  </si>
  <si>
    <t>২৬-০১-২০২৬ তারিখে মূল্য বৃদ্ধি পেয়েছে।</t>
  </si>
  <si>
    <t>২৬-০১-২০২৬ তারিখে মূল্য হ্রাস পেয়েছে।</t>
  </si>
  <si>
    <t>(১)   সয়াবিন তেল (১লি:, ২লি:, ৫লি: বোতল), আলু, হলুদ (আম), মুরগী ব্রয়লার, চিনি    এর মূল্য হ্রাস পেয়েছে।</t>
  </si>
  <si>
    <t>(২)  পেঁয়াজ (আম)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</si>
</sst>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9"/>
  <sheetViews>
    <sheetView tabSelected="1" topLeftCell="A79" zoomScale="106" zoomScaleNormal="106" workbookViewId="0">
      <selection activeCell="B81" sqref="B81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124</v>
      </c>
      <c r="L6" s="88"/>
    </row>
    <row r="7" spans="1:12" ht="19.5" customHeight="1">
      <c r="A7" s="17"/>
      <c r="B7" s="8"/>
      <c r="C7" s="8"/>
      <c r="D7" s="17"/>
      <c r="E7" s="8"/>
      <c r="F7" s="8" t="s">
        <v>123</v>
      </c>
      <c r="G7" s="8"/>
      <c r="H7" s="8"/>
      <c r="I7" s="8"/>
      <c r="J7" s="8"/>
      <c r="K7" s="8"/>
      <c r="L7" s="49"/>
    </row>
    <row r="8" spans="1:12" ht="21.75">
      <c r="A8" s="20" t="s">
        <v>122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46048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46048</v>
      </c>
      <c r="D10" s="88"/>
      <c r="E10" s="89">
        <v>46041</v>
      </c>
      <c r="F10" s="88"/>
      <c r="G10" s="89">
        <v>46017</v>
      </c>
      <c r="H10" s="88"/>
      <c r="I10" s="26" t="s">
        <v>12</v>
      </c>
      <c r="J10" s="89">
        <v>45683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60</v>
      </c>
      <c r="K13" s="29">
        <v>65</v>
      </c>
      <c r="L13" s="31">
        <f>((C13+D13)/2-(J13+K13)/2)/((J13+K13)/2)*100</f>
        <v>0.8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58</v>
      </c>
      <c r="L14" s="31">
        <f>((C14+D14)/2-(J14+K14)/2)/((J14+K14)/2)*100</f>
        <v>-1.7857142857142856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170</v>
      </c>
      <c r="K21" s="29">
        <v>173</v>
      </c>
      <c r="L21" s="31">
        <f t="shared" ref="L21:L27" si="1">((C21+D21)/2-(J21+K21)/2)/((J21+K21)/2)*100</f>
        <v>4.9562682215743443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965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390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198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148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-1.2738853503184715</v>
      </c>
      <c r="J25" s="29">
        <v>155</v>
      </c>
      <c r="K25" s="29">
        <v>158</v>
      </c>
      <c r="L25" s="31">
        <f t="shared" si="1"/>
        <v>-0.95846645367412142</v>
      </c>
    </row>
    <row r="26" spans="1:12" ht="21.75">
      <c r="A26" s="69" t="s">
        <v>104</v>
      </c>
      <c r="B26" s="6" t="s">
        <v>28</v>
      </c>
      <c r="C26" s="29">
        <v>155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0</v>
      </c>
      <c r="J26" s="29">
        <v>159</v>
      </c>
      <c r="K26" s="29">
        <v>162</v>
      </c>
      <c r="L26" s="31">
        <f t="shared" si="1"/>
        <v>-0.3115264797507788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165</v>
      </c>
      <c r="I31" s="30">
        <f t="shared" si="2"/>
        <v>-1.5873015873015872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75</v>
      </c>
      <c r="I33" s="30">
        <f t="shared" si="2"/>
        <v>-8</v>
      </c>
      <c r="J33" s="29">
        <v>65</v>
      </c>
      <c r="K33" s="29">
        <v>80</v>
      </c>
      <c r="L33" s="31">
        <f t="shared" si="3"/>
        <v>-20.689655172413794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.75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35</v>
      </c>
      <c r="G35" s="29">
        <v>20</v>
      </c>
      <c r="H35" s="29">
        <v>30</v>
      </c>
      <c r="I35" s="30">
        <f t="shared" si="2"/>
        <v>-10</v>
      </c>
      <c r="J35" s="29">
        <v>20</v>
      </c>
      <c r="K35" s="29">
        <v>40</v>
      </c>
      <c r="L35" s="31">
        <f t="shared" si="3"/>
        <v>-25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40</v>
      </c>
      <c r="D37" s="29">
        <v>70</v>
      </c>
      <c r="E37" s="29">
        <v>40</v>
      </c>
      <c r="F37" s="29">
        <v>70</v>
      </c>
      <c r="G37" s="29">
        <v>60</v>
      </c>
      <c r="H37" s="29">
        <v>140</v>
      </c>
      <c r="I37" s="30">
        <f t="shared" ref="I37:I52" si="4">((C37+D37)/2-(G37+H37)/2)/((G37+H37)/2)*100</f>
        <v>-45</v>
      </c>
      <c r="J37" s="29">
        <v>40</v>
      </c>
      <c r="K37" s="29">
        <v>60</v>
      </c>
      <c r="L37" s="31">
        <f t="shared" ref="L37:L52" si="5">((C37+D37)/2-(J37+K37)/2)/((J37+K37)/2)*100</f>
        <v>10</v>
      </c>
    </row>
    <row r="38" spans="1:12" ht="21.75">
      <c r="A38" s="69" t="s">
        <v>43</v>
      </c>
      <c r="B38" s="6" t="s">
        <v>18</v>
      </c>
      <c r="C38" s="29">
        <v>70</v>
      </c>
      <c r="D38" s="29">
        <v>80</v>
      </c>
      <c r="E38" s="29">
        <v>60</v>
      </c>
      <c r="F38" s="29">
        <v>80</v>
      </c>
      <c r="G38" s="29">
        <v>100</v>
      </c>
      <c r="H38" s="29">
        <v>110</v>
      </c>
      <c r="I38" s="30">
        <f t="shared" si="4"/>
        <v>-28.571428571428569</v>
      </c>
      <c r="J38" s="29">
        <v>45</v>
      </c>
      <c r="K38" s="29">
        <v>70</v>
      </c>
      <c r="L38" s="31">
        <f t="shared" si="5"/>
        <v>30.434782608695656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.75">
      <c r="A40" s="69" t="s">
        <v>45</v>
      </c>
      <c r="B40" s="6" t="s">
        <v>18</v>
      </c>
      <c r="C40" s="29">
        <v>160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0</v>
      </c>
      <c r="J40" s="29">
        <v>220</v>
      </c>
      <c r="K40" s="29">
        <v>240</v>
      </c>
      <c r="L40" s="31">
        <f t="shared" si="5"/>
        <v>-21.739130434782609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420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150</v>
      </c>
      <c r="H45" s="29">
        <v>200</v>
      </c>
      <c r="I45" s="30">
        <f t="shared" si="4"/>
        <v>-2.8571428571428572</v>
      </c>
      <c r="J45" s="29">
        <v>200</v>
      </c>
      <c r="K45" s="29">
        <v>250</v>
      </c>
      <c r="L45" s="31">
        <f t="shared" si="5"/>
        <v>-24.444444444444443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240</v>
      </c>
      <c r="L46" s="31">
        <f t="shared" si="5"/>
        <v>8.8235294117647065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1800</v>
      </c>
      <c r="L49" s="31">
        <f t="shared" si="5"/>
        <v>-7.8125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160</v>
      </c>
      <c r="K52" s="29">
        <v>220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250</v>
      </c>
      <c r="K54" s="29">
        <v>450</v>
      </c>
      <c r="L54" s="31">
        <f t="shared" ref="L54:L59" si="7">((C54+D54)/2-(J54+K54)/2)/((J54+K54)/2)*100</f>
        <v>7.1428571428571423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800</v>
      </c>
      <c r="H55" s="29">
        <v>1800</v>
      </c>
      <c r="I55" s="30">
        <f t="shared" si="6"/>
        <v>42.307692307692307</v>
      </c>
      <c r="J55" s="29">
        <v>650</v>
      </c>
      <c r="K55" s="29">
        <v>1600</v>
      </c>
      <c r="L55" s="31">
        <f t="shared" si="7"/>
        <v>64.444444444444443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160</v>
      </c>
      <c r="D58" s="29">
        <v>180</v>
      </c>
      <c r="E58" s="29">
        <v>165</v>
      </c>
      <c r="F58" s="29">
        <v>180</v>
      </c>
      <c r="G58" s="29">
        <v>150</v>
      </c>
      <c r="H58" s="29">
        <v>170</v>
      </c>
      <c r="I58" s="30">
        <f t="shared" si="6"/>
        <v>6.25</v>
      </c>
      <c r="J58" s="29">
        <v>190</v>
      </c>
      <c r="K58" s="29">
        <v>210</v>
      </c>
      <c r="L58" s="31">
        <f t="shared" si="7"/>
        <v>-15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46048</v>
      </c>
      <c r="D69" s="88"/>
      <c r="E69" s="89">
        <v>46041</v>
      </c>
      <c r="F69" s="88"/>
      <c r="G69" s="89">
        <v>46017</v>
      </c>
      <c r="H69" s="88"/>
      <c r="I69" s="26" t="s">
        <v>12</v>
      </c>
      <c r="J69" s="89">
        <v>45683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110</v>
      </c>
      <c r="G71" s="29">
        <v>95</v>
      </c>
      <c r="H71" s="29">
        <v>100</v>
      </c>
      <c r="I71" s="30">
        <f>((C71+D71)/2-(G71+H71)/2)/((G71+H71)/2)*100</f>
        <v>4.1025641025641022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250</v>
      </c>
      <c r="K72" s="29">
        <v>500</v>
      </c>
      <c r="L72" s="31">
        <f t="shared" si="8"/>
        <v>-2.666666666666667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45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-2.4691358024691357</v>
      </c>
      <c r="J74" s="37">
        <v>44</v>
      </c>
      <c r="K74" s="37">
        <v>48</v>
      </c>
      <c r="L74" s="31">
        <f t="shared" si="8"/>
        <v>-14.130434782608695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91500</v>
      </c>
      <c r="K76" s="29">
        <v>92200</v>
      </c>
      <c r="L76" s="31">
        <f t="shared" si="8"/>
        <v>-9.9074578116494276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88000</v>
      </c>
      <c r="K77" s="37">
        <v>89500</v>
      </c>
      <c r="L77" s="31">
        <f t="shared" si="8"/>
        <v>-13.239436619718308</v>
      </c>
    </row>
    <row r="78" spans="1:12" ht="23.25" customHeight="1">
      <c r="A78" s="90" t="s">
        <v>125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128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129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29</v>
      </c>
      <c r="B85" s="6" t="s">
        <v>30</v>
      </c>
      <c r="C85" s="29">
        <v>920</v>
      </c>
      <c r="D85" s="29">
        <v>955</v>
      </c>
      <c r="E85" s="29">
        <v>920</v>
      </c>
      <c r="F85" s="29">
        <v>965</v>
      </c>
      <c r="G85" s="7">
        <f>((C85+D85)/2-(E85+F85)/2)/((E85+F85)/2)*100</f>
        <v>-0.53050397877984079</v>
      </c>
      <c r="H85" s="5" t="s">
        <v>117</v>
      </c>
      <c r="I85" s="6"/>
      <c r="J85" s="6"/>
      <c r="K85" s="50"/>
      <c r="L85" s="17"/>
    </row>
    <row r="86" spans="1:12" ht="21.75">
      <c r="A86" s="69" t="s">
        <v>29</v>
      </c>
      <c r="B86" s="6" t="s">
        <v>31</v>
      </c>
      <c r="C86" s="29">
        <v>385</v>
      </c>
      <c r="D86" s="29">
        <v>395</v>
      </c>
      <c r="E86" s="29">
        <v>390</v>
      </c>
      <c r="F86" s="29">
        <v>395</v>
      </c>
      <c r="G86" s="7">
        <f>((C86+D86)/2-(E86+F86)/2)/((E86+F86)/2)*100</f>
        <v>-0.63694267515923575</v>
      </c>
      <c r="H86" s="5" t="s">
        <v>127</v>
      </c>
      <c r="I86" s="6"/>
      <c r="J86" s="6"/>
      <c r="K86" s="50"/>
      <c r="L86" s="17"/>
    </row>
    <row r="87" spans="1:12" ht="21.75">
      <c r="A87" s="69" t="s">
        <v>29</v>
      </c>
      <c r="B87" s="6" t="s">
        <v>32</v>
      </c>
      <c r="C87" s="29">
        <v>190</v>
      </c>
      <c r="D87" s="29">
        <v>195</v>
      </c>
      <c r="E87" s="29">
        <v>190</v>
      </c>
      <c r="F87" s="29">
        <v>198</v>
      </c>
      <c r="G87" s="7">
        <f>((C87+D87)/2-(E87+F87)/2)/((E87+F87)/2)*100</f>
        <v>-0.77319587628865982</v>
      </c>
      <c r="H87" s="5" t="s">
        <v>117</v>
      </c>
      <c r="I87" s="6"/>
      <c r="J87" s="6"/>
      <c r="K87" s="50"/>
      <c r="L87" s="17"/>
    </row>
    <row r="88" spans="1:12" ht="21.75">
      <c r="A88" s="69" t="s">
        <v>113</v>
      </c>
      <c r="B88" s="6" t="s">
        <v>18</v>
      </c>
      <c r="C88" s="29">
        <v>20</v>
      </c>
      <c r="D88" s="29">
        <v>25</v>
      </c>
      <c r="E88" s="29">
        <v>20</v>
      </c>
      <c r="F88" s="29">
        <v>35</v>
      </c>
      <c r="G88" s="7">
        <f>((C88+D88)/2-(E88+F88)/2)/((E88+F88)/2)*100</f>
        <v>-18.181818181818183</v>
      </c>
      <c r="H88" s="5" t="s">
        <v>121</v>
      </c>
      <c r="I88" s="6"/>
      <c r="J88" s="6"/>
      <c r="K88" s="50"/>
      <c r="L88" s="17"/>
    </row>
    <row r="89" spans="1:12" ht="21.75">
      <c r="A89" s="69" t="s">
        <v>43</v>
      </c>
      <c r="B89" s="6" t="s">
        <v>18</v>
      </c>
      <c r="C89" s="29">
        <v>70</v>
      </c>
      <c r="D89" s="29">
        <v>80</v>
      </c>
      <c r="E89" s="29">
        <v>60</v>
      </c>
      <c r="F89" s="29">
        <v>80</v>
      </c>
      <c r="G89" s="7">
        <f t="shared" ref="G89:G90" si="10">((C89+D89)/2-(E89+F89)/2)/((E89+F89)/2)*100</f>
        <v>7.1428571428571423</v>
      </c>
      <c r="H89" s="5" t="s">
        <v>126</v>
      </c>
      <c r="I89" s="6"/>
      <c r="J89" s="6"/>
      <c r="K89" s="50"/>
      <c r="L89" s="17"/>
    </row>
    <row r="90" spans="1:12" ht="21.75">
      <c r="A90" s="69" t="s">
        <v>49</v>
      </c>
      <c r="B90" s="6" t="s">
        <v>18</v>
      </c>
      <c r="C90" s="29">
        <v>280</v>
      </c>
      <c r="D90" s="29">
        <v>400</v>
      </c>
      <c r="E90" s="29">
        <v>280</v>
      </c>
      <c r="F90" s="29">
        <v>420</v>
      </c>
      <c r="G90" s="7">
        <f t="shared" si="10"/>
        <v>-2.8571428571428572</v>
      </c>
      <c r="H90" s="5" t="s">
        <v>118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160</v>
      </c>
      <c r="D91" s="29">
        <v>180</v>
      </c>
      <c r="E91" s="29">
        <v>165</v>
      </c>
      <c r="F91" s="29">
        <v>180</v>
      </c>
      <c r="G91" s="7">
        <f>((C91+D91)/2-(E91+F91)/2)/((E91+F91)/2)*100</f>
        <v>-1.4492753623188406</v>
      </c>
      <c r="H91" s="5" t="s">
        <v>121</v>
      </c>
      <c r="I91" s="6"/>
      <c r="J91" s="6"/>
      <c r="K91" s="50"/>
      <c r="L91" s="17"/>
    </row>
    <row r="92" spans="1:12" ht="24.75">
      <c r="A92" s="69" t="s">
        <v>70</v>
      </c>
      <c r="B92" s="6" t="s">
        <v>18</v>
      </c>
      <c r="C92" s="29">
        <v>98</v>
      </c>
      <c r="D92" s="29">
        <v>105</v>
      </c>
      <c r="E92" s="29">
        <v>98</v>
      </c>
      <c r="F92" s="29">
        <v>110</v>
      </c>
      <c r="G92" s="7">
        <f>((C92+D92)/2-(E92+F92)/2)/((E92+F92)/2)*100</f>
        <v>-2.4038461538461542</v>
      </c>
      <c r="H92" s="5" t="s">
        <v>121</v>
      </c>
      <c r="I92" s="6"/>
      <c r="J92" s="6"/>
      <c r="K92" s="40"/>
      <c r="L92" s="11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41"/>
      <c r="B96" s="42" t="s">
        <v>115</v>
      </c>
      <c r="C96" s="10"/>
      <c r="E96" s="84"/>
      <c r="F96" s="85"/>
      <c r="G96" s="86"/>
      <c r="I96" s="12"/>
      <c r="J96" s="13" t="s">
        <v>119</v>
      </c>
      <c r="K96" s="10"/>
    </row>
    <row r="97" spans="1:12" ht="24.75">
      <c r="A97" s="43"/>
      <c r="B97" s="42" t="s">
        <v>116</v>
      </c>
      <c r="C97" s="13"/>
      <c r="E97" s="43"/>
      <c r="F97" s="85"/>
      <c r="G97" s="86"/>
      <c r="I97" s="76"/>
      <c r="J97" s="13" t="s">
        <v>120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2026-01-26T08:42:18Z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