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8_{AF57AD60-EED3-4C96-BD40-BD67C457F8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4" l="1"/>
  <c r="G98" i="4"/>
  <c r="G95" i="4"/>
  <c r="G91" i="4"/>
  <c r="G90" i="4"/>
  <c r="G89" i="4"/>
  <c r="G88" i="4"/>
  <c r="G92" i="4"/>
  <c r="G94" i="4"/>
  <c r="G93" i="4"/>
  <c r="G96" i="4"/>
  <c r="G87" i="4"/>
  <c r="G97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<sst xmlns="http://schemas.openxmlformats.org/spreadsheetml/2006/main" count="260" uniqueCount="136">
  <si>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</si>
  <si>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</si>
  <si>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</si>
  <si>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</si>
  <si>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</si>
  <si>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</si>
  <si>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</si>
  <si>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</si>
  <si>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</si>
  <si>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</si>
  <si>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</si>
  <si>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</si>
  <si>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</si>
  <si>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</si>
  <si>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</si>
  <si>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</si>
  <si>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</si>
  <si>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</si>
  <si>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</si>
  <si>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</si>
  <si>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</si>
  <si>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</si>
  <si>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</si>
  <si>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</si>
  <si>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</si>
  <si>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</si>
  <si>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</si>
  <si>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</si>
  <si>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</si>
  <si>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</si>
  <si>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</si>
  <si>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</si>
  <si>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</si>
  <si>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</si>
  <si>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</si>
  <si>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</si>
  <si>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</si>
  <si>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</si>
  <si>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</si>
  <si>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</si>
  <si>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</si>
  <si>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</si>
  <si>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</si>
  <si>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</si>
  <si>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</si>
  <si>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</si>
  <si>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</si>
  <si>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</si>
  <si>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</si>
  <si>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</si>
  <si>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</si>
  <si>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</si>
  <si>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</si>
  <si>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</si>
  <si>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</si>
  <si>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</si>
  <si>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</si>
  <si>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</si>
  <si>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</si>
  <si>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</si>
  <si>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</si>
  <si>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</si>
  <si>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</si>
  <si>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</si>
  <si>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</si>
  <si>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</si>
  <si>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</si>
  <si>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</si>
  <si>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</si>
  <si>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</si>
  <si>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</si>
  <si>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</si>
  <si>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</si>
  <si>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</si>
  <si>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</si>
  <si>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</si>
  <si>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</si>
  <si>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</si>
  <si>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</si>
  <si>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</si>
  <si>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</si>
  <si>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</si>
  <si>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</si>
  <si>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</si>
  <si>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</si>
  <si>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</si>
  <si>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</si>
  <si>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</si>
  <si>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</si>
  <si>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</si>
  <si>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</si>
  <si>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</si>
  <si>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</si>
  <si>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</si>
  <si>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</si>
  <si>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</si>
  <si>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</si>
  <si>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</si>
  <si>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</si>
  <si>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</si>
  <si>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</si>
  <si>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</si>
  <si>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</si>
  <si>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</si>
  <si>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</si>
  <si>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</si>
  <si>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</si>
  <si>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</si>
  <si>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</si>
  <si>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</si>
  <si>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</si>
  <si>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</si>
  <si>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</si>
  <si>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</si>
  <si>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</si>
  <si>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</si>
  <si>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</si>
  <si>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</si>
  <si>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</si>
  <si>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</si>
  <si>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</si>
  <si>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</si>
  <si>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</si>
  <si>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</si>
  <si>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০৩-০৫-২০২৬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</si>
  <si>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</si>
  <si>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</si>
  <si>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০৪-০৫-২০২৬ তারিখে মূল্য বৃদ্ধি পেয়েছে।</t>
  </si>
  <si>
    <t>স্মারক নং-২৬.০৫.০০০০.০১৭.৩১.০১.২৬-৩৬৬</t>
  </si>
  <si>
    <t xml:space="preserve">শনিবার ০৯ মে ২০২৬ খ্রিঃ, ২৬ বৈশাখ ১৪৩৩ বাংলা, ২১ জিলকদ ১৪৪৭ হিজরি </t>
  </si>
  <si>
    <t xml:space="preserve">   সিরিয়াল নংঃ     ১১৩</t>
  </si>
  <si>
    <t>০৭-০৫-২০২৬ তারিখে মূল্য বৃদ্ধি পেয়েছে।</t>
  </si>
  <si>
    <t>০৯-০৫-২০২৬ তারিখে মূল্য বৃদ্ধি পেয়েছে।</t>
  </si>
  <si>
    <t>(২)   সয়াবিন তেল (লুজ, ১লিঃ, ২লিঃ, ৫লিঃ বোতল), পাম অয়েল (লুজ), মুরগী ব্রয়লার, কাঁচামরিচ, ডিম   এর মূল্য বৃদ্ধি পেয়েছে।</t>
  </si>
  <si>
    <t>০৯-০৫-২০২৬ তারিখে মূল্য হ্রাস পেয়েছে।</t>
  </si>
  <si>
    <t>(১)   ছোলা, রশুন (দেশী, আম), বেগুন,  লেবু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</si>
</sst>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4"/>
  <sheetViews>
    <sheetView tabSelected="1" topLeftCell="B1" zoomScale="95" zoomScaleNormal="95" workbookViewId="0">
      <selection activeCell="E81" sqref="E81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6" t="s">
        <v>130</v>
      </c>
      <c r="L5" s="75"/>
    </row>
    <row r="6" spans="1:12" ht="21.75">
      <c r="A6" s="10"/>
      <c r="B6" s="8"/>
      <c r="C6" s="8"/>
      <c r="D6" s="10"/>
      <c r="E6" s="8"/>
      <c r="F6" s="8" t="s">
        <v>129</v>
      </c>
      <c r="G6" s="8"/>
      <c r="H6" s="8"/>
      <c r="I6" s="8"/>
      <c r="J6" s="8"/>
      <c r="K6" s="8"/>
      <c r="L6" s="30"/>
    </row>
    <row r="7" spans="1:12" ht="21.75">
      <c r="A7" s="13" t="s">
        <v>128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46151</v>
      </c>
    </row>
    <row r="8" spans="1:12" ht="19.5">
      <c r="A8" s="5" t="s">
        <v>4</v>
      </c>
      <c r="B8" s="6" t="s">
        <v>5</v>
      </c>
      <c r="C8" s="72" t="s">
        <v>6</v>
      </c>
      <c r="D8" s="73"/>
      <c r="E8" s="72" t="s">
        <v>7</v>
      </c>
      <c r="F8" s="73"/>
      <c r="G8" s="72" t="s">
        <v>8</v>
      </c>
      <c r="H8" s="73"/>
      <c r="I8" s="6" t="s">
        <v>9</v>
      </c>
      <c r="J8" s="72" t="s">
        <v>10</v>
      </c>
      <c r="K8" s="73"/>
      <c r="L8" s="50" t="s">
        <v>11</v>
      </c>
    </row>
    <row r="9" spans="1:12" ht="21.75">
      <c r="A9" s="5"/>
      <c r="B9" s="6"/>
      <c r="C9" s="74">
        <v>46151</v>
      </c>
      <c r="D9" s="75"/>
      <c r="E9" s="74">
        <v>46144</v>
      </c>
      <c r="F9" s="75"/>
      <c r="G9" s="74">
        <v>46121</v>
      </c>
      <c r="H9" s="75"/>
      <c r="I9" s="18" t="s">
        <v>12</v>
      </c>
      <c r="J9" s="74">
        <v>45786</v>
      </c>
      <c r="K9" s="75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86</v>
      </c>
      <c r="L11" s="22">
        <f>((C11+D11)/2-(J11+K11)/2)/((J11+K11)/2)*100</f>
        <v>-1.89873417721519</v>
      </c>
    </row>
    <row r="12" spans="1:12" ht="21.75">
      <c r="A12" s="56" t="s">
        <v>98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58</v>
      </c>
      <c r="K12" s="20">
        <v>65</v>
      </c>
      <c r="L12" s="22">
        <f>((C12+D12)/2-(J12+K12)/2)/((J12+K12)/2)*100</f>
        <v>4.0650406504065035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52</v>
      </c>
      <c r="K13" s="20">
        <v>55</v>
      </c>
      <c r="L13" s="22">
        <f>((C13+D13)/2-(J13+K13)/2)/((J13+K13)/2)*100</f>
        <v>7.4766355140186906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40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189</v>
      </c>
      <c r="D20" s="20">
        <v>195</v>
      </c>
      <c r="E20" s="20">
        <v>180</v>
      </c>
      <c r="F20" s="20">
        <v>195</v>
      </c>
      <c r="G20" s="20">
        <v>185</v>
      </c>
      <c r="H20" s="20">
        <v>196</v>
      </c>
      <c r="I20" s="21">
        <f t="shared" ref="I20:I26" si="0">((C20+D20)/2-(G20+H20)/2)/((G20+H20)/2)*100</f>
        <v>0.78740157480314954</v>
      </c>
      <c r="J20" s="20">
        <v>165</v>
      </c>
      <c r="K20" s="20">
        <v>172</v>
      </c>
      <c r="L20" s="22">
        <f t="shared" ref="L20:L26" si="1">((C20+D20)/2-(J20+K20)/2)/((J20+K20)/2)*100</f>
        <v>13.94658753709199</v>
      </c>
    </row>
    <row r="21" spans="1:12" ht="21.75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1.0498687664041995</v>
      </c>
      <c r="J21" s="20">
        <v>900</v>
      </c>
      <c r="K21" s="20">
        <v>920</v>
      </c>
      <c r="L21" s="22">
        <f t="shared" si="1"/>
        <v>5.7692307692307692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0.38216560509554143</v>
      </c>
      <c r="J22" s="20">
        <v>375</v>
      </c>
      <c r="K22" s="20">
        <v>378</v>
      </c>
      <c r="L22" s="22">
        <f t="shared" si="1"/>
        <v>4.6480743691899074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195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.75">
      <c r="A24" s="56" t="s">
        <v>32</v>
      </c>
      <c r="B24" s="6" t="s">
        <v>27</v>
      </c>
      <c r="C24" s="20">
        <v>162</v>
      </c>
      <c r="D24" s="20">
        <v>168</v>
      </c>
      <c r="E24" s="20">
        <v>161</v>
      </c>
      <c r="F24" s="20">
        <v>168</v>
      </c>
      <c r="G24" s="20">
        <v>164</v>
      </c>
      <c r="H24" s="20">
        <v>168</v>
      </c>
      <c r="I24" s="21">
        <f t="shared" si="0"/>
        <v>-0.60240963855421692</v>
      </c>
      <c r="J24" s="20">
        <v>145</v>
      </c>
      <c r="K24" s="20">
        <v>155</v>
      </c>
      <c r="L24" s="22">
        <f t="shared" si="1"/>
        <v>10</v>
      </c>
    </row>
    <row r="25" spans="1:12" ht="21.75">
      <c r="A25" s="56" t="s">
        <v>99</v>
      </c>
      <c r="B25" s="6" t="s">
        <v>27</v>
      </c>
      <c r="C25" s="20">
        <v>168</v>
      </c>
      <c r="D25" s="20">
        <v>172</v>
      </c>
      <c r="E25" s="20">
        <v>168</v>
      </c>
      <c r="F25" s="20">
        <v>172</v>
      </c>
      <c r="G25" s="20">
        <v>165</v>
      </c>
      <c r="H25" s="20">
        <v>172</v>
      </c>
      <c r="I25" s="21">
        <f t="shared" si="0"/>
        <v>0.89020771513353114</v>
      </c>
      <c r="J25" s="20">
        <v>155</v>
      </c>
      <c r="K25" s="20">
        <v>160</v>
      </c>
      <c r="L25" s="22">
        <f t="shared" si="1"/>
        <v>7.9365079365079358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103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90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25</v>
      </c>
      <c r="H34" s="20">
        <v>30</v>
      </c>
      <c r="I34" s="21">
        <f t="shared" si="2"/>
        <v>-18.181818181818183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109</v>
      </c>
      <c r="B36" s="6" t="s">
        <v>17</v>
      </c>
      <c r="C36" s="20">
        <v>35</v>
      </c>
      <c r="D36" s="20">
        <v>40</v>
      </c>
      <c r="E36" s="20">
        <v>35</v>
      </c>
      <c r="F36" s="20">
        <v>40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50</v>
      </c>
      <c r="K36" s="20">
        <v>65</v>
      </c>
      <c r="L36" s="22">
        <f t="shared" ref="L36:L51" si="5">((C36+D36)/2-(J36+K36)/2)/((J36+K36)/2)*100</f>
        <v>-34.782608695652172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60</v>
      </c>
      <c r="K37" s="20">
        <v>65</v>
      </c>
      <c r="L37" s="22">
        <f t="shared" si="5"/>
        <v>-100</v>
      </c>
    </row>
    <row r="38" spans="1:12" ht="21.75">
      <c r="A38" s="56" t="s">
        <v>43</v>
      </c>
      <c r="B38" s="6" t="s">
        <v>17</v>
      </c>
      <c r="C38" s="20">
        <v>60</v>
      </c>
      <c r="D38" s="20">
        <v>140</v>
      </c>
      <c r="E38" s="20">
        <v>70</v>
      </c>
      <c r="F38" s="20">
        <v>140</v>
      </c>
      <c r="G38" s="20">
        <v>80</v>
      </c>
      <c r="H38" s="20">
        <v>140</v>
      </c>
      <c r="I38" s="21">
        <f t="shared" si="4"/>
        <v>-9.0909090909090917</v>
      </c>
      <c r="J38" s="20">
        <v>110</v>
      </c>
      <c r="K38" s="20">
        <v>160</v>
      </c>
      <c r="L38" s="22">
        <f t="shared" si="5"/>
        <v>-25.925925925925924</v>
      </c>
    </row>
    <row r="39" spans="1:12" ht="21.75">
      <c r="A39" s="56" t="s">
        <v>44</v>
      </c>
      <c r="B39" s="6" t="s">
        <v>17</v>
      </c>
      <c r="C39" s="20">
        <v>140</v>
      </c>
      <c r="D39" s="20">
        <v>220</v>
      </c>
      <c r="E39" s="20">
        <v>160</v>
      </c>
      <c r="F39" s="20">
        <v>220</v>
      </c>
      <c r="G39" s="20">
        <v>160</v>
      </c>
      <c r="H39" s="20">
        <v>220</v>
      </c>
      <c r="I39" s="21">
        <f t="shared" si="4"/>
        <v>-5.2631578947368416</v>
      </c>
      <c r="J39" s="20">
        <v>185</v>
      </c>
      <c r="K39" s="20">
        <v>240</v>
      </c>
      <c r="L39" s="22">
        <f t="shared" si="5"/>
        <v>-15.294117647058824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330</v>
      </c>
      <c r="L40" s="22">
        <f t="shared" si="5"/>
        <v>32.142857142857146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330</v>
      </c>
      <c r="K41" s="20">
        <v>430</v>
      </c>
      <c r="L41" s="22">
        <f t="shared" si="5"/>
        <v>23.684210526315788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280</v>
      </c>
      <c r="K42" s="20">
        <v>400</v>
      </c>
      <c r="L42" s="22">
        <f t="shared" si="5"/>
        <v>-4.4117647058823533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100</v>
      </c>
      <c r="H44" s="20">
        <v>200</v>
      </c>
      <c r="I44" s="21">
        <f t="shared" si="4"/>
        <v>0</v>
      </c>
      <c r="J44" s="20">
        <v>110</v>
      </c>
      <c r="K44" s="20">
        <v>150</v>
      </c>
      <c r="L44" s="22">
        <f t="shared" si="5"/>
        <v>15.384615384615385</v>
      </c>
    </row>
    <row r="45" spans="1:12" ht="21.75">
      <c r="A45" s="56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120</v>
      </c>
      <c r="H45" s="20">
        <v>210</v>
      </c>
      <c r="I45" s="21">
        <f t="shared" si="4"/>
        <v>0</v>
      </c>
      <c r="J45" s="20">
        <v>100</v>
      </c>
      <c r="K45" s="20">
        <v>220</v>
      </c>
      <c r="L45" s="22">
        <f t="shared" si="5"/>
        <v>3.125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580</v>
      </c>
      <c r="L47" s="22">
        <f t="shared" si="5"/>
        <v>1.8518518518518516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4600</v>
      </c>
      <c r="K49" s="20">
        <v>5300</v>
      </c>
      <c r="L49" s="22">
        <f t="shared" si="5"/>
        <v>2.0202020202020203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190</v>
      </c>
      <c r="G57" s="20">
        <v>180</v>
      </c>
      <c r="H57" s="20">
        <v>200</v>
      </c>
      <c r="I57" s="21">
        <f t="shared" si="6"/>
        <v>0</v>
      </c>
      <c r="J57" s="20">
        <v>180</v>
      </c>
      <c r="K57" s="20">
        <v>200</v>
      </c>
      <c r="L57" s="22">
        <f t="shared" si="7"/>
        <v>0</v>
      </c>
    </row>
    <row r="58" spans="1:12" ht="21.75">
      <c r="A58" s="56" t="s">
        <v>61</v>
      </c>
      <c r="B58" s="6" t="s">
        <v>17</v>
      </c>
      <c r="C58" s="20">
        <v>600</v>
      </c>
      <c r="D58" s="20">
        <v>750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12.5</v>
      </c>
      <c r="J58" s="20">
        <v>500</v>
      </c>
      <c r="K58" s="20">
        <v>660</v>
      </c>
      <c r="L58" s="22">
        <f t="shared" si="7"/>
        <v>16.379310344827587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2" t="s">
        <v>6</v>
      </c>
      <c r="D66" s="73"/>
      <c r="E66" s="72" t="s">
        <v>7</v>
      </c>
      <c r="F66" s="73"/>
      <c r="G66" s="72" t="s">
        <v>8</v>
      </c>
      <c r="H66" s="73"/>
      <c r="I66" s="6" t="s">
        <v>9</v>
      </c>
      <c r="J66" s="72" t="s">
        <v>10</v>
      </c>
      <c r="K66" s="73"/>
      <c r="L66" s="18" t="s">
        <v>11</v>
      </c>
    </row>
    <row r="67" spans="1:12" ht="18" customHeight="1">
      <c r="A67" s="61"/>
      <c r="B67" s="54"/>
      <c r="C67" s="74">
        <v>46151</v>
      </c>
      <c r="D67" s="75"/>
      <c r="E67" s="74">
        <v>46144</v>
      </c>
      <c r="F67" s="75"/>
      <c r="G67" s="74">
        <v>46121</v>
      </c>
      <c r="H67" s="75"/>
      <c r="I67" s="18" t="s">
        <v>12</v>
      </c>
      <c r="J67" s="74">
        <v>45786</v>
      </c>
      <c r="K67" s="75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100</v>
      </c>
      <c r="H69" s="20">
        <v>110</v>
      </c>
      <c r="I69" s="21">
        <f>((C69+D69)/2-(G69+H69)/2)/((G69+H69)/2)*100</f>
        <v>2.3809523809523809</v>
      </c>
      <c r="J69" s="20">
        <v>112</v>
      </c>
      <c r="K69" s="20">
        <v>120</v>
      </c>
      <c r="L69" s="22">
        <f t="shared" ref="L69:L79" si="8">((C69+D69)/2-(J69+K69)/2)/((J69+K69)/2)*100</f>
        <v>-7.3275862068965507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101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112</v>
      </c>
      <c r="B72" s="48" t="s">
        <v>72</v>
      </c>
      <c r="C72" s="20">
        <v>15</v>
      </c>
      <c r="D72" s="20">
        <v>40</v>
      </c>
      <c r="E72" s="20">
        <v>15</v>
      </c>
      <c r="F72" s="20">
        <v>50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113</v>
      </c>
      <c r="B73" s="48" t="s">
        <v>17</v>
      </c>
      <c r="C73" s="20">
        <v>80</v>
      </c>
      <c r="D73" s="20">
        <v>160</v>
      </c>
      <c r="E73" s="20">
        <v>80</v>
      </c>
      <c r="F73" s="20">
        <v>130</v>
      </c>
      <c r="G73" s="20">
        <v>60</v>
      </c>
      <c r="H73" s="20">
        <v>140</v>
      </c>
      <c r="I73" s="21">
        <f t="shared" si="9"/>
        <v>20</v>
      </c>
      <c r="J73" s="20">
        <v>70</v>
      </c>
      <c r="K73" s="20">
        <v>120</v>
      </c>
      <c r="L73" s="22">
        <f t="shared" si="8"/>
        <v>26.315789473684209</v>
      </c>
    </row>
    <row r="74" spans="1:12" ht="21.75">
      <c r="A74" s="56" t="s">
        <v>114</v>
      </c>
      <c r="B74" s="48" t="s">
        <v>17</v>
      </c>
      <c r="C74" s="20">
        <v>80</v>
      </c>
      <c r="D74" s="20">
        <v>100</v>
      </c>
      <c r="E74" s="20">
        <v>80</v>
      </c>
      <c r="F74" s="20">
        <v>120</v>
      </c>
      <c r="G74" s="20">
        <v>80</v>
      </c>
      <c r="H74" s="20">
        <v>120</v>
      </c>
      <c r="I74" s="21">
        <f t="shared" si="9"/>
        <v>-10</v>
      </c>
      <c r="J74" s="20">
        <v>60</v>
      </c>
      <c r="K74" s="20">
        <v>100</v>
      </c>
      <c r="L74" s="22">
        <f t="shared" si="8"/>
        <v>12.5</v>
      </c>
    </row>
    <row r="75" spans="1:12" ht="21.75">
      <c r="A75" s="56" t="s">
        <v>115</v>
      </c>
      <c r="B75" s="48" t="s">
        <v>17</v>
      </c>
      <c r="C75" s="20">
        <v>50</v>
      </c>
      <c r="D75" s="20">
        <v>80</v>
      </c>
      <c r="E75" s="20">
        <v>50</v>
      </c>
      <c r="F75" s="20">
        <v>80</v>
      </c>
      <c r="G75" s="20">
        <v>50</v>
      </c>
      <c r="H75" s="20">
        <v>80</v>
      </c>
      <c r="I75" s="21">
        <f t="shared" si="9"/>
        <v>0</v>
      </c>
      <c r="J75" s="20">
        <v>40</v>
      </c>
      <c r="K75" s="20">
        <v>80</v>
      </c>
      <c r="L75" s="22">
        <f t="shared" si="8"/>
        <v>8.3333333333333321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50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21.621621621621621</v>
      </c>
      <c r="J76" s="28">
        <v>40</v>
      </c>
      <c r="K76" s="28">
        <v>45</v>
      </c>
      <c r="L76" s="22">
        <f t="shared" si="8"/>
        <v>5.8823529411764701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91500</v>
      </c>
      <c r="K78" s="20">
        <v>98500</v>
      </c>
      <c r="L78" s="22">
        <f t="shared" si="8"/>
        <v>-7.8947368421052628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83500</v>
      </c>
      <c r="K79" s="28">
        <v>89500</v>
      </c>
      <c r="L79" s="22">
        <f t="shared" si="8"/>
        <v>-5.202312138728324</v>
      </c>
    </row>
    <row r="80" spans="1:12" ht="23.25" customHeight="1">
      <c r="A80" s="77" t="s">
        <v>120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135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133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2" t="s">
        <v>6</v>
      </c>
      <c r="D86" s="73"/>
      <c r="E86" s="79" t="s">
        <v>81</v>
      </c>
      <c r="F86" s="80"/>
      <c r="G86" s="41" t="s">
        <v>12</v>
      </c>
      <c r="H86" s="72" t="s">
        <v>82</v>
      </c>
      <c r="I86" s="81"/>
      <c r="J86" s="73"/>
      <c r="K86" s="43"/>
      <c r="L86" s="2"/>
    </row>
    <row r="87" spans="1:12" ht="21.75">
      <c r="A87" s="56" t="s">
        <v>26</v>
      </c>
      <c r="B87" s="6" t="s">
        <v>27</v>
      </c>
      <c r="C87" s="20">
        <v>189</v>
      </c>
      <c r="D87" s="20">
        <v>195</v>
      </c>
      <c r="E87" s="20">
        <v>180</v>
      </c>
      <c r="F87" s="20">
        <v>195</v>
      </c>
      <c r="G87" s="7">
        <f t="shared" ref="G87:G95" si="10">((C87+D87)/2-(E87+F87)/2)/((E87+F87)/2)*100</f>
        <v>2.4</v>
      </c>
      <c r="H87" s="5" t="s">
        <v>132</v>
      </c>
      <c r="I87" s="6"/>
      <c r="J87" s="6"/>
      <c r="K87" s="43"/>
      <c r="L87" s="2"/>
    </row>
    <row r="88" spans="1:12" ht="21.75">
      <c r="A88" s="56" t="s">
        <v>28</v>
      </c>
      <c r="B88" s="6" t="s">
        <v>29</v>
      </c>
      <c r="C88" s="20">
        <v>950</v>
      </c>
      <c r="D88" s="20">
        <v>975</v>
      </c>
      <c r="E88" s="20">
        <v>950</v>
      </c>
      <c r="F88" s="20">
        <v>955</v>
      </c>
      <c r="G88" s="7">
        <f t="shared" si="10"/>
        <v>1.0498687664041995</v>
      </c>
      <c r="H88" s="5" t="s">
        <v>127</v>
      </c>
      <c r="I88" s="6"/>
      <c r="J88" s="6"/>
      <c r="K88" s="43"/>
      <c r="L88" s="2"/>
    </row>
    <row r="89" spans="1:12" ht="21.75">
      <c r="A89" s="56" t="s">
        <v>28</v>
      </c>
      <c r="B89" s="6" t="s">
        <v>30</v>
      </c>
      <c r="C89" s="20">
        <v>390</v>
      </c>
      <c r="D89" s="20">
        <v>398</v>
      </c>
      <c r="E89" s="20">
        <v>390</v>
      </c>
      <c r="F89" s="20">
        <v>395</v>
      </c>
      <c r="G89" s="7">
        <f t="shared" si="10"/>
        <v>0.38216560509554143</v>
      </c>
      <c r="H89" s="5" t="s">
        <v>127</v>
      </c>
      <c r="I89" s="6"/>
      <c r="J89" s="6"/>
      <c r="K89" s="43"/>
      <c r="L89" s="2"/>
    </row>
    <row r="90" spans="1:12" ht="21.75">
      <c r="A90" s="56" t="s">
        <v>28</v>
      </c>
      <c r="B90" s="6" t="s">
        <v>31</v>
      </c>
      <c r="C90" s="20">
        <v>195</v>
      </c>
      <c r="D90" s="20">
        <v>199</v>
      </c>
      <c r="E90" s="20">
        <v>195</v>
      </c>
      <c r="F90" s="20">
        <v>195</v>
      </c>
      <c r="G90" s="7">
        <f t="shared" si="10"/>
        <v>1.0256410256410255</v>
      </c>
      <c r="H90" s="5" t="s">
        <v>127</v>
      </c>
      <c r="I90" s="6"/>
      <c r="J90" s="6"/>
      <c r="K90" s="43"/>
      <c r="L90" s="2"/>
    </row>
    <row r="91" spans="1:12" ht="21.75">
      <c r="A91" s="56" t="s">
        <v>32</v>
      </c>
      <c r="B91" s="6" t="s">
        <v>27</v>
      </c>
      <c r="C91" s="20">
        <v>162</v>
      </c>
      <c r="D91" s="20">
        <v>168</v>
      </c>
      <c r="E91" s="20">
        <v>161</v>
      </c>
      <c r="F91" s="20">
        <v>168</v>
      </c>
      <c r="G91" s="7">
        <f t="shared" si="10"/>
        <v>0.303951367781155</v>
      </c>
      <c r="H91" s="5" t="s">
        <v>127</v>
      </c>
      <c r="I91" s="6"/>
      <c r="J91" s="6"/>
      <c r="K91" s="43"/>
      <c r="L91" s="2"/>
    </row>
    <row r="92" spans="1:12" ht="21.75">
      <c r="A92" s="56" t="s">
        <v>40</v>
      </c>
      <c r="B92" s="6" t="s">
        <v>17</v>
      </c>
      <c r="C92" s="20">
        <v>85</v>
      </c>
      <c r="D92" s="20">
        <v>100</v>
      </c>
      <c r="E92" s="20">
        <v>90</v>
      </c>
      <c r="F92" s="20">
        <v>100</v>
      </c>
      <c r="G92" s="7">
        <f t="shared" si="10"/>
        <v>-2.6315789473684208</v>
      </c>
      <c r="H92" s="5" t="s">
        <v>124</v>
      </c>
      <c r="I92" s="6"/>
      <c r="J92" s="6"/>
      <c r="K92" s="43"/>
      <c r="L92" s="2"/>
    </row>
    <row r="93" spans="1:12" ht="21.75">
      <c r="A93" s="56" t="s">
        <v>43</v>
      </c>
      <c r="B93" s="6" t="s">
        <v>17</v>
      </c>
      <c r="C93" s="20">
        <v>60</v>
      </c>
      <c r="D93" s="20">
        <v>140</v>
      </c>
      <c r="E93" s="20">
        <v>70</v>
      </c>
      <c r="F93" s="20">
        <v>140</v>
      </c>
      <c r="G93" s="7">
        <f t="shared" si="10"/>
        <v>-4.7619047619047619</v>
      </c>
      <c r="H93" s="5" t="s">
        <v>124</v>
      </c>
      <c r="I93" s="6"/>
      <c r="J93" s="6"/>
      <c r="K93" s="43"/>
      <c r="L93" s="2"/>
    </row>
    <row r="94" spans="1:12" ht="21.75">
      <c r="A94" s="56" t="s">
        <v>44</v>
      </c>
      <c r="B94" s="6" t="s">
        <v>17</v>
      </c>
      <c r="C94" s="20">
        <v>140</v>
      </c>
      <c r="D94" s="20">
        <v>220</v>
      </c>
      <c r="E94" s="20">
        <v>160</v>
      </c>
      <c r="F94" s="20">
        <v>220</v>
      </c>
      <c r="G94" s="7">
        <f t="shared" si="10"/>
        <v>-5.2631578947368416</v>
      </c>
      <c r="H94" s="5" t="s">
        <v>124</v>
      </c>
      <c r="I94" s="6"/>
      <c r="J94" s="6"/>
      <c r="K94" s="43"/>
      <c r="L94" s="2"/>
    </row>
    <row r="95" spans="1:12" ht="21.75">
      <c r="A95" s="56" t="s">
        <v>60</v>
      </c>
      <c r="B95" s="6" t="s">
        <v>17</v>
      </c>
      <c r="C95" s="20">
        <v>180</v>
      </c>
      <c r="D95" s="20">
        <v>200</v>
      </c>
      <c r="E95" s="20">
        <v>180</v>
      </c>
      <c r="F95" s="20">
        <v>190</v>
      </c>
      <c r="G95" s="7">
        <f t="shared" si="10"/>
        <v>2.7027027027027026</v>
      </c>
      <c r="H95" s="5" t="s">
        <v>132</v>
      </c>
      <c r="I95" s="6"/>
      <c r="J95" s="6"/>
      <c r="K95" s="43"/>
      <c r="L95" s="2"/>
    </row>
    <row r="96" spans="1:12" ht="21.75">
      <c r="A96" s="56" t="s">
        <v>112</v>
      </c>
      <c r="B96" s="48" t="s">
        <v>72</v>
      </c>
      <c r="C96" s="20">
        <v>15</v>
      </c>
      <c r="D96" s="20">
        <v>40</v>
      </c>
      <c r="E96" s="20">
        <v>15</v>
      </c>
      <c r="F96" s="20">
        <v>50</v>
      </c>
      <c r="G96" s="7">
        <f t="shared" ref="G96:G99" si="11">((C96+D96)/2-(E96+F96)/2)/((E96+F96)/2)*100</f>
        <v>-15.384615384615385</v>
      </c>
      <c r="H96" s="5" t="s">
        <v>124</v>
      </c>
      <c r="I96" s="6"/>
      <c r="J96" s="6"/>
      <c r="K96" s="43"/>
      <c r="L96" s="2"/>
    </row>
    <row r="97" spans="1:12" ht="21.75">
      <c r="A97" s="56" t="s">
        <v>113</v>
      </c>
      <c r="B97" s="48" t="s">
        <v>17</v>
      </c>
      <c r="C97" s="20">
        <v>80</v>
      </c>
      <c r="D97" s="20">
        <v>160</v>
      </c>
      <c r="E97" s="20">
        <v>80</v>
      </c>
      <c r="F97" s="20">
        <v>130</v>
      </c>
      <c r="G97" s="7">
        <f t="shared" si="11"/>
        <v>14.285714285714285</v>
      </c>
      <c r="H97" s="5" t="s">
        <v>131</v>
      </c>
      <c r="I97" s="6"/>
      <c r="J97" s="6"/>
      <c r="K97" s="43"/>
      <c r="L97" s="2"/>
    </row>
    <row r="98" spans="1:12" ht="21.75">
      <c r="A98" s="56" t="s">
        <v>114</v>
      </c>
      <c r="B98" s="48" t="s">
        <v>17</v>
      </c>
      <c r="C98" s="20">
        <v>80</v>
      </c>
      <c r="D98" s="20">
        <v>100</v>
      </c>
      <c r="E98" s="20">
        <v>80</v>
      </c>
      <c r="F98" s="20">
        <v>120</v>
      </c>
      <c r="G98" s="7">
        <f t="shared" si="11"/>
        <v>-10</v>
      </c>
      <c r="H98" s="5" t="s">
        <v>134</v>
      </c>
      <c r="I98" s="6"/>
      <c r="J98" s="6"/>
      <c r="K98" s="43"/>
      <c r="L98" s="2"/>
    </row>
    <row r="99" spans="1:12" ht="21.75">
      <c r="A99" s="56" t="s">
        <v>71</v>
      </c>
      <c r="B99" s="6" t="s">
        <v>72</v>
      </c>
      <c r="C99" s="28">
        <v>40</v>
      </c>
      <c r="D99" s="28">
        <v>50</v>
      </c>
      <c r="E99" s="28">
        <v>40</v>
      </c>
      <c r="F99" s="28">
        <v>45</v>
      </c>
      <c r="G99" s="7">
        <f t="shared" si="11"/>
        <v>5.8823529411764701</v>
      </c>
      <c r="H99" s="5" t="s">
        <v>131</v>
      </c>
      <c r="I99" s="6"/>
      <c r="J99" s="6"/>
      <c r="K99" s="43"/>
      <c r="L99" s="44"/>
    </row>
    <row r="100" spans="1:12" ht="21.75">
      <c r="A100" s="60"/>
      <c r="B100" s="3"/>
      <c r="C100" s="71"/>
      <c r="D100" s="71"/>
      <c r="E100" s="71"/>
      <c r="F100" s="71"/>
      <c r="G100" s="9"/>
      <c r="H100" s="1"/>
      <c r="I100" s="3"/>
      <c r="J100" s="3"/>
      <c r="K100" s="43"/>
      <c r="L100" s="44"/>
    </row>
    <row r="101" spans="1:12" ht="21.75">
      <c r="A101" s="60"/>
      <c r="B101" s="3"/>
      <c r="C101" s="71"/>
      <c r="D101" s="71"/>
      <c r="E101" s="71"/>
      <c r="F101" s="71"/>
      <c r="G101" s="9"/>
      <c r="H101" s="1"/>
      <c r="I101" s="3"/>
      <c r="J101" s="3"/>
      <c r="K101" s="43"/>
      <c r="L101" s="44"/>
    </row>
    <row r="102" spans="1:12" ht="19.5">
      <c r="A102" s="1"/>
      <c r="B102" s="49"/>
      <c r="C102" s="37"/>
      <c r="D102" s="37"/>
      <c r="E102" s="37"/>
      <c r="F102" s="37"/>
      <c r="G102" s="9"/>
      <c r="H102" s="1"/>
      <c r="I102" s="3"/>
      <c r="J102" s="3"/>
      <c r="K102" s="44"/>
      <c r="L102" s="44"/>
    </row>
    <row r="103" spans="1:12" ht="24.75">
      <c r="A103" s="64"/>
      <c r="B103" s="65" t="s">
        <v>123</v>
      </c>
      <c r="C103" s="66"/>
      <c r="E103" s="64"/>
      <c r="F103" s="65" t="s">
        <v>110</v>
      </c>
      <c r="G103" s="66"/>
      <c r="I103" s="67"/>
      <c r="J103" s="68" t="s">
        <v>125</v>
      </c>
      <c r="K103" s="66"/>
      <c r="L103" s="44"/>
    </row>
    <row r="104" spans="1:12" ht="24.75">
      <c r="A104" s="69"/>
      <c r="B104" s="65" t="s">
        <v>122</v>
      </c>
      <c r="C104" s="68"/>
      <c r="E104" s="69"/>
      <c r="F104" s="65" t="s">
        <v>111</v>
      </c>
      <c r="G104" s="68"/>
      <c r="I104" s="70"/>
      <c r="J104" s="68" t="s">
        <v>126</v>
      </c>
      <c r="L104" s="44"/>
    </row>
    <row r="105" spans="1:12" ht="19.5">
      <c r="A105" s="1"/>
      <c r="B105" s="49"/>
      <c r="C105" s="37"/>
      <c r="D105" s="37"/>
      <c r="E105" s="37"/>
      <c r="F105" s="37"/>
      <c r="G105" s="9"/>
      <c r="H105" s="1"/>
      <c r="I105" s="3"/>
      <c r="J105" s="3"/>
      <c r="K105" s="44"/>
      <c r="L105" s="44"/>
    </row>
    <row r="106" spans="1:12" ht="19.5">
      <c r="A106" s="1"/>
      <c r="B106" s="3"/>
      <c r="C106" s="37"/>
      <c r="D106" s="37"/>
      <c r="E106" s="37"/>
      <c r="F106" s="37"/>
      <c r="G106" s="9"/>
      <c r="H106" s="45"/>
      <c r="I106" s="44"/>
      <c r="J106" s="44"/>
      <c r="K106" s="44"/>
      <c r="L106" s="44"/>
    </row>
    <row r="107" spans="1:12" ht="19.5">
      <c r="A107" s="1"/>
      <c r="B107" s="46"/>
      <c r="C107" s="47"/>
      <c r="D107" s="47"/>
      <c r="E107" s="3"/>
      <c r="F107" s="47"/>
      <c r="G107" s="9"/>
      <c r="H107" s="45"/>
      <c r="I107" s="44"/>
      <c r="J107" s="44"/>
      <c r="K107" s="44"/>
      <c r="L107" s="44"/>
    </row>
    <row r="108" spans="1:12" ht="19.5">
      <c r="A108" s="35" t="s">
        <v>89</v>
      </c>
      <c r="B108" s="33"/>
      <c r="C108" s="31"/>
      <c r="D108" s="33"/>
      <c r="E108" s="31"/>
      <c r="F108" s="31"/>
      <c r="G108" s="31"/>
      <c r="H108" s="32"/>
      <c r="I108" s="2"/>
      <c r="J108" s="2"/>
      <c r="K108" s="2"/>
      <c r="L108" s="2"/>
    </row>
    <row r="109" spans="1:12" ht="19.5">
      <c r="A109" s="34" t="s">
        <v>93</v>
      </c>
      <c r="B109" s="33"/>
      <c r="C109" s="31"/>
      <c r="D109" s="33"/>
      <c r="E109" s="31"/>
      <c r="F109" s="31"/>
      <c r="G109" s="33"/>
      <c r="H109" s="32"/>
      <c r="I109" s="2"/>
      <c r="J109" s="2"/>
      <c r="K109" s="2"/>
      <c r="L109" s="2"/>
    </row>
    <row r="110" spans="1:12" ht="19.5">
      <c r="A110" s="34" t="s">
        <v>117</v>
      </c>
      <c r="B110" s="33"/>
      <c r="C110" s="33"/>
      <c r="D110" s="33"/>
      <c r="E110" s="33"/>
      <c r="F110" s="31"/>
      <c r="G110" s="33"/>
      <c r="H110" s="32"/>
      <c r="I110" s="2"/>
      <c r="J110" s="2"/>
      <c r="K110" s="2"/>
      <c r="L110" s="2"/>
    </row>
    <row r="111" spans="1:12" ht="19.5">
      <c r="A111" s="34" t="s">
        <v>83</v>
      </c>
      <c r="B111" s="33"/>
      <c r="C111" s="33"/>
      <c r="D111" s="33"/>
      <c r="E111" s="33"/>
      <c r="F111" s="32"/>
      <c r="G111" s="32"/>
      <c r="H111" s="32"/>
      <c r="I111" s="2"/>
      <c r="J111" s="2"/>
      <c r="K111" s="2"/>
      <c r="L111" s="2"/>
    </row>
    <row r="112" spans="1:12" ht="19.5">
      <c r="A112" s="34" t="s">
        <v>118</v>
      </c>
      <c r="B112" s="33"/>
      <c r="C112" s="33"/>
      <c r="D112" s="33"/>
      <c r="E112" s="33"/>
      <c r="F112" s="33"/>
      <c r="G112" s="32"/>
      <c r="H112" s="32"/>
      <c r="I112" s="2"/>
      <c r="J112" s="2"/>
      <c r="K112" s="2"/>
      <c r="L112" s="2"/>
    </row>
    <row r="113" spans="1:12" ht="19.5">
      <c r="A113" s="34" t="s">
        <v>92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100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91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90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84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94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116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95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96</v>
      </c>
      <c r="B121" s="33"/>
      <c r="C121" s="33"/>
      <c r="D121" s="33"/>
      <c r="E121" s="33"/>
      <c r="F121" s="33"/>
      <c r="G121" s="33"/>
      <c r="H121" s="32"/>
      <c r="I121" s="2"/>
      <c r="J121" s="2"/>
      <c r="K121" s="2"/>
      <c r="L121" s="2"/>
    </row>
    <row r="122" spans="1:12" ht="19.5">
      <c r="A122" s="34" t="s">
        <v>119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/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5" t="s">
        <v>85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86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106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127" spans="1:12" ht="19.5">
      <c r="A127" s="34" t="s">
        <v>105</v>
      </c>
      <c r="B127" s="33"/>
      <c r="C127" s="33"/>
      <c r="D127" s="33"/>
      <c r="E127" s="33"/>
      <c r="F127" s="33"/>
      <c r="G127" s="33"/>
      <c r="H127" s="36"/>
      <c r="I127" s="44"/>
      <c r="J127" s="44"/>
      <c r="K127" s="44"/>
      <c r="L127" s="44"/>
    </row>
    <row r="128" spans="1:12" ht="19.5">
      <c r="A128" s="34" t="s">
        <v>104</v>
      </c>
      <c r="B128" s="33"/>
      <c r="C128" s="33"/>
      <c r="D128" s="33"/>
      <c r="E128" s="33"/>
      <c r="F128" s="33"/>
      <c r="G128" s="33"/>
      <c r="H128" s="36"/>
      <c r="I128" s="44"/>
      <c r="J128" s="44"/>
      <c r="K128" s="44"/>
      <c r="L128" s="44"/>
    </row>
    <row r="444" spans="2:2">
      <c r="B444" t="s">
        <v>121</v>
      </c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2026-05-10T07:52:44Z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