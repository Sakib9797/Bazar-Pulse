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9EE47A3B-6EFD-4687-AA94-E843E3C911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price'!$A$1:$L$130</definedName>
  </definedNames>
  <calcPr calcId="191029"/>
</workbook>
</file>

<file path=xl/calcChain.xml><?xml version="1.0" encoding="utf-8"?>
<calcChain xmlns="http://schemas.openxmlformats.org/spreadsheetml/2006/main">
  <c r="G87" i="4" l="1"/>
  <c r="G86" i="4"/>
  <c r="G93" i="4"/>
  <c r="G90" i="4"/>
  <c r="G89" i="4"/>
  <c r="G91" i="4"/>
  <c r="G88" i="4"/>
  <c r="G95" i="4"/>
  <c r="G100" i="4"/>
  <c r="G99" i="4"/>
  <c r="G98" i="4"/>
  <c r="G97" i="4"/>
  <c r="G92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 l="1"/>
  <c r="I78" i="4"/>
  <c r="I77" i="4"/>
  <c r="I76" i="4"/>
  <c r="I74" i="4"/>
  <c r="I71" i="4"/>
  <c r="I72" i="4"/>
  <c r="I73" i="4"/>
  <c r="I69" i="4"/>
  <c r="I68" i="4"/>
  <c r="M9" i="4"/>
  <c r="I9" i="4"/>
  <c r="G96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<sst xmlns="http://schemas.openxmlformats.org/spreadsheetml/2006/main" count="261" uniqueCount="137">
  <si>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</si>
  <si>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</si>
  <si>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</si>
  <si>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</si>
  <si>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</si>
  <si>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</si>
  <si>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</si>
  <si>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</si>
  <si>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</si>
  <si>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</si>
  <si>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</si>
  <si>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</si>
  <si>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</si>
  <si>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</si>
  <si>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</si>
  <si>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</si>
  <si>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</si>
  <si>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</si>
  <si>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</si>
  <si>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</si>
  <si>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</si>
  <si>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</si>
  <si>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</si>
  <si>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</si>
  <si>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</si>
  <si>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</si>
  <si>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</si>
  <si>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</si>
  <si>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</si>
  <si>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</si>
  <si>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</si>
  <si>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</si>
  <si>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</si>
  <si>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</si>
  <si>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</si>
  <si>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</si>
  <si>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</si>
  <si>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</si>
  <si>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</si>
  <si>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</si>
  <si>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</si>
  <si>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</si>
  <si>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</si>
  <si>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</si>
  <si>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</si>
  <si>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</si>
  <si>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</si>
  <si>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</si>
  <si>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</si>
  <si>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</si>
  <si>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</si>
  <si>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</si>
  <si>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</si>
  <si>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</si>
  <si>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</si>
  <si>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</si>
  <si>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</si>
  <si>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</si>
  <si>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</si>
  <si>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</si>
  <si>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</si>
  <si>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</si>
  <si>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</si>
  <si>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</si>
  <si>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</si>
  <si>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</si>
  <si>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</si>
  <si>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</si>
  <si>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</si>
  <si>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</si>
  <si>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</si>
  <si>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</si>
  <si>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</si>
  <si>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</si>
  <si>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</si>
  <si>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</si>
  <si>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</si>
  <si>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</si>
  <si>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</si>
  <si>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</si>
  <si>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</si>
  <si>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</si>
  <si>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</si>
  <si>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</si>
  <si>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</si>
  <si>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</si>
  <si>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</si>
  <si>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</si>
  <si>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</si>
  <si>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</si>
  <si>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</si>
  <si>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</si>
  <si>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</si>
  <si>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</si>
  <si>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</si>
  <si>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</si>
  <si>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</si>
  <si>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</si>
  <si>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</si>
  <si>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</si>
  <si>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</si>
  <si>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</si>
  <si>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</si>
  <si>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</si>
  <si>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</si>
  <si>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</si>
  <si>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</si>
  <si>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</si>
  <si>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</si>
  <si>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</si>
  <si>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</si>
  <si>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</si>
  <si>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</si>
  <si>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</si>
  <si>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</si>
  <si>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</si>
  <si>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</si>
  <si>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</si>
  <si>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</si>
  <si>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</si>
  <si>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</si>
  <si>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</si>
  <si>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</si>
  <si>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০৬-০৬-২০২৬ তারিখে মূল্য হ্রাস পেয়েছে।</t>
  </si>
  <si>
    <t>(৩)  অন্যান্য পণ্যের মূল্য অপরিবর্তীত রয়েছে।</t>
  </si>
  <si>
    <t>০৮-০৬-২০২৬ তারিখে মূল্য হ্রাস পেয়েছে।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</si>
  <si>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</si>
  <si>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</si>
  <si>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</si>
  <si>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</si>
  <si>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(১)   পেঁয়াজ (দেশী), শুকনা মরিচ (দেশী, আম), আদা (আম), মুরগী ব্রয়লার, কাঁচামরিচ, বেগুন, শসা  এর মূল্য হ্রাস পেয়েছে।</t>
  </si>
  <si>
    <t xml:space="preserve">নং-২৬.০৫.০০০০.০১৭.৩১.০১.২৬-৪৬১                                                                                                           তারিখঃ ১১-০৬-২০২৬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</si>
  <si>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১৩৯</t>
  </si>
  <si>
    <t xml:space="preserve">বৃহস্পতিবার ১১ জুন ২০২৬ খ্রিঃ, ২৮ জৈষ্ঠ ১৪৩৩ বাংলা, ২৪ জিলহজ ১৪৪৭ হিজরি 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</si>
  <si>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</si>
  <si>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</si>
  <si>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(২)   চাল (মাঝারী, মোটা), আটা (খোলা), সয়াবিন লুজ, ছোলা, হলুদ (দেশী, আম)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</si>
</sst>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topLeftCell="A88" zoomScale="90" zoomScaleNormal="90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6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120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133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6"/>
      <c r="Q4" s="56"/>
      <c r="R4" s="56"/>
    </row>
    <row r="5" spans="1:18">
      <c r="A5" s="80" t="s">
        <v>131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7"/>
      <c r="Q5" s="58"/>
    </row>
    <row r="6" spans="1:18" s="29" customFormat="1">
      <c r="A6" s="81" t="s">
        <v>1</v>
      </c>
      <c r="B6" s="81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6" t="s">
        <v>6</v>
      </c>
      <c r="J6" s="70" t="s">
        <v>7</v>
      </c>
      <c r="K6" s="71"/>
      <c r="L6" s="28" t="s">
        <v>8</v>
      </c>
      <c r="M6" s="53"/>
    </row>
    <row r="7" spans="1:18" s="29" customFormat="1">
      <c r="A7" s="82"/>
      <c r="B7" s="82"/>
      <c r="C7" s="66">
        <v>46184</v>
      </c>
      <c r="D7" s="67"/>
      <c r="E7" s="66">
        <v>46177</v>
      </c>
      <c r="F7" s="67"/>
      <c r="G7" s="68">
        <v>46153</v>
      </c>
      <c r="H7" s="69"/>
      <c r="I7" s="26" t="s">
        <v>9</v>
      </c>
      <c r="J7" s="68">
        <v>45812</v>
      </c>
      <c r="K7" s="69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52</v>
      </c>
      <c r="F10" s="41">
        <v>68</v>
      </c>
      <c r="G10" s="60">
        <v>60</v>
      </c>
      <c r="H10" s="60">
        <v>68</v>
      </c>
      <c r="I10" s="50">
        <f>((C10+D10)/2-(G10+H10)/2)/((G10+H10)/2)*100</f>
        <v>-3.90625</v>
      </c>
      <c r="J10" s="60">
        <v>53</v>
      </c>
      <c r="K10" s="60">
        <v>62</v>
      </c>
      <c r="L10" s="51">
        <f>((C10+D10)/2-(J10+K10)/2)/((J10+K10)/2)*100</f>
        <v>6.9565217391304346</v>
      </c>
      <c r="M10" s="53">
        <f t="shared" ref="M10:M70" si="0">((C10+D10)/2-(E10+F10)/2)/((E10+F10)/2)*100</f>
        <v>2.5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48</v>
      </c>
      <c r="F11" s="41">
        <v>60</v>
      </c>
      <c r="G11" s="60">
        <v>55</v>
      </c>
      <c r="H11" s="60">
        <v>60</v>
      </c>
      <c r="I11" s="50">
        <f>((C11+D11)/2-(G11+H11)/2)/((G11+H11)/2)*100</f>
        <v>-2.6086956521739131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3.7037037037037033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72</v>
      </c>
      <c r="I16" s="50">
        <f>((C16+D16)/2-(G16+H16)/2)/((G16+H16)/2)*100</f>
        <v>2.2727272727272729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160</v>
      </c>
      <c r="K18" s="60">
        <v>170</v>
      </c>
      <c r="L18" s="51">
        <f t="shared" ref="L18:L24" si="2">((C18+D18)/2-(J18+K18)/2)/((J18+K18)/2)*100</f>
        <v>15.454545454545453</v>
      </c>
      <c r="M18" s="53">
        <f t="shared" si="0"/>
        <v>0.26315789473684209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890</v>
      </c>
      <c r="K19" s="60">
        <v>920</v>
      </c>
      <c r="L19" s="51">
        <f t="shared" si="2"/>
        <v>7.7348066298342539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155</v>
      </c>
      <c r="L22" s="51">
        <f t="shared" si="2"/>
        <v>11.666666666666666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174</v>
      </c>
      <c r="I23" s="50">
        <f t="shared" si="1"/>
        <v>0.29069767441860467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1080</v>
      </c>
      <c r="I24" s="50">
        <f t="shared" si="1"/>
        <v>2.8436018957345972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140</v>
      </c>
      <c r="H28" s="60">
        <v>150</v>
      </c>
      <c r="I28" s="50">
        <f t="shared" si="3"/>
        <v>6.8965517241379306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120</v>
      </c>
      <c r="H29" s="60">
        <v>170</v>
      </c>
      <c r="I29" s="50">
        <f t="shared" si="3"/>
        <v>3.4482758620689653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70</v>
      </c>
      <c r="I30" s="50">
        <f t="shared" si="3"/>
        <v>3.8461538461538463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2.7027027027027026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0">
        <v>35</v>
      </c>
      <c r="H34" s="60">
        <v>40</v>
      </c>
      <c r="I34" s="50">
        <f t="shared" ref="I34:I49" si="5">((C34+D34)/2-(G34+H34)/2)/((G34+H34)/2)*100</f>
        <v>6.666666666666667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0</v>
      </c>
      <c r="J36" s="60">
        <v>100</v>
      </c>
      <c r="K36" s="60">
        <v>160</v>
      </c>
      <c r="L36" s="51">
        <f t="shared" si="6"/>
        <v>-23.076923076923077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0">
        <v>140</v>
      </c>
      <c r="H37" s="60">
        <v>220</v>
      </c>
      <c r="I37" s="50">
        <f t="shared" si="5"/>
        <v>-2.7777777777777777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360</v>
      </c>
      <c r="G38" s="60">
        <v>360</v>
      </c>
      <c r="H38" s="60">
        <v>380</v>
      </c>
      <c r="I38" s="50">
        <f t="shared" si="5"/>
        <v>-9.4594594594594597</v>
      </c>
      <c r="J38" s="60">
        <v>180</v>
      </c>
      <c r="K38" s="60">
        <v>350</v>
      </c>
      <c r="L38" s="51">
        <f t="shared" si="6"/>
        <v>26.415094339622641</v>
      </c>
      <c r="M38" s="53">
        <f t="shared" si="0"/>
        <v>-4.2857142857142856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0">
        <v>460</v>
      </c>
      <c r="H39" s="60">
        <v>480</v>
      </c>
      <c r="I39" s="50">
        <f t="shared" si="5"/>
        <v>-11.702127659574469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-4.5977011494252871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3">
        <v>300</v>
      </c>
      <c r="F40" s="43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3.0769230769230771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3">
        <v>280</v>
      </c>
      <c r="F41" s="43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2.9411764705882351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150</v>
      </c>
      <c r="F43" s="41">
        <v>250</v>
      </c>
      <c r="G43" s="60">
        <v>140</v>
      </c>
      <c r="H43" s="60">
        <v>200</v>
      </c>
      <c r="I43" s="50">
        <f t="shared" si="5"/>
        <v>0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-15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0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580</v>
      </c>
      <c r="L45" s="51">
        <f t="shared" si="6"/>
        <v>3.7735849056603774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0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200</v>
      </c>
      <c r="E55" s="41">
        <v>170</v>
      </c>
      <c r="F55" s="41">
        <v>200</v>
      </c>
      <c r="G55" s="60">
        <v>180</v>
      </c>
      <c r="H55" s="60">
        <v>210</v>
      </c>
      <c r="I55" s="50">
        <f t="shared" si="7"/>
        <v>-7.6923076923076925</v>
      </c>
      <c r="J55" s="60">
        <v>150</v>
      </c>
      <c r="K55" s="60">
        <v>190</v>
      </c>
      <c r="L55" s="51">
        <f t="shared" si="8"/>
        <v>5.8823529411764701</v>
      </c>
      <c r="M55" s="53">
        <f t="shared" si="0"/>
        <v>-2.7027027027027026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83"/>
      <c r="H64" s="83"/>
      <c r="I64" s="4"/>
      <c r="J64" s="3"/>
      <c r="K64" s="3"/>
      <c r="L64" s="5"/>
    </row>
    <row r="65" spans="1:13">
      <c r="A65" s="81" t="s">
        <v>1</v>
      </c>
      <c r="B65" s="81" t="s">
        <v>2</v>
      </c>
      <c r="C65" s="70" t="s">
        <v>3</v>
      </c>
      <c r="D65" s="71"/>
      <c r="E65" s="70" t="s">
        <v>4</v>
      </c>
      <c r="F65" s="71"/>
      <c r="G65" s="70" t="s">
        <v>5</v>
      </c>
      <c r="H65" s="71"/>
      <c r="I65" s="26" t="s">
        <v>6</v>
      </c>
      <c r="J65" s="70" t="s">
        <v>7</v>
      </c>
      <c r="K65" s="71"/>
      <c r="L65" s="26" t="s">
        <v>8</v>
      </c>
    </row>
    <row r="66" spans="1:13" ht="18" customHeight="1">
      <c r="A66" s="82"/>
      <c r="B66" s="82"/>
      <c r="C66" s="66">
        <v>46184</v>
      </c>
      <c r="D66" s="67"/>
      <c r="E66" s="66">
        <v>46177</v>
      </c>
      <c r="F66" s="67"/>
      <c r="G66" s="68">
        <v>46153</v>
      </c>
      <c r="H66" s="69"/>
      <c r="I66" s="26" t="s">
        <v>9</v>
      </c>
      <c r="J66" s="68">
        <v>45812</v>
      </c>
      <c r="K66" s="69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-60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>
      <c r="A72" s="47" t="s">
        <v>105</v>
      </c>
      <c r="B72" s="54" t="s">
        <v>14</v>
      </c>
      <c r="C72" s="41">
        <v>70</v>
      </c>
      <c r="D72" s="41">
        <v>120</v>
      </c>
      <c r="E72" s="41">
        <v>80</v>
      </c>
      <c r="F72" s="41">
        <v>150</v>
      </c>
      <c r="G72" s="60">
        <v>80</v>
      </c>
      <c r="H72" s="60">
        <v>120</v>
      </c>
      <c r="I72" s="50">
        <f t="shared" si="11"/>
        <v>-5</v>
      </c>
      <c r="J72" s="49">
        <v>60</v>
      </c>
      <c r="K72" s="49">
        <v>120</v>
      </c>
      <c r="L72" s="51">
        <f t="shared" si="9"/>
        <v>5.5555555555555554</v>
      </c>
      <c r="M72" s="53">
        <f t="shared" si="12"/>
        <v>-17.391304347826086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110</v>
      </c>
      <c r="E73" s="41">
        <v>80</v>
      </c>
      <c r="F73" s="41">
        <v>120</v>
      </c>
      <c r="G73" s="60">
        <v>80</v>
      </c>
      <c r="H73" s="60">
        <v>110</v>
      </c>
      <c r="I73" s="50">
        <f t="shared" si="11"/>
        <v>-5.2631578947368416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-10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100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-13.333333333333334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5" t="s">
        <v>130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</row>
    <row r="82" spans="1:12">
      <c r="A82" s="7"/>
      <c r="B82" s="75" t="s">
        <v>136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2">
      <c r="A83" s="7"/>
      <c r="B83" s="7" t="s">
        <v>124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0" t="s">
        <v>3</v>
      </c>
      <c r="D85" s="71"/>
      <c r="E85" s="72" t="s">
        <v>78</v>
      </c>
      <c r="F85" s="73"/>
      <c r="G85" s="27" t="s">
        <v>9</v>
      </c>
      <c r="H85" s="70" t="s">
        <v>79</v>
      </c>
      <c r="I85" s="74"/>
      <c r="J85" s="71"/>
      <c r="K85" s="10"/>
      <c r="L85" s="2"/>
    </row>
    <row r="86" spans="1:12">
      <c r="A86" s="47" t="s">
        <v>93</v>
      </c>
      <c r="B86" s="48" t="s">
        <v>14</v>
      </c>
      <c r="C86" s="41">
        <v>55</v>
      </c>
      <c r="D86" s="41">
        <v>68</v>
      </c>
      <c r="E86" s="41">
        <v>52</v>
      </c>
      <c r="F86" s="41">
        <v>68</v>
      </c>
      <c r="G86" s="32">
        <f t="shared" ref="G86:G100" si="13">((C86+D86)/2-(E86+F86)/2)/((E86+F86)/2)*100</f>
        <v>2.5</v>
      </c>
      <c r="H86" s="70" t="s">
        <v>134</v>
      </c>
      <c r="I86" s="74"/>
      <c r="J86" s="71"/>
      <c r="K86" s="10"/>
      <c r="L86" s="2"/>
    </row>
    <row r="87" spans="1:12">
      <c r="A87" s="47" t="s">
        <v>15</v>
      </c>
      <c r="B87" s="48" t="s">
        <v>14</v>
      </c>
      <c r="C87" s="41">
        <v>52</v>
      </c>
      <c r="D87" s="41">
        <v>60</v>
      </c>
      <c r="E87" s="41">
        <v>48</v>
      </c>
      <c r="F87" s="41">
        <v>60</v>
      </c>
      <c r="G87" s="32">
        <f t="shared" si="13"/>
        <v>3.7037037037037033</v>
      </c>
      <c r="H87" s="70" t="s">
        <v>134</v>
      </c>
      <c r="I87" s="74"/>
      <c r="J87" s="71"/>
      <c r="K87" s="10"/>
      <c r="L87" s="2"/>
    </row>
    <row r="88" spans="1:12">
      <c r="A88" s="47" t="s">
        <v>17</v>
      </c>
      <c r="B88" s="48" t="s">
        <v>14</v>
      </c>
      <c r="C88" s="41">
        <v>45</v>
      </c>
      <c r="D88" s="41">
        <v>46</v>
      </c>
      <c r="E88" s="41">
        <v>40</v>
      </c>
      <c r="F88" s="41">
        <v>46</v>
      </c>
      <c r="G88" s="32">
        <f t="shared" si="13"/>
        <v>5.8139534883720927</v>
      </c>
      <c r="H88" s="70" t="s">
        <v>126</v>
      </c>
      <c r="I88" s="74"/>
      <c r="J88" s="71"/>
      <c r="K88" s="10"/>
      <c r="L88" s="2"/>
    </row>
    <row r="89" spans="1:12">
      <c r="A89" s="47" t="s">
        <v>23</v>
      </c>
      <c r="B89" s="48" t="s">
        <v>24</v>
      </c>
      <c r="C89" s="43">
        <v>186</v>
      </c>
      <c r="D89" s="41">
        <v>195</v>
      </c>
      <c r="E89" s="43">
        <v>185</v>
      </c>
      <c r="F89" s="41">
        <v>195</v>
      </c>
      <c r="G89" s="32">
        <f t="shared" si="13"/>
        <v>0.26315789473684209</v>
      </c>
      <c r="H89" s="70" t="s">
        <v>128</v>
      </c>
      <c r="I89" s="74"/>
      <c r="J89" s="71"/>
      <c r="K89" s="10"/>
      <c r="L89" s="2"/>
    </row>
    <row r="90" spans="1:12">
      <c r="A90" s="47" t="s">
        <v>37</v>
      </c>
      <c r="B90" s="48" t="s">
        <v>14</v>
      </c>
      <c r="C90" s="41">
        <v>90</v>
      </c>
      <c r="D90" s="41">
        <v>100</v>
      </c>
      <c r="E90" s="41">
        <v>85</v>
      </c>
      <c r="F90" s="41">
        <v>100</v>
      </c>
      <c r="G90" s="32">
        <f t="shared" si="13"/>
        <v>2.7027027027027026</v>
      </c>
      <c r="H90" s="70" t="s">
        <v>128</v>
      </c>
      <c r="I90" s="74"/>
      <c r="J90" s="71"/>
      <c r="K90" s="10"/>
      <c r="L90" s="2"/>
    </row>
    <row r="91" spans="1:12">
      <c r="A91" s="47" t="s">
        <v>101</v>
      </c>
      <c r="B91" s="48" t="s">
        <v>14</v>
      </c>
      <c r="C91" s="43">
        <v>35</v>
      </c>
      <c r="D91" s="43">
        <v>45</v>
      </c>
      <c r="E91" s="43">
        <v>40</v>
      </c>
      <c r="F91" s="43">
        <v>45</v>
      </c>
      <c r="G91" s="32">
        <f t="shared" si="13"/>
        <v>-5.8823529411764701</v>
      </c>
      <c r="H91" s="70" t="s">
        <v>129</v>
      </c>
      <c r="I91" s="74"/>
      <c r="J91" s="71"/>
      <c r="K91" s="10"/>
      <c r="L91" s="2"/>
    </row>
    <row r="92" spans="1:12">
      <c r="A92" s="47" t="s">
        <v>42</v>
      </c>
      <c r="B92" s="48" t="s">
        <v>14</v>
      </c>
      <c r="C92" s="41">
        <v>300</v>
      </c>
      <c r="D92" s="41">
        <v>370</v>
      </c>
      <c r="E92" s="41">
        <v>340</v>
      </c>
      <c r="F92" s="41">
        <v>360</v>
      </c>
      <c r="G92" s="32">
        <f t="shared" si="13"/>
        <v>-4.2857142857142856</v>
      </c>
      <c r="H92" s="70" t="s">
        <v>127</v>
      </c>
      <c r="I92" s="74"/>
      <c r="J92" s="71"/>
      <c r="K92" s="10"/>
      <c r="L92" s="2"/>
    </row>
    <row r="93" spans="1:12">
      <c r="A93" s="47" t="s">
        <v>43</v>
      </c>
      <c r="B93" s="48" t="s">
        <v>14</v>
      </c>
      <c r="C93" s="43">
        <v>380</v>
      </c>
      <c r="D93" s="43">
        <v>450</v>
      </c>
      <c r="E93" s="43">
        <v>420</v>
      </c>
      <c r="F93" s="43">
        <v>450</v>
      </c>
      <c r="G93" s="32">
        <f t="shared" si="13"/>
        <v>-4.5977011494252871</v>
      </c>
      <c r="H93" s="70" t="s">
        <v>129</v>
      </c>
      <c r="I93" s="74"/>
      <c r="J93" s="71"/>
      <c r="K93" s="10"/>
      <c r="L93" s="2"/>
    </row>
    <row r="94" spans="1:12">
      <c r="A94" s="47" t="s">
        <v>44</v>
      </c>
      <c r="B94" s="48" t="s">
        <v>14</v>
      </c>
      <c r="C94" s="41">
        <v>320</v>
      </c>
      <c r="D94" s="41">
        <v>350</v>
      </c>
      <c r="E94" s="43">
        <v>300</v>
      </c>
      <c r="F94" s="43">
        <v>350</v>
      </c>
      <c r="G94" s="32">
        <f t="shared" si="13"/>
        <v>3.0769230769230771</v>
      </c>
      <c r="H94" s="70" t="s">
        <v>126</v>
      </c>
      <c r="I94" s="74"/>
      <c r="J94" s="71"/>
      <c r="K94" s="10"/>
      <c r="L94" s="55"/>
    </row>
    <row r="95" spans="1:12">
      <c r="A95" s="47" t="s">
        <v>45</v>
      </c>
      <c r="B95" s="48" t="s">
        <v>14</v>
      </c>
      <c r="C95" s="41">
        <v>300</v>
      </c>
      <c r="D95" s="41">
        <v>400</v>
      </c>
      <c r="E95" s="43">
        <v>280</v>
      </c>
      <c r="F95" s="43">
        <v>400</v>
      </c>
      <c r="G95" s="32">
        <f t="shared" si="13"/>
        <v>2.9411764705882351</v>
      </c>
      <c r="H95" s="70" t="s">
        <v>126</v>
      </c>
      <c r="I95" s="74"/>
      <c r="J95" s="71"/>
      <c r="K95" s="10"/>
      <c r="L95" s="55"/>
    </row>
    <row r="96" spans="1:12">
      <c r="A96" s="47" t="s">
        <v>47</v>
      </c>
      <c r="B96" s="48" t="s">
        <v>14</v>
      </c>
      <c r="C96" s="41">
        <v>130</v>
      </c>
      <c r="D96" s="41">
        <v>210</v>
      </c>
      <c r="E96" s="41">
        <v>150</v>
      </c>
      <c r="F96" s="41">
        <v>250</v>
      </c>
      <c r="G96" s="32">
        <f t="shared" si="13"/>
        <v>-15</v>
      </c>
      <c r="H96" s="70" t="s">
        <v>135</v>
      </c>
      <c r="I96" s="74"/>
      <c r="J96" s="71"/>
      <c r="K96" s="10"/>
      <c r="L96" s="55"/>
    </row>
    <row r="97" spans="1:12">
      <c r="A97" s="47" t="s">
        <v>57</v>
      </c>
      <c r="B97" s="48" t="s">
        <v>14</v>
      </c>
      <c r="C97" s="41">
        <v>160</v>
      </c>
      <c r="D97" s="41">
        <v>200</v>
      </c>
      <c r="E97" s="41">
        <v>170</v>
      </c>
      <c r="F97" s="41">
        <v>200</v>
      </c>
      <c r="G97" s="32">
        <f t="shared" si="13"/>
        <v>-2.7027027027027026</v>
      </c>
      <c r="H97" s="70" t="s">
        <v>125</v>
      </c>
      <c r="I97" s="74"/>
      <c r="J97" s="71"/>
      <c r="K97" s="10"/>
      <c r="L97" s="55"/>
    </row>
    <row r="98" spans="1:12">
      <c r="A98" s="47" t="s">
        <v>105</v>
      </c>
      <c r="B98" s="54" t="s">
        <v>14</v>
      </c>
      <c r="C98" s="41">
        <v>70</v>
      </c>
      <c r="D98" s="41">
        <v>120</v>
      </c>
      <c r="E98" s="41">
        <v>80</v>
      </c>
      <c r="F98" s="41">
        <v>150</v>
      </c>
      <c r="G98" s="32">
        <f t="shared" si="13"/>
        <v>-17.391304347826086</v>
      </c>
      <c r="H98" s="70" t="s">
        <v>125</v>
      </c>
      <c r="I98" s="74"/>
      <c r="J98" s="71"/>
      <c r="K98" s="10"/>
      <c r="L98" s="55"/>
    </row>
    <row r="99" spans="1:12">
      <c r="A99" s="47" t="s">
        <v>106</v>
      </c>
      <c r="B99" s="54" t="s">
        <v>14</v>
      </c>
      <c r="C99" s="41">
        <v>70</v>
      </c>
      <c r="D99" s="41">
        <v>110</v>
      </c>
      <c r="E99" s="41">
        <v>80</v>
      </c>
      <c r="F99" s="41">
        <v>120</v>
      </c>
      <c r="G99" s="32">
        <f t="shared" si="13"/>
        <v>-10</v>
      </c>
      <c r="H99" s="70" t="s">
        <v>125</v>
      </c>
      <c r="I99" s="74"/>
      <c r="J99" s="71"/>
      <c r="K99" s="10"/>
      <c r="L99" s="55"/>
    </row>
    <row r="100" spans="1:12">
      <c r="A100" s="47" t="s">
        <v>107</v>
      </c>
      <c r="B100" s="54" t="s">
        <v>14</v>
      </c>
      <c r="C100" s="41">
        <v>50</v>
      </c>
      <c r="D100" s="41">
        <v>80</v>
      </c>
      <c r="E100" s="41">
        <v>50</v>
      </c>
      <c r="F100" s="41">
        <v>100</v>
      </c>
      <c r="G100" s="32">
        <f t="shared" si="13"/>
        <v>-13.333333333333334</v>
      </c>
      <c r="H100" s="70" t="s">
        <v>123</v>
      </c>
      <c r="I100" s="74"/>
      <c r="J100" s="71"/>
      <c r="K100" s="10"/>
      <c r="L100" s="55"/>
    </row>
    <row r="101" spans="1:12">
      <c r="A101" s="7"/>
      <c r="B101" s="1"/>
      <c r="C101" s="6"/>
      <c r="D101" s="6"/>
      <c r="E101" s="6"/>
      <c r="F101" s="6"/>
      <c r="G101" s="4"/>
      <c r="H101" s="7"/>
      <c r="I101" s="1"/>
      <c r="J101" s="1"/>
      <c r="K101" s="10"/>
      <c r="L101" s="12"/>
    </row>
    <row r="102" spans="1:12">
      <c r="A102" s="7"/>
      <c r="B102" s="1"/>
      <c r="C102" s="6"/>
      <c r="D102" s="6"/>
      <c r="E102" s="6"/>
      <c r="F102" s="6"/>
      <c r="G102" s="4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114</v>
      </c>
      <c r="C104" s="2"/>
      <c r="E104" s="7"/>
      <c r="F104" s="14" t="s">
        <v>102</v>
      </c>
      <c r="G104" s="2"/>
      <c r="I104" s="15"/>
      <c r="J104" s="1" t="s">
        <v>121</v>
      </c>
      <c r="K104" s="2"/>
      <c r="L104" s="12"/>
    </row>
    <row r="105" spans="1:12">
      <c r="A105" s="16"/>
      <c r="B105" s="14" t="s">
        <v>113</v>
      </c>
      <c r="C105" s="1"/>
      <c r="E105" s="16"/>
      <c r="F105" s="14" t="s">
        <v>103</v>
      </c>
      <c r="G105" s="1"/>
      <c r="I105" s="17"/>
      <c r="J105" s="1" t="s">
        <v>122</v>
      </c>
      <c r="L105" s="12"/>
    </row>
    <row r="106" spans="1:12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>
      <c r="A107" s="7"/>
      <c r="B107" s="1"/>
      <c r="C107" s="3"/>
      <c r="D107" s="3"/>
      <c r="E107" s="3"/>
      <c r="F107" s="3"/>
      <c r="G107" s="4"/>
      <c r="H107" s="18"/>
      <c r="I107" s="12"/>
      <c r="J107" s="12"/>
      <c r="K107" s="12"/>
      <c r="L107" s="12"/>
    </row>
    <row r="108" spans="1:12">
      <c r="A108" s="7"/>
      <c r="C108" s="6"/>
      <c r="D108" s="6"/>
      <c r="E108" s="1"/>
      <c r="F108" s="6"/>
      <c r="G108" s="4"/>
      <c r="H108" s="18"/>
      <c r="I108" s="12"/>
      <c r="J108" s="12"/>
      <c r="K108" s="12"/>
      <c r="L108" s="12"/>
    </row>
    <row r="109" spans="1:12">
      <c r="A109" s="19" t="s">
        <v>86</v>
      </c>
      <c r="B109" s="20"/>
      <c r="C109" s="21"/>
      <c r="D109" s="20"/>
      <c r="E109" s="21"/>
      <c r="F109" s="21"/>
      <c r="G109" s="21"/>
      <c r="H109" s="22"/>
      <c r="I109" s="2"/>
      <c r="J109" s="2"/>
      <c r="K109" s="2"/>
      <c r="L109" s="2"/>
    </row>
    <row r="110" spans="1:12">
      <c r="A110" s="23" t="s">
        <v>115</v>
      </c>
      <c r="B110" s="20"/>
      <c r="C110" s="21"/>
      <c r="D110" s="20"/>
      <c r="E110" s="21"/>
      <c r="F110" s="21"/>
      <c r="G110" s="20"/>
      <c r="H110" s="22"/>
      <c r="I110" s="2"/>
      <c r="J110" s="2"/>
      <c r="K110" s="2"/>
      <c r="L110" s="2"/>
    </row>
    <row r="111" spans="1:12">
      <c r="A111" s="23" t="s">
        <v>108</v>
      </c>
      <c r="B111" s="20"/>
      <c r="C111" s="20"/>
      <c r="D111" s="20"/>
      <c r="E111" s="20"/>
      <c r="F111" s="21"/>
      <c r="G111" s="20"/>
      <c r="H111" s="22"/>
      <c r="I111" s="2"/>
      <c r="J111" s="2"/>
      <c r="K111" s="2"/>
      <c r="L111" s="2"/>
    </row>
    <row r="112" spans="1:12">
      <c r="A112" s="23" t="s">
        <v>80</v>
      </c>
      <c r="B112" s="20"/>
      <c r="C112" s="20"/>
      <c r="D112" s="20"/>
      <c r="E112" s="20"/>
      <c r="F112" s="22"/>
      <c r="G112" s="22"/>
      <c r="H112" s="22"/>
      <c r="I112" s="2"/>
      <c r="J112" s="2"/>
      <c r="K112" s="2"/>
      <c r="L112" s="2"/>
    </row>
    <row r="113" spans="1:12">
      <c r="A113" s="23" t="s">
        <v>109</v>
      </c>
      <c r="B113" s="20"/>
      <c r="C113" s="20"/>
      <c r="D113" s="20"/>
      <c r="E113" s="20"/>
      <c r="F113" s="20"/>
      <c r="G113" s="22"/>
      <c r="H113" s="22"/>
      <c r="I113" s="2"/>
      <c r="J113" s="2"/>
      <c r="K113" s="2"/>
      <c r="L113" s="2"/>
    </row>
    <row r="114" spans="1:12">
      <c r="A114" s="23" t="s">
        <v>89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95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88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87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81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90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116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91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>
      <c r="A122" s="23" t="s">
        <v>92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>
      <c r="A123" s="23" t="s">
        <v>110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/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>
      <c r="A125" s="19" t="s">
        <v>82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 t="s">
        <v>83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>
      <c r="A127" s="23" t="s">
        <v>117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>
      <c r="A128" s="23" t="s">
        <v>118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>
      <c r="A129" s="23" t="s">
        <v>99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445" spans="2:2">
      <c r="B445" s="11" t="s">
        <v>112</v>
      </c>
    </row>
  </sheetData>
  <mergeCells count="46">
    <mergeCell ref="H86:J86"/>
    <mergeCell ref="H87:J87"/>
    <mergeCell ref="H89:J89"/>
    <mergeCell ref="H90:J90"/>
    <mergeCell ref="H93:J93"/>
    <mergeCell ref="H100:J100"/>
    <mergeCell ref="H88:J88"/>
    <mergeCell ref="H95:J95"/>
    <mergeCell ref="H91:J91"/>
    <mergeCell ref="H92:J92"/>
    <mergeCell ref="H98:J98"/>
    <mergeCell ref="H99:J99"/>
    <mergeCell ref="H96:J96"/>
    <mergeCell ref="H94:J94"/>
    <mergeCell ref="H97:J97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G64:H64"/>
    <mergeCell ref="C65:D65"/>
    <mergeCell ref="E65:F65"/>
    <mergeCell ref="G65:H65"/>
    <mergeCell ref="B81:L8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2026-06-11T07:18:12Z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