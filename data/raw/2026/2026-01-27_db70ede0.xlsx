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4D71A4A4-AAC6-4483-8377-E0A11432DDB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91" i="4"/>
  <c r="G90" i="4"/>
  <c r="G87" i="4"/>
  <c r="G89" i="4"/>
  <c r="G85" i="4" l="1"/>
  <c r="G86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<sst xmlns="http://schemas.openxmlformats.org/spreadsheetml/2006/main" count="232" uniqueCount="129">
  <si>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</si>
  <si>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</si>
  <si>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</si>
  <si>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</si>
  <si>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</si>
  <si>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</si>
  <si>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</si>
  <si>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</si>
  <si>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</si>
  <si>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</si>
  <si>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</si>
  <si>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</si>
  <si>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</si>
  <si>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</si>
  <si>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</si>
  <si>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</si>
  <si>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</si>
  <si>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</si>
  <si>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</si>
  <si>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</si>
  <si>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</si>
  <si>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</si>
  <si>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</si>
  <si>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</si>
  <si>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</si>
  <si>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</si>
  <si>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</si>
  <si>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</si>
  <si>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</si>
  <si>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</si>
  <si>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</si>
  <si>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</si>
  <si>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</si>
  <si>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</si>
  <si>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</si>
  <si>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</si>
  <si>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</si>
  <si>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</si>
  <si>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</si>
  <si>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</si>
  <si>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</si>
  <si>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</si>
  <si>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</si>
  <si>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</si>
  <si>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</si>
  <si>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</si>
  <si>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</si>
  <si>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</si>
  <si>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</si>
  <si>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</si>
  <si>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</si>
  <si>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</si>
  <si>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</si>
  <si>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</si>
  <si>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</si>
  <si>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</si>
  <si>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</si>
  <si>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</si>
  <si>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</si>
  <si>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</si>
  <si>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</si>
  <si>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</si>
  <si>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</si>
  <si>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</si>
  <si>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</si>
  <si>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</si>
  <si>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</si>
  <si>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</si>
  <si>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</si>
  <si>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</si>
  <si>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</si>
  <si>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</si>
  <si>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</si>
  <si>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</si>
  <si>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</si>
  <si>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</si>
  <si>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</si>
  <si>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</si>
  <si>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</si>
  <si>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</si>
  <si>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</si>
  <si>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</si>
  <si>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</si>
  <si>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</si>
  <si>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</si>
  <si>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</si>
  <si>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</si>
  <si>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</si>
  <si>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</si>
  <si>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</si>
  <si>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</si>
  <si>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</si>
  <si>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</si>
  <si>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</si>
  <si>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</si>
  <si>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</si>
  <si>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</si>
  <si>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</si>
  <si>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</si>
  <si>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</si>
  <si>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</si>
  <si>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</si>
  <si>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</si>
  <si>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</si>
  <si>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</si>
  <si>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</si>
  <si>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</si>
  <si>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</si>
  <si>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</si>
  <si>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</si>
  <si>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</si>
  <si>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</si>
  <si>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</si>
  <si>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</si>
  <si>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</si>
  <si>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</si>
  <si>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</si>
  <si>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</si>
  <si>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</si>
  <si>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২৫-০১-২০২৬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</si>
  <si>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রামপুরা, নিউমার্কেট বাজার।   </t>
  </si>
  <si>
    <t>২৬-০১-২০২৬ তারিখে মূল্য বৃদ্ধি পেয়েছে।</t>
  </si>
  <si>
    <t>২৬-০১-২০২৬ তারিখে মূল্য হ্রাস পেয়েছে।</t>
  </si>
  <si>
    <t>স্মারক নং-২৬.০৫.০০০০.০১৭.৩১.০১.২৬-০৯১</t>
  </si>
  <si>
    <t xml:space="preserve">   সিরিয়াল নংঃ     ০২৭</t>
  </si>
  <si>
    <t xml:space="preserve">মঙ্গলবার ২৭ জানুয়ারী ২০২৬ খ্রিঃ, ১৩ মাঘ ১৪৩২ বাংলা, ০৭ শাবান ১৪৪৭ হিজরি </t>
  </si>
  <si>
    <t>২৭-০১-২০২৬ তারিখে মূল্য হ্রাস পেয়েছে।</t>
  </si>
  <si>
    <t>(২)   মুরগী ব্রয়লার   এর মূল্য বৃদ্ধি পেয়েছে।</t>
  </si>
  <si>
    <t>(১)   সয়াবিন তেল (২লি: বোতল), আলু, পেঁয়াজ (দেশী), আদা (আম), ডিম, 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</si>
</sst>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7"/>
  <sheetViews>
    <sheetView tabSelected="1" zoomScale="106" zoomScaleNormal="106" workbookViewId="0">
      <selection activeCell="B80" sqref="B8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124</v>
      </c>
      <c r="L6" s="88"/>
    </row>
    <row r="7" spans="1:12" ht="19.5" customHeight="1">
      <c r="A7" s="17"/>
      <c r="B7" s="8"/>
      <c r="C7" s="8"/>
      <c r="D7" s="17"/>
      <c r="E7" s="8"/>
      <c r="F7" s="8" t="s">
        <v>125</v>
      </c>
      <c r="G7" s="8"/>
      <c r="H7" s="8"/>
      <c r="I7" s="8"/>
      <c r="J7" s="8"/>
      <c r="K7" s="8"/>
      <c r="L7" s="49"/>
    </row>
    <row r="8" spans="1:12" ht="21.75">
      <c r="A8" s="20" t="s">
        <v>123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46049</v>
      </c>
    </row>
    <row r="9" spans="1:12" ht="21.7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.75">
      <c r="A10" s="25"/>
      <c r="B10" s="26"/>
      <c r="C10" s="89">
        <v>46049</v>
      </c>
      <c r="D10" s="88"/>
      <c r="E10" s="89">
        <v>46042</v>
      </c>
      <c r="F10" s="88"/>
      <c r="G10" s="89">
        <v>46017</v>
      </c>
      <c r="H10" s="88"/>
      <c r="I10" s="26" t="s">
        <v>12</v>
      </c>
      <c r="J10" s="89">
        <v>45684</v>
      </c>
      <c r="K10" s="88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60</v>
      </c>
      <c r="K13" s="29">
        <v>65</v>
      </c>
      <c r="L13" s="31">
        <f>((C13+D13)/2-(J13+K13)/2)/((J13+K13)/2)*100</f>
        <v>0.8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54</v>
      </c>
      <c r="H14" s="29">
        <v>60</v>
      </c>
      <c r="I14" s="30">
        <f>((C14+D14)/2-(G14+H14)/2)/((G14+H14)/2)*100</f>
        <v>-3.5087719298245612</v>
      </c>
      <c r="J14" s="29">
        <v>54</v>
      </c>
      <c r="K14" s="29">
        <v>58</v>
      </c>
      <c r="L14" s="31">
        <f>((C14+D14)/2-(J14+K14)/2)/((J14+K14)/2)*100</f>
        <v>-1.7857142857142856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172</v>
      </c>
      <c r="H21" s="29">
        <v>185</v>
      </c>
      <c r="I21" s="30">
        <f t="shared" ref="I21:I27" si="0">((C21+D21)/2-(G21+H21)/2)/((G21+H21)/2)*100</f>
        <v>0.84033613445378152</v>
      </c>
      <c r="J21" s="29">
        <v>170</v>
      </c>
      <c r="K21" s="29">
        <v>173</v>
      </c>
      <c r="L21" s="31">
        <f t="shared" ref="L21:L27" si="1">((C21+D21)/2-(J21+K21)/2)/((J21+K21)/2)*100</f>
        <v>4.9562682215743443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390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345</v>
      </c>
      <c r="K23" s="29">
        <v>350</v>
      </c>
      <c r="L23" s="31">
        <f t="shared" si="1"/>
        <v>12.23021582733813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.75">
      <c r="A25" s="69" t="s">
        <v>33</v>
      </c>
      <c r="B25" s="6" t="s">
        <v>28</v>
      </c>
      <c r="C25" s="29">
        <v>148</v>
      </c>
      <c r="D25" s="29">
        <v>162</v>
      </c>
      <c r="E25" s="29">
        <v>148</v>
      </c>
      <c r="F25" s="29">
        <v>162</v>
      </c>
      <c r="G25" s="29">
        <v>152</v>
      </c>
      <c r="H25" s="29">
        <v>162</v>
      </c>
      <c r="I25" s="30">
        <f t="shared" si="0"/>
        <v>-1.2738853503184715</v>
      </c>
      <c r="J25" s="29">
        <v>155</v>
      </c>
      <c r="K25" s="29">
        <v>158</v>
      </c>
      <c r="L25" s="31">
        <f t="shared" si="1"/>
        <v>-0.95846645367412142</v>
      </c>
    </row>
    <row r="26" spans="1:12" ht="21.75">
      <c r="A26" s="69" t="s">
        <v>104</v>
      </c>
      <c r="B26" s="6" t="s">
        <v>28</v>
      </c>
      <c r="C26" s="29">
        <v>155</v>
      </c>
      <c r="D26" s="29">
        <v>165</v>
      </c>
      <c r="E26" s="29">
        <v>155</v>
      </c>
      <c r="F26" s="29">
        <v>165</v>
      </c>
      <c r="G26" s="29">
        <v>155</v>
      </c>
      <c r="H26" s="29">
        <v>165</v>
      </c>
      <c r="I26" s="30">
        <f t="shared" si="0"/>
        <v>0</v>
      </c>
      <c r="J26" s="29">
        <v>159</v>
      </c>
      <c r="K26" s="29">
        <v>162</v>
      </c>
      <c r="L26" s="31">
        <f t="shared" si="1"/>
        <v>-0.3115264797507788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1020</v>
      </c>
      <c r="K27" s="29">
        <v>1060</v>
      </c>
      <c r="L27" s="31">
        <f t="shared" si="1"/>
        <v>1.4423076923076923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90</v>
      </c>
      <c r="H29" s="29">
        <v>100</v>
      </c>
      <c r="I29" s="30">
        <f t="shared" ref="I29:I35" si="2">((C29+D29)/2-(G29+H29)/2)/((G29+H29)/2)*100</f>
        <v>-2.6315789473684208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115</v>
      </c>
      <c r="H30" s="29">
        <v>140</v>
      </c>
      <c r="I30" s="30">
        <f t="shared" si="2"/>
        <v>-9.8039215686274517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165</v>
      </c>
      <c r="I31" s="30">
        <f t="shared" si="2"/>
        <v>-1.5873015873015872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140</v>
      </c>
      <c r="H32" s="29">
        <v>180</v>
      </c>
      <c r="I32" s="30">
        <f t="shared" si="2"/>
        <v>-6.25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65</v>
      </c>
      <c r="E33" s="29">
        <v>50</v>
      </c>
      <c r="F33" s="29">
        <v>65</v>
      </c>
      <c r="G33" s="29">
        <v>50</v>
      </c>
      <c r="H33" s="29">
        <v>75</v>
      </c>
      <c r="I33" s="30">
        <f t="shared" si="2"/>
        <v>-8</v>
      </c>
      <c r="J33" s="29">
        <v>65</v>
      </c>
      <c r="K33" s="29">
        <v>80</v>
      </c>
      <c r="L33" s="31">
        <f t="shared" si="3"/>
        <v>-20.689655172413794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90</v>
      </c>
      <c r="H34" s="29">
        <v>100</v>
      </c>
      <c r="I34" s="30">
        <f t="shared" si="2"/>
        <v>-7.8947368421052628</v>
      </c>
      <c r="J34" s="29">
        <v>115</v>
      </c>
      <c r="K34" s="29">
        <v>130</v>
      </c>
      <c r="L34" s="31">
        <f t="shared" si="3"/>
        <v>-28.571428571428569</v>
      </c>
    </row>
    <row r="35" spans="1:12" ht="21.75">
      <c r="A35" s="69" t="s">
        <v>113</v>
      </c>
      <c r="B35" s="6" t="s">
        <v>18</v>
      </c>
      <c r="C35" s="29">
        <v>20</v>
      </c>
      <c r="D35" s="29">
        <v>30</v>
      </c>
      <c r="E35" s="29">
        <v>20</v>
      </c>
      <c r="F35" s="29">
        <v>35</v>
      </c>
      <c r="G35" s="29">
        <v>20</v>
      </c>
      <c r="H35" s="29">
        <v>30</v>
      </c>
      <c r="I35" s="30">
        <f t="shared" si="2"/>
        <v>0</v>
      </c>
      <c r="J35" s="29">
        <v>20</v>
      </c>
      <c r="K35" s="29">
        <v>30</v>
      </c>
      <c r="L35" s="31">
        <f t="shared" si="3"/>
        <v>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3" t="s">
        <v>114</v>
      </c>
      <c r="B37" s="6" t="s">
        <v>18</v>
      </c>
      <c r="C37" s="29">
        <v>40</v>
      </c>
      <c r="D37" s="29">
        <v>70</v>
      </c>
      <c r="E37" s="29">
        <v>50</v>
      </c>
      <c r="F37" s="29">
        <v>70</v>
      </c>
      <c r="G37" s="29">
        <v>60</v>
      </c>
      <c r="H37" s="29">
        <v>140</v>
      </c>
      <c r="I37" s="30">
        <f t="shared" ref="I37:I52" si="4">((C37+D37)/2-(G37+H37)/2)/((G37+H37)/2)*100</f>
        <v>-45</v>
      </c>
      <c r="J37" s="29">
        <v>40</v>
      </c>
      <c r="K37" s="29">
        <v>60</v>
      </c>
      <c r="L37" s="31">
        <f t="shared" ref="L37:L52" si="5">((C37+D37)/2-(J37+K37)/2)/((J37+K37)/2)*100</f>
        <v>10</v>
      </c>
    </row>
    <row r="38" spans="1:12" ht="21.75">
      <c r="A38" s="69" t="s">
        <v>43</v>
      </c>
      <c r="B38" s="6" t="s">
        <v>18</v>
      </c>
      <c r="C38" s="29">
        <v>70</v>
      </c>
      <c r="D38" s="29">
        <v>80</v>
      </c>
      <c r="E38" s="29">
        <v>70</v>
      </c>
      <c r="F38" s="29">
        <v>80</v>
      </c>
      <c r="G38" s="29">
        <v>100</v>
      </c>
      <c r="H38" s="29">
        <v>110</v>
      </c>
      <c r="I38" s="30">
        <f t="shared" si="4"/>
        <v>-28.571428571428569</v>
      </c>
      <c r="J38" s="29">
        <v>45</v>
      </c>
      <c r="K38" s="29">
        <v>60</v>
      </c>
      <c r="L38" s="31">
        <f t="shared" si="5"/>
        <v>42.857142857142854</v>
      </c>
    </row>
    <row r="39" spans="1:12" ht="21.75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210</v>
      </c>
      <c r="K39" s="29">
        <v>260</v>
      </c>
      <c r="L39" s="31">
        <f t="shared" si="5"/>
        <v>-53.191489361702125</v>
      </c>
    </row>
    <row r="40" spans="1:12" ht="21.75">
      <c r="A40" s="69" t="s">
        <v>45</v>
      </c>
      <c r="B40" s="6" t="s">
        <v>18</v>
      </c>
      <c r="C40" s="29">
        <v>160</v>
      </c>
      <c r="D40" s="29">
        <v>200</v>
      </c>
      <c r="E40" s="29">
        <v>160</v>
      </c>
      <c r="F40" s="29">
        <v>200</v>
      </c>
      <c r="G40" s="29">
        <v>160</v>
      </c>
      <c r="H40" s="29">
        <v>200</v>
      </c>
      <c r="I40" s="30">
        <f t="shared" si="4"/>
        <v>0</v>
      </c>
      <c r="J40" s="29">
        <v>220</v>
      </c>
      <c r="K40" s="29">
        <v>240</v>
      </c>
      <c r="L40" s="31">
        <f t="shared" si="5"/>
        <v>-21.739130434782609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150</v>
      </c>
      <c r="H45" s="29">
        <v>200</v>
      </c>
      <c r="I45" s="30">
        <f t="shared" si="4"/>
        <v>-2.8571428571428572</v>
      </c>
      <c r="J45" s="29">
        <v>120</v>
      </c>
      <c r="K45" s="29">
        <v>180</v>
      </c>
      <c r="L45" s="31">
        <f t="shared" si="5"/>
        <v>13.333333333333334</v>
      </c>
    </row>
    <row r="46" spans="1:12" ht="21.75">
      <c r="A46" s="69" t="s">
        <v>51</v>
      </c>
      <c r="B46" s="6" t="s">
        <v>18</v>
      </c>
      <c r="C46" s="29">
        <v>140</v>
      </c>
      <c r="D46" s="29">
        <v>220</v>
      </c>
      <c r="E46" s="29">
        <v>150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750</v>
      </c>
      <c r="I47" s="30">
        <f t="shared" si="4"/>
        <v>-2.2556390977443606</v>
      </c>
      <c r="J47" s="29">
        <v>675</v>
      </c>
      <c r="K47" s="29">
        <v>800</v>
      </c>
      <c r="L47" s="31">
        <f t="shared" si="5"/>
        <v>-11.864406779661017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1800</v>
      </c>
      <c r="L49" s="31">
        <f t="shared" si="5"/>
        <v>-7.8125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225</v>
      </c>
      <c r="I52" s="30">
        <f t="shared" si="4"/>
        <v>-1.2987012987012987</v>
      </c>
      <c r="J52" s="29">
        <v>160</v>
      </c>
      <c r="K52" s="29">
        <v>220</v>
      </c>
      <c r="L52" s="31">
        <f t="shared" si="5"/>
        <v>0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250</v>
      </c>
      <c r="K54" s="29">
        <v>450</v>
      </c>
      <c r="L54" s="31">
        <f t="shared" ref="L54:L59" si="7">((C54+D54)/2-(J54+K54)/2)/((J54+K54)/2)*100</f>
        <v>7.1428571428571423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800</v>
      </c>
      <c r="H55" s="29">
        <v>1800</v>
      </c>
      <c r="I55" s="30">
        <f t="shared" si="6"/>
        <v>42.307692307692307</v>
      </c>
      <c r="J55" s="29">
        <v>650</v>
      </c>
      <c r="K55" s="29">
        <v>1600</v>
      </c>
      <c r="L55" s="31">
        <f t="shared" si="7"/>
        <v>64.444444444444443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170</v>
      </c>
      <c r="D58" s="29">
        <v>180</v>
      </c>
      <c r="E58" s="29">
        <v>165</v>
      </c>
      <c r="F58" s="29">
        <v>180</v>
      </c>
      <c r="G58" s="29">
        <v>150</v>
      </c>
      <c r="H58" s="29">
        <v>170</v>
      </c>
      <c r="I58" s="30">
        <f t="shared" si="6"/>
        <v>9.375</v>
      </c>
      <c r="J58" s="29">
        <v>190</v>
      </c>
      <c r="K58" s="29">
        <v>210</v>
      </c>
      <c r="L58" s="31">
        <f t="shared" si="7"/>
        <v>-12.5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>
      <c r="A69" s="73"/>
      <c r="B69" s="64"/>
      <c r="C69" s="89">
        <v>46049</v>
      </c>
      <c r="D69" s="88"/>
      <c r="E69" s="89">
        <v>46042</v>
      </c>
      <c r="F69" s="88"/>
      <c r="G69" s="89">
        <v>46017</v>
      </c>
      <c r="H69" s="88"/>
      <c r="I69" s="26" t="s">
        <v>12</v>
      </c>
      <c r="J69" s="89">
        <v>45684</v>
      </c>
      <c r="K69" s="88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110</v>
      </c>
      <c r="G71" s="29">
        <v>95</v>
      </c>
      <c r="H71" s="29">
        <v>100</v>
      </c>
      <c r="I71" s="30">
        <f>((C71+D71)/2-(G71+H71)/2)/((G71+H71)/2)*100</f>
        <v>4.1025641025641022</v>
      </c>
      <c r="J71" s="29">
        <v>118</v>
      </c>
      <c r="K71" s="29">
        <v>125</v>
      </c>
      <c r="L71" s="31">
        <f t="shared" ref="L71:L77" si="8">((C71+D71)/2-(J71+K71)/2)/((J71+K71)/2)*100</f>
        <v>-16.460905349794238</v>
      </c>
    </row>
    <row r="72" spans="1:12" ht="21.75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250</v>
      </c>
      <c r="K72" s="29">
        <v>500</v>
      </c>
      <c r="L72" s="31">
        <f t="shared" si="8"/>
        <v>-2.666666666666667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45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48</v>
      </c>
      <c r="L74" s="31">
        <f t="shared" si="8"/>
        <v>-19.565217391304348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80000</v>
      </c>
      <c r="H76" s="29">
        <v>85000</v>
      </c>
      <c r="I76" s="30">
        <f t="shared" si="9"/>
        <v>0.30303030303030304</v>
      </c>
      <c r="J76" s="29">
        <v>91500</v>
      </c>
      <c r="K76" s="29">
        <v>92200</v>
      </c>
      <c r="L76" s="31">
        <f t="shared" si="8"/>
        <v>-9.9074578116494276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>
      <c r="A78" s="90" t="s">
        <v>120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128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127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.7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.7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.75">
      <c r="A84" s="5" t="s">
        <v>80</v>
      </c>
      <c r="B84" s="6" t="s">
        <v>81</v>
      </c>
      <c r="C84" s="92" t="s">
        <v>6</v>
      </c>
      <c r="D84" s="93"/>
      <c r="E84" s="94" t="s">
        <v>82</v>
      </c>
      <c r="F84" s="95"/>
      <c r="G84" s="77" t="s">
        <v>12</v>
      </c>
      <c r="H84" s="92" t="s">
        <v>83</v>
      </c>
      <c r="I84" s="96"/>
      <c r="J84" s="93"/>
      <c r="K84" s="50"/>
      <c r="L84" s="17"/>
    </row>
    <row r="85" spans="1:12" ht="21.75">
      <c r="A85" s="69" t="s">
        <v>29</v>
      </c>
      <c r="B85" s="6" t="s">
        <v>31</v>
      </c>
      <c r="C85" s="29">
        <v>385</v>
      </c>
      <c r="D85" s="29">
        <v>395</v>
      </c>
      <c r="E85" s="29">
        <v>390</v>
      </c>
      <c r="F85" s="29">
        <v>395</v>
      </c>
      <c r="G85" s="7">
        <f>((C85+D85)/2-(E85+F85)/2)/((E85+F85)/2)*100</f>
        <v>-0.63694267515923575</v>
      </c>
      <c r="H85" s="5" t="s">
        <v>122</v>
      </c>
      <c r="I85" s="6"/>
      <c r="J85" s="6"/>
      <c r="K85" s="50"/>
      <c r="L85" s="17"/>
    </row>
    <row r="86" spans="1:12" ht="21.75">
      <c r="A86" s="69" t="s">
        <v>113</v>
      </c>
      <c r="B86" s="6" t="s">
        <v>18</v>
      </c>
      <c r="C86" s="29">
        <v>20</v>
      </c>
      <c r="D86" s="29">
        <v>30</v>
      </c>
      <c r="E86" s="29">
        <v>20</v>
      </c>
      <c r="F86" s="29">
        <v>35</v>
      </c>
      <c r="G86" s="7">
        <f>((C86+D86)/2-(E86+F86)/2)/((E86+F86)/2)*100</f>
        <v>-9.0909090909090917</v>
      </c>
      <c r="H86" s="5" t="s">
        <v>126</v>
      </c>
      <c r="I86" s="6"/>
      <c r="J86" s="6"/>
      <c r="K86" s="50"/>
      <c r="L86" s="17"/>
    </row>
    <row r="87" spans="1:12" ht="21.75">
      <c r="A87" s="83" t="s">
        <v>114</v>
      </c>
      <c r="B87" s="6" t="s">
        <v>18</v>
      </c>
      <c r="C87" s="29">
        <v>40</v>
      </c>
      <c r="D87" s="29">
        <v>70</v>
      </c>
      <c r="E87" s="29">
        <v>50</v>
      </c>
      <c r="F87" s="29">
        <v>70</v>
      </c>
      <c r="G87" s="7">
        <f t="shared" ref="G87" si="10">((C87+D87)/2-(E87+F87)/2)/((E87+F87)/2)*100</f>
        <v>-8.3333333333333321</v>
      </c>
      <c r="H87" s="5" t="s">
        <v>126</v>
      </c>
      <c r="I87" s="6"/>
      <c r="J87" s="6"/>
      <c r="K87" s="50"/>
      <c r="L87" s="17"/>
    </row>
    <row r="88" spans="1:12" ht="21.75">
      <c r="A88" s="69" t="s">
        <v>51</v>
      </c>
      <c r="B88" s="6" t="s">
        <v>18</v>
      </c>
      <c r="C88" s="29">
        <v>140</v>
      </c>
      <c r="D88" s="29">
        <v>220</v>
      </c>
      <c r="E88" s="29">
        <v>150</v>
      </c>
      <c r="F88" s="29">
        <v>220</v>
      </c>
      <c r="G88" s="7">
        <f>((C88+D88)/2-(E88+F88)/2)/((E88+F88)/2)*100</f>
        <v>-2.7027027027027026</v>
      </c>
      <c r="H88" s="5" t="s">
        <v>126</v>
      </c>
      <c r="I88" s="6"/>
      <c r="J88" s="6"/>
      <c r="K88" s="50"/>
      <c r="L88" s="17"/>
    </row>
    <row r="89" spans="1:12" ht="21.75">
      <c r="A89" s="69" t="s">
        <v>61</v>
      </c>
      <c r="B89" s="6" t="s">
        <v>18</v>
      </c>
      <c r="C89" s="29">
        <v>170</v>
      </c>
      <c r="D89" s="29">
        <v>180</v>
      </c>
      <c r="E89" s="29">
        <v>165</v>
      </c>
      <c r="F89" s="29">
        <v>180</v>
      </c>
      <c r="G89" s="7">
        <f>((C89+D89)/2-(E89+F89)/2)/((E89+F89)/2)*100</f>
        <v>1.4492753623188406</v>
      </c>
      <c r="H89" s="5" t="s">
        <v>121</v>
      </c>
      <c r="I89" s="6"/>
      <c r="J89" s="6"/>
      <c r="K89" s="50"/>
      <c r="L89" s="17"/>
    </row>
    <row r="90" spans="1:12" ht="24.75">
      <c r="A90" s="69" t="s">
        <v>70</v>
      </c>
      <c r="B90" s="6" t="s">
        <v>18</v>
      </c>
      <c r="C90" s="29">
        <v>98</v>
      </c>
      <c r="D90" s="29">
        <v>105</v>
      </c>
      <c r="E90" s="29">
        <v>98</v>
      </c>
      <c r="F90" s="29">
        <v>110</v>
      </c>
      <c r="G90" s="7">
        <f>((C90+D90)/2-(E90+F90)/2)/((E90+F90)/2)*100</f>
        <v>-2.4038461538461542</v>
      </c>
      <c r="H90" s="5" t="s">
        <v>119</v>
      </c>
      <c r="I90" s="6"/>
      <c r="J90" s="6"/>
      <c r="K90" s="40"/>
      <c r="L90" s="11"/>
    </row>
    <row r="91" spans="1:12" ht="24.75">
      <c r="A91" s="69" t="s">
        <v>72</v>
      </c>
      <c r="B91" s="6" t="s">
        <v>73</v>
      </c>
      <c r="C91" s="37">
        <v>34</v>
      </c>
      <c r="D91" s="37">
        <v>40</v>
      </c>
      <c r="E91" s="37">
        <v>34</v>
      </c>
      <c r="F91" s="37">
        <v>45</v>
      </c>
      <c r="G91" s="7">
        <f>((C91+D91)/2-(E91+F91)/2)/((E91+F91)/2)*100</f>
        <v>-6.3291139240506329</v>
      </c>
      <c r="H91" s="5" t="s">
        <v>126</v>
      </c>
      <c r="I91" s="6"/>
      <c r="J91" s="6"/>
      <c r="K91" s="40"/>
      <c r="L91" s="11"/>
    </row>
    <row r="92" spans="1:12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4.75">
      <c r="A93" s="1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41"/>
      <c r="B94" s="42" t="s">
        <v>115</v>
      </c>
      <c r="C94" s="10"/>
      <c r="E94" s="84"/>
      <c r="F94" s="85"/>
      <c r="G94" s="86"/>
      <c r="I94" s="12"/>
      <c r="J94" s="13" t="s">
        <v>117</v>
      </c>
      <c r="K94" s="10"/>
    </row>
    <row r="95" spans="1:12" ht="24.75">
      <c r="A95" s="43"/>
      <c r="B95" s="42" t="s">
        <v>116</v>
      </c>
      <c r="C95" s="13"/>
      <c r="E95" s="43"/>
      <c r="F95" s="85"/>
      <c r="G95" s="86"/>
      <c r="I95" s="76"/>
      <c r="J95" s="13" t="s">
        <v>118</v>
      </c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91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97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96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84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95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94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93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99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98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86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111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110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109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2026-01-27T08:13:26Z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