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3641F922-F771-4E3F-8B53-3332CA3172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88" i="4" l="1"/>
  <c r="G90" i="4"/>
  <c r="G92" i="4"/>
  <c r="G89" i="4"/>
  <c r="G94" i="4"/>
  <c r="G93" i="4"/>
  <c r="G87" i="4"/>
  <c r="G86" i="4"/>
  <c r="G91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<sst xmlns="http://schemas.openxmlformats.org/spreadsheetml/2006/main" count="244" uniqueCount="132">
  <si>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</si>
  <si>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</si>
  <si>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</si>
  <si>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</si>
  <si>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</si>
  <si>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</si>
  <si>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</si>
  <si>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</si>
  <si>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</si>
  <si>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</si>
  <si>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</si>
  <si>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</si>
  <si>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</si>
  <si>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</si>
  <si>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</si>
  <si>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</si>
  <si>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</si>
  <si>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</si>
  <si>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</si>
  <si>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</si>
  <si>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</si>
  <si>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</si>
  <si>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</si>
  <si>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</si>
  <si>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</si>
  <si>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</si>
  <si>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</si>
  <si>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</si>
  <si>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</si>
  <si>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</si>
  <si>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</si>
  <si>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</si>
  <si>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</si>
  <si>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</si>
  <si>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</si>
  <si>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</si>
  <si>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</si>
  <si>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</si>
  <si>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</si>
  <si>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</si>
  <si>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</si>
  <si>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</si>
  <si>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</si>
  <si>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</si>
  <si>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</si>
  <si>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</si>
  <si>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</si>
  <si>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</si>
  <si>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</si>
  <si>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</si>
  <si>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</si>
  <si>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</si>
  <si>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</si>
  <si>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</si>
  <si>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</si>
  <si>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</si>
  <si>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</si>
  <si>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</si>
  <si>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</si>
  <si>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</si>
  <si>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</si>
  <si>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</si>
  <si>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</si>
  <si>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</si>
  <si>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</si>
  <si>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</si>
  <si>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</si>
  <si>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</si>
  <si>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</si>
  <si>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</si>
  <si>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</si>
  <si>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</si>
  <si>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</si>
  <si>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</si>
  <si>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</si>
  <si>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</si>
  <si>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</si>
  <si>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</si>
  <si>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</si>
  <si>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</si>
  <si>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</si>
  <si>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</si>
  <si>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</si>
  <si>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</si>
  <si>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</si>
  <si>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</si>
  <si>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</si>
  <si>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</si>
  <si>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</si>
  <si>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</si>
  <si>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</si>
  <si>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</si>
  <si>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</si>
  <si>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</si>
  <si>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</si>
  <si>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</si>
  <si>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</si>
  <si>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</si>
  <si>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</si>
  <si>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</si>
  <si>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</si>
  <si>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</si>
  <si>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</si>
  <si>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</si>
  <si>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</si>
  <si>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</si>
  <si>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</si>
  <si>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</si>
  <si>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</si>
  <si>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</si>
  <si>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</si>
  <si>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</si>
  <si>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</si>
  <si>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</si>
  <si>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</si>
  <si>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</si>
  <si>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</si>
  <si>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</si>
  <si>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</si>
  <si>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</si>
  <si>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</si>
  <si>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</si>
  <si>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>১৩-০৭-২০২৬ তারিখে মূল্য বৃদ্ধি পেয়েছে।</t>
  </si>
  <si>
    <t>১৫-০৭-২০২৬ তারিখে মূল্য হ্রাস পেয়েছে।</t>
  </si>
  <si>
    <t>১৫-০৭-২০২৬ তারিখে মূল্য বৃদ্ধি পেয়েছে।</t>
  </si>
  <si>
    <t>(২)    পেঁয়াজ (দেশী), ডিম   এর মূল্য হ্রাস পেয়েছে।</t>
  </si>
  <si>
    <t>(১)    চাল (সরু, মোটা), রশুন (দেশী, আম), কাঁচামরিচ, বেগুন, মুরগী ব্রয়লার, শসা   এর মূল্য বৃদ্ধি পেয়েছে।</t>
  </si>
  <si>
    <t>(৩)  অন্যান্য পণ্যের মূল্য অপরিবর্তীত রয়েছে।</t>
  </si>
  <si>
    <t xml:space="preserve">নং-২৬.০৫.০০০০.০১৭.৩১.০১.২৬-৫৬৫                                                                                                           তারিখঃ ১৬-০৭-২০২৬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</si>
  <si>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১৭২</t>
  </si>
  <si>
    <t xml:space="preserve">বৃহস্পতিবার ১৬ জুলাই ২০২৬ খ্রিঃ, ০১ শ্রাবণ ১৪৩৩ বাংলা, ০১ সফর ১৪৪৮ হিজরি </t>
  </si>
  <si>
    <t>১৬-০৭-২০২৬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</si>
</sst>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zoomScale="93" zoomScaleNormal="93" workbookViewId="0">
      <selection activeCell="D73" sqref="D7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5"/>
      <c r="Q4" s="55"/>
      <c r="R4" s="55"/>
    </row>
    <row r="5" spans="1:18">
      <c r="A5" s="88" t="s">
        <v>128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6"/>
      <c r="Q5" s="57"/>
    </row>
    <row r="6" spans="1:18" s="28" customFormat="1">
      <c r="A6" s="75" t="s">
        <v>1</v>
      </c>
      <c r="B6" s="75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6"/>
      <c r="B7" s="76"/>
      <c r="C7" s="77">
        <v>46219</v>
      </c>
      <c r="D7" s="78"/>
      <c r="E7" s="77">
        <v>46212</v>
      </c>
      <c r="F7" s="78"/>
      <c r="G7" s="77">
        <v>46189</v>
      </c>
      <c r="H7" s="78"/>
      <c r="I7" s="25" t="s">
        <v>9</v>
      </c>
      <c r="J7" s="79">
        <v>45854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55</v>
      </c>
      <c r="K30" s="59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35</v>
      </c>
      <c r="D34" s="42">
        <v>45</v>
      </c>
      <c r="E34" s="42">
        <v>40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-5.8823529411764701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210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-5.7142857142857144</v>
      </c>
      <c r="J37" s="59">
        <v>160</v>
      </c>
      <c r="K37" s="59">
        <v>200</v>
      </c>
      <c r="L37" s="50">
        <f t="shared" si="6"/>
        <v>-8.3333333333333321</v>
      </c>
      <c r="M37" s="52">
        <f t="shared" si="0"/>
        <v>3.125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120</v>
      </c>
      <c r="K43" s="59">
        <v>200</v>
      </c>
      <c r="L43" s="50">
        <f t="shared" si="6"/>
        <v>-6.25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480</v>
      </c>
      <c r="K45" s="59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160</v>
      </c>
      <c r="K55" s="59">
        <v>170</v>
      </c>
      <c r="L55" s="50">
        <f t="shared" si="8"/>
        <v>15.151515151515152</v>
      </c>
      <c r="M55" s="52">
        <f t="shared" si="0"/>
        <v>2.7027027027027026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75" t="s">
        <v>1</v>
      </c>
      <c r="B65" s="75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6"/>
      <c r="B66" s="76"/>
      <c r="C66" s="77">
        <v>46219</v>
      </c>
      <c r="D66" s="78"/>
      <c r="E66" s="77">
        <v>46212</v>
      </c>
      <c r="F66" s="78"/>
      <c r="G66" s="77">
        <v>46189</v>
      </c>
      <c r="H66" s="78"/>
      <c r="I66" s="25" t="s">
        <v>9</v>
      </c>
      <c r="J66" s="79">
        <v>45854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106</v>
      </c>
      <c r="K68" s="59">
        <v>115</v>
      </c>
      <c r="L68" s="50">
        <f t="shared" ref="L68:L78" si="9">((C68+D68)/2-(J68+K68)/2)/((J68+K68)/2)*100</f>
        <v>-2.7149321266968327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180</v>
      </c>
      <c r="E72" s="40">
        <v>80</v>
      </c>
      <c r="F72" s="40">
        <v>140</v>
      </c>
      <c r="G72" s="40">
        <v>60</v>
      </c>
      <c r="H72" s="40">
        <v>120</v>
      </c>
      <c r="I72" s="49">
        <f t="shared" si="11"/>
        <v>66.666666666666657</v>
      </c>
      <c r="J72" s="48">
        <v>60</v>
      </c>
      <c r="K72" s="48">
        <v>120</v>
      </c>
      <c r="L72" s="50">
        <f t="shared" si="9"/>
        <v>66.666666666666657</v>
      </c>
      <c r="M72" s="52">
        <f t="shared" si="12"/>
        <v>36.363636363636367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100</v>
      </c>
      <c r="E73" s="40">
        <v>60</v>
      </c>
      <c r="F73" s="40">
        <v>90</v>
      </c>
      <c r="G73" s="40">
        <v>70</v>
      </c>
      <c r="H73" s="40">
        <v>80</v>
      </c>
      <c r="I73" s="49">
        <f t="shared" si="11"/>
        <v>20</v>
      </c>
      <c r="J73" s="48">
        <v>50</v>
      </c>
      <c r="K73" s="48">
        <v>80</v>
      </c>
      <c r="L73" s="50">
        <f t="shared" si="9"/>
        <v>38.461538461538467</v>
      </c>
      <c r="M73" s="52">
        <f t="shared" si="12"/>
        <v>20</v>
      </c>
    </row>
    <row r="74" spans="1:13" s="52" customFormat="1" ht="19.5">
      <c r="A74" s="46" t="s">
        <v>107</v>
      </c>
      <c r="B74" s="53" t="s">
        <v>14</v>
      </c>
      <c r="C74" s="40">
        <v>70</v>
      </c>
      <c r="D74" s="40">
        <v>90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23.076923076923077</v>
      </c>
      <c r="J74" s="48">
        <v>50</v>
      </c>
      <c r="K74" s="48">
        <v>120</v>
      </c>
      <c r="L74" s="50">
        <f t="shared" si="9"/>
        <v>-5.8823529411764701</v>
      </c>
      <c r="M74" s="52">
        <f t="shared" si="12"/>
        <v>14.285714285714285</v>
      </c>
    </row>
    <row r="75" spans="1:13" s="52" customFormat="1" ht="18.75" customHeight="1">
      <c r="A75" s="46" t="s">
        <v>68</v>
      </c>
      <c r="B75" s="47" t="s">
        <v>69</v>
      </c>
      <c r="C75" s="45">
        <v>40</v>
      </c>
      <c r="D75" s="45">
        <v>45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-10.526315789473683</v>
      </c>
      <c r="J75" s="63">
        <v>38</v>
      </c>
      <c r="K75" s="63">
        <v>46</v>
      </c>
      <c r="L75" s="50">
        <f t="shared" si="9"/>
        <v>1.1904761904761905</v>
      </c>
      <c r="M75" s="52">
        <f t="shared" si="12"/>
        <v>-10.526315789473683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3" t="s">
        <v>126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7"/>
      <c r="B82" s="83" t="s">
        <v>125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</row>
    <row r="83" spans="1:12">
      <c r="A83" s="7"/>
      <c r="B83" s="7" t="s">
        <v>127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2" t="s">
        <v>3</v>
      </c>
      <c r="D85" s="74"/>
      <c r="E85" s="81" t="s">
        <v>78</v>
      </c>
      <c r="F85" s="82"/>
      <c r="G85" s="26" t="s">
        <v>9</v>
      </c>
      <c r="H85" s="72" t="s">
        <v>79</v>
      </c>
      <c r="I85" s="73"/>
      <c r="J85" s="74"/>
      <c r="K85" s="10"/>
      <c r="L85" s="2"/>
    </row>
    <row r="86" spans="1:12">
      <c r="A86" s="46" t="s">
        <v>13</v>
      </c>
      <c r="B86" s="47" t="s">
        <v>14</v>
      </c>
      <c r="C86" s="40">
        <v>72</v>
      </c>
      <c r="D86" s="40">
        <v>85</v>
      </c>
      <c r="E86" s="40">
        <v>70</v>
      </c>
      <c r="F86" s="40">
        <v>85</v>
      </c>
      <c r="G86" s="31">
        <f t="shared" ref="G86:G89" si="13">((C86+D86)/2-(E86+F86)/2)/((E86+F86)/2)*100</f>
        <v>1.2903225806451613</v>
      </c>
      <c r="H86" s="72" t="s">
        <v>122</v>
      </c>
      <c r="I86" s="73"/>
      <c r="J86" s="74"/>
      <c r="K86" s="10"/>
      <c r="L86" s="2"/>
    </row>
    <row r="87" spans="1:12">
      <c r="A87" s="46" t="s">
        <v>15</v>
      </c>
      <c r="B87" s="47" t="s">
        <v>14</v>
      </c>
      <c r="C87" s="40">
        <v>50</v>
      </c>
      <c r="D87" s="40">
        <v>60</v>
      </c>
      <c r="E87" s="40">
        <v>48</v>
      </c>
      <c r="F87" s="40">
        <v>60</v>
      </c>
      <c r="G87" s="31">
        <f t="shared" si="13"/>
        <v>1.8518518518518516</v>
      </c>
      <c r="H87" s="72" t="s">
        <v>122</v>
      </c>
      <c r="I87" s="73"/>
      <c r="J87" s="74"/>
      <c r="K87" s="10"/>
      <c r="L87" s="2"/>
    </row>
    <row r="88" spans="1:12">
      <c r="A88" s="46" t="s">
        <v>101</v>
      </c>
      <c r="B88" s="47" t="s">
        <v>14</v>
      </c>
      <c r="C88" s="42">
        <v>35</v>
      </c>
      <c r="D88" s="42">
        <v>45</v>
      </c>
      <c r="E88" s="42">
        <v>40</v>
      </c>
      <c r="F88" s="42">
        <v>45</v>
      </c>
      <c r="G88" s="31">
        <f t="shared" ref="G88:G95" si="14">((C88+D88)/2-(E88+F88)/2)/((E88+F88)/2)*100</f>
        <v>-5.8823529411764701</v>
      </c>
      <c r="H88" s="72" t="s">
        <v>123</v>
      </c>
      <c r="I88" s="73"/>
      <c r="J88" s="74"/>
      <c r="K88" s="10"/>
      <c r="L88" s="2"/>
    </row>
    <row r="89" spans="1:12">
      <c r="A89" s="46" t="s">
        <v>40</v>
      </c>
      <c r="B89" s="47" t="s">
        <v>14</v>
      </c>
      <c r="C89" s="40">
        <v>100</v>
      </c>
      <c r="D89" s="40">
        <v>140</v>
      </c>
      <c r="E89" s="40">
        <v>90</v>
      </c>
      <c r="F89" s="40">
        <v>140</v>
      </c>
      <c r="G89" s="31">
        <f t="shared" si="13"/>
        <v>4.3478260869565215</v>
      </c>
      <c r="H89" s="72" t="s">
        <v>122</v>
      </c>
      <c r="I89" s="73"/>
      <c r="J89" s="74"/>
      <c r="K89" s="10"/>
      <c r="L89" s="2"/>
    </row>
    <row r="90" spans="1:12">
      <c r="A90" s="46" t="s">
        <v>41</v>
      </c>
      <c r="B90" s="47" t="s">
        <v>14</v>
      </c>
      <c r="C90" s="42">
        <v>120</v>
      </c>
      <c r="D90" s="40">
        <v>210</v>
      </c>
      <c r="E90" s="42">
        <v>120</v>
      </c>
      <c r="F90" s="40">
        <v>200</v>
      </c>
      <c r="G90" s="31">
        <f t="shared" si="14"/>
        <v>3.125</v>
      </c>
      <c r="H90" s="72" t="s">
        <v>124</v>
      </c>
      <c r="I90" s="73"/>
      <c r="J90" s="74"/>
      <c r="K90" s="10"/>
      <c r="L90" s="2"/>
    </row>
    <row r="91" spans="1:12">
      <c r="A91" s="46" t="s">
        <v>57</v>
      </c>
      <c r="B91" s="47" t="s">
        <v>14</v>
      </c>
      <c r="C91" s="40">
        <v>180</v>
      </c>
      <c r="D91" s="40">
        <v>200</v>
      </c>
      <c r="E91" s="40">
        <v>180</v>
      </c>
      <c r="F91" s="40">
        <v>190</v>
      </c>
      <c r="G91" s="31">
        <f t="shared" si="14"/>
        <v>2.7027027027027026</v>
      </c>
      <c r="H91" s="72" t="s">
        <v>121</v>
      </c>
      <c r="I91" s="73"/>
      <c r="J91" s="74"/>
      <c r="K91" s="10"/>
      <c r="L91" s="2"/>
    </row>
    <row r="92" spans="1:12">
      <c r="A92" s="46" t="s">
        <v>105</v>
      </c>
      <c r="B92" s="53" t="s">
        <v>14</v>
      </c>
      <c r="C92" s="40">
        <v>120</v>
      </c>
      <c r="D92" s="40">
        <v>180</v>
      </c>
      <c r="E92" s="40">
        <v>80</v>
      </c>
      <c r="F92" s="40">
        <v>140</v>
      </c>
      <c r="G92" s="31">
        <f t="shared" si="14"/>
        <v>36.363636363636367</v>
      </c>
      <c r="H92" s="72" t="s">
        <v>131</v>
      </c>
      <c r="I92" s="73"/>
      <c r="J92" s="74"/>
      <c r="K92" s="10"/>
      <c r="L92" s="2"/>
    </row>
    <row r="93" spans="1:12">
      <c r="A93" s="46" t="s">
        <v>106</v>
      </c>
      <c r="B93" s="53" t="s">
        <v>14</v>
      </c>
      <c r="C93" s="40">
        <v>80</v>
      </c>
      <c r="D93" s="40">
        <v>100</v>
      </c>
      <c r="E93" s="40">
        <v>60</v>
      </c>
      <c r="F93" s="40">
        <v>90</v>
      </c>
      <c r="G93" s="31">
        <f t="shared" si="14"/>
        <v>20</v>
      </c>
      <c r="H93" s="72" t="s">
        <v>131</v>
      </c>
      <c r="I93" s="73"/>
      <c r="J93" s="74"/>
      <c r="K93" s="10"/>
      <c r="L93" s="2"/>
    </row>
    <row r="94" spans="1:12">
      <c r="A94" s="46" t="s">
        <v>107</v>
      </c>
      <c r="B94" s="53" t="s">
        <v>14</v>
      </c>
      <c r="C94" s="40">
        <v>70</v>
      </c>
      <c r="D94" s="40">
        <v>90</v>
      </c>
      <c r="E94" s="40">
        <v>60</v>
      </c>
      <c r="F94" s="40">
        <v>80</v>
      </c>
      <c r="G94" s="31">
        <f t="shared" si="14"/>
        <v>14.285714285714285</v>
      </c>
      <c r="H94" s="72" t="s">
        <v>131</v>
      </c>
      <c r="I94" s="73"/>
      <c r="J94" s="74"/>
      <c r="K94" s="10"/>
      <c r="L94" s="2"/>
    </row>
    <row r="95" spans="1:12">
      <c r="A95" s="46" t="s">
        <v>68</v>
      </c>
      <c r="B95" s="47" t="s">
        <v>69</v>
      </c>
      <c r="C95" s="45">
        <v>40</v>
      </c>
      <c r="D95" s="45">
        <v>45</v>
      </c>
      <c r="E95" s="45">
        <v>45</v>
      </c>
      <c r="F95" s="45">
        <v>50</v>
      </c>
      <c r="G95" s="31">
        <f t="shared" si="14"/>
        <v>-10.526315789473683</v>
      </c>
      <c r="H95" s="72" t="s">
        <v>123</v>
      </c>
      <c r="I95" s="73"/>
      <c r="J95" s="74"/>
      <c r="K95" s="10"/>
      <c r="L95" s="54"/>
    </row>
    <row r="96" spans="1:12">
      <c r="A96" s="65"/>
      <c r="B96" s="70"/>
      <c r="C96" s="67"/>
      <c r="D96" s="67"/>
      <c r="E96" s="67"/>
      <c r="F96" s="67"/>
      <c r="G96" s="69"/>
      <c r="H96" s="71"/>
      <c r="I96" s="71"/>
      <c r="J96" s="71"/>
      <c r="K96" s="10"/>
      <c r="L96" s="12"/>
    </row>
    <row r="97" spans="1:12">
      <c r="A97" s="65"/>
      <c r="B97" s="66"/>
      <c r="C97" s="67"/>
      <c r="D97" s="68"/>
      <c r="E97" s="67"/>
      <c r="F97" s="68"/>
      <c r="G97" s="69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/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2"/>
      <c r="J100" s="1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7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115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108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109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116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110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118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112</v>
      </c>
    </row>
  </sheetData>
  <mergeCells count="40">
    <mergeCell ref="B82:L82"/>
    <mergeCell ref="H87:J87"/>
    <mergeCell ref="C85:D85"/>
    <mergeCell ref="H93:J93"/>
    <mergeCell ref="H94:J94"/>
    <mergeCell ref="H89:J89"/>
    <mergeCell ref="H88:J88"/>
    <mergeCell ref="H92:J92"/>
    <mergeCell ref="H90:J90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H91:J91"/>
    <mergeCell ref="H86:J8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2026-07-16T07:49:03Z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