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58544442-9510-46BE-91B7-B797BF1ABE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3" i="4"/>
  <c r="G84" i="4"/>
  <c r="G86" i="4"/>
  <c r="G87" i="4"/>
  <c r="G90" i="4"/>
  <c r="G88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<sst xmlns="http://schemas.openxmlformats.org/spreadsheetml/2006/main" count="235" uniqueCount="129">
  <si>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</si>
  <si>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</si>
  <si>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</si>
  <si>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</si>
  <si>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</si>
  <si>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</si>
  <si>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</si>
  <si>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</si>
  <si>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</si>
  <si>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</si>
  <si>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</si>
  <si>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</si>
  <si>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</si>
  <si>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</si>
  <si>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</si>
  <si>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</si>
  <si>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</si>
  <si>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</si>
  <si>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</si>
  <si>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</si>
  <si>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</si>
  <si>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</si>
  <si>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</si>
  <si>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</si>
  <si>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</si>
  <si>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</si>
  <si>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</si>
  <si>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</si>
  <si>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</si>
  <si>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</si>
  <si>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</si>
  <si>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</si>
  <si>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</si>
  <si>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</si>
  <si>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</si>
  <si>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</si>
  <si>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</si>
  <si>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</si>
  <si>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</si>
  <si>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</si>
  <si>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</si>
  <si>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</si>
  <si>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</si>
  <si>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</si>
  <si>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</si>
  <si>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</si>
  <si>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</si>
  <si>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</si>
  <si>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</si>
  <si>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</si>
  <si>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</si>
  <si>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</si>
  <si>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</si>
  <si>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</si>
  <si>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</si>
  <si>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</si>
  <si>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</si>
  <si>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</si>
  <si>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</si>
  <si>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</si>
  <si>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</si>
  <si>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</si>
  <si>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</si>
  <si>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</si>
  <si>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</si>
  <si>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</si>
  <si>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</si>
  <si>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</si>
  <si>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</si>
  <si>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</si>
  <si>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</si>
  <si>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</si>
  <si>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</si>
  <si>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</si>
  <si>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</si>
  <si>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</si>
  <si>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</si>
  <si>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</si>
  <si>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</si>
  <si>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</si>
  <si>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</si>
  <si>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</si>
  <si>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</si>
  <si>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</si>
  <si>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</si>
  <si>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</si>
  <si>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</si>
  <si>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</si>
  <si>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</si>
  <si>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</si>
  <si>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</si>
  <si>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</si>
  <si>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</si>
  <si>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</si>
  <si>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</si>
  <si>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</si>
  <si>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</si>
  <si>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</si>
  <si>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</si>
  <si>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</si>
  <si>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</si>
  <si>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</si>
  <si>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</si>
  <si>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</si>
  <si>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</si>
  <si>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</si>
  <si>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</si>
  <si>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</si>
  <si>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</si>
  <si>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</si>
  <si>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</si>
  <si>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</si>
  <si>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</si>
  <si>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</si>
  <si>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</si>
  <si>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</si>
  <si>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</si>
  <si>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</si>
  <si>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</si>
  <si>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১৯-০১-২০২৬ তারিখে মূল্য বৃদ্ধি পেয়েছে।</t>
  </si>
  <si>
    <t>১৯-০১-২০২৬ তারিখে মূল্য হ্রাস পেয়েছে।</t>
  </si>
  <si>
    <t>২০-০১-২০২৬ তারিখে মূল্য হ্রাস পেয়েছে।</t>
  </si>
  <si>
    <t>স্মারক নং-২৬.০৫.০০০০.০১৭.৩১.০১.২৬-০৭৬</t>
  </si>
  <si>
    <t xml:space="preserve">বৃহস্পতিবার ২২ জানুয়ারী ২০২৬ খ্রিঃ, ০৮ মাঘ ১৪৩২ বাংলা, ০২ শাবান ১৪৪৭ হিজরি </t>
  </si>
  <si>
    <t xml:space="preserve">   সিরিয়াল নংঃ     ০২২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</si>
  <si>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 বাজার।   </t>
  </si>
  <si>
    <t>২১-০১-২০২৬ তারিখে মূল্য বৃদ্ধি পেয়েছে।</t>
  </si>
  <si>
    <t>(২)  সয়াবিন তেল (২লিঃ বোতল), মুরগী ব্রয়লার   এর মূল্য বৃদ্ধি পেয়েছে।</t>
  </si>
  <si>
    <t>(১)   পাম অয়েল লুজ, সয়াবিন তেল (১লি:, ৫লি: বোতল), আলু, হলুদ (আম), ডিম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</si>
</sst>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76" zoomScale="106" zoomScaleNormal="10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124</v>
      </c>
      <c r="L4" s="88"/>
    </row>
    <row r="5" spans="1:12" ht="19.5" customHeight="1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.7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46044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46044</v>
      </c>
      <c r="D8" s="88"/>
      <c r="E8" s="89">
        <v>46037</v>
      </c>
      <c r="F8" s="88"/>
      <c r="G8" s="89">
        <v>46013</v>
      </c>
      <c r="H8" s="88"/>
      <c r="I8" s="26" t="s">
        <v>12</v>
      </c>
      <c r="J8" s="89">
        <v>45679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44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52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72</v>
      </c>
      <c r="L17" s="31">
        <f>((C17+D17)/2-(J17+K17)/2)/((J17+K17)/2)*100</f>
        <v>2.1897810218978102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175</v>
      </c>
      <c r="F19" s="29">
        <v>185</v>
      </c>
      <c r="G19" s="29">
        <v>172</v>
      </c>
      <c r="H19" s="29">
        <v>185</v>
      </c>
      <c r="I19" s="30">
        <f t="shared" ref="I19:I25" si="0">((C19+D19)/2-(G19+H19)/2)/((G19+H19)/2)*100</f>
        <v>0.84033613445378152</v>
      </c>
      <c r="J19" s="29">
        <v>170</v>
      </c>
      <c r="K19" s="29">
        <v>172</v>
      </c>
      <c r="L19" s="31">
        <f t="shared" ref="L19:L25" si="1">((C19+D19)/2-(J19+K19)/2)/((J19+K19)/2)*100</f>
        <v>5.2631578947368416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955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-0.53050397877984079</v>
      </c>
      <c r="J20" s="29">
        <v>850</v>
      </c>
      <c r="K20" s="29">
        <v>852</v>
      </c>
      <c r="L20" s="31">
        <f t="shared" si="1"/>
        <v>10.164512338425382</v>
      </c>
    </row>
    <row r="21" spans="1:12" ht="21.75">
      <c r="A21" s="69" t="s">
        <v>29</v>
      </c>
      <c r="B21" s="6" t="s">
        <v>31</v>
      </c>
      <c r="C21" s="29">
        <v>390</v>
      </c>
      <c r="D21" s="29">
        <v>395</v>
      </c>
      <c r="E21" s="29">
        <v>380</v>
      </c>
      <c r="F21" s="29">
        <v>395</v>
      </c>
      <c r="G21" s="29">
        <v>378</v>
      </c>
      <c r="H21" s="29">
        <v>395</v>
      </c>
      <c r="I21" s="30">
        <f t="shared" si="0"/>
        <v>1.5523932729624839</v>
      </c>
      <c r="J21" s="29">
        <v>345</v>
      </c>
      <c r="K21" s="29">
        <v>350</v>
      </c>
      <c r="L21" s="31">
        <f t="shared" si="1"/>
        <v>12.949640287769784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195</v>
      </c>
      <c r="E22" s="29">
        <v>190</v>
      </c>
      <c r="F22" s="29">
        <v>198</v>
      </c>
      <c r="G22" s="29">
        <v>189</v>
      </c>
      <c r="H22" s="29">
        <v>198</v>
      </c>
      <c r="I22" s="30">
        <f t="shared" si="0"/>
        <v>-0.516795865633075</v>
      </c>
      <c r="J22" s="29">
        <v>175</v>
      </c>
      <c r="K22" s="29">
        <v>176</v>
      </c>
      <c r="L22" s="31">
        <f t="shared" si="1"/>
        <v>9.6866096866096854</v>
      </c>
    </row>
    <row r="23" spans="1:12" ht="21.75">
      <c r="A23" s="69" t="s">
        <v>33</v>
      </c>
      <c r="B23" s="6" t="s">
        <v>28</v>
      </c>
      <c r="C23" s="29">
        <v>148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-1.2738853503184715</v>
      </c>
      <c r="J23" s="29">
        <v>155</v>
      </c>
      <c r="K23" s="29">
        <v>158</v>
      </c>
      <c r="L23" s="31">
        <f t="shared" si="1"/>
        <v>-0.95846645367412142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160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1020</v>
      </c>
      <c r="K25" s="29">
        <v>1060</v>
      </c>
      <c r="L25" s="31">
        <f t="shared" si="1"/>
        <v>1.4423076923076923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120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80</v>
      </c>
      <c r="H32" s="29">
        <v>110</v>
      </c>
      <c r="I32" s="30">
        <f t="shared" si="2"/>
        <v>-7.8947368421052628</v>
      </c>
      <c r="J32" s="29">
        <v>115</v>
      </c>
      <c r="K32" s="29">
        <v>120</v>
      </c>
      <c r="L32" s="31">
        <f t="shared" si="3"/>
        <v>-25.531914893617021</v>
      </c>
    </row>
    <row r="33" spans="1:12" ht="21.75">
      <c r="A33" s="69" t="s">
        <v>113</v>
      </c>
      <c r="B33" s="6" t="s">
        <v>18</v>
      </c>
      <c r="C33" s="29">
        <v>20</v>
      </c>
      <c r="D33" s="29">
        <v>35</v>
      </c>
      <c r="E33" s="29">
        <v>20</v>
      </c>
      <c r="F33" s="29">
        <v>40</v>
      </c>
      <c r="G33" s="29">
        <v>20</v>
      </c>
      <c r="H33" s="29">
        <v>30</v>
      </c>
      <c r="I33" s="30">
        <f t="shared" si="2"/>
        <v>10</v>
      </c>
      <c r="J33" s="29">
        <v>25</v>
      </c>
      <c r="K33" s="29">
        <v>40</v>
      </c>
      <c r="L33" s="31">
        <f t="shared" si="3"/>
        <v>-15.384615384615385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50</v>
      </c>
      <c r="D35" s="29">
        <v>70</v>
      </c>
      <c r="E35" s="29">
        <v>50</v>
      </c>
      <c r="F35" s="29">
        <v>70</v>
      </c>
      <c r="G35" s="29">
        <v>60</v>
      </c>
      <c r="H35" s="29">
        <v>140</v>
      </c>
      <c r="I35" s="30">
        <f t="shared" ref="I35:I50" si="4">((C35+D35)/2-(G35+H35)/2)/((G35+H35)/2)*100</f>
        <v>-40</v>
      </c>
      <c r="J35" s="29">
        <v>45</v>
      </c>
      <c r="K35" s="29">
        <v>60</v>
      </c>
      <c r="L35" s="31">
        <f t="shared" ref="L35:L50" si="5">((C35+D35)/2-(J35+K35)/2)/((J35+K35)/2)*100</f>
        <v>14.285714285714285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-28.571428571428569</v>
      </c>
      <c r="J36" s="29">
        <v>50</v>
      </c>
      <c r="K36" s="29">
        <v>70</v>
      </c>
      <c r="L36" s="31">
        <f t="shared" si="5"/>
        <v>25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260</v>
      </c>
      <c r="L37" s="31">
        <f t="shared" si="5"/>
        <v>-55.102040816326522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.75">
      <c r="A42" s="69" t="s">
        <v>49</v>
      </c>
      <c r="B42" s="6" t="s">
        <v>18</v>
      </c>
      <c r="C42" s="29">
        <v>280</v>
      </c>
      <c r="D42" s="29">
        <v>400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-5.5555555555555554</v>
      </c>
      <c r="J42" s="29">
        <v>250</v>
      </c>
      <c r="K42" s="29">
        <v>300</v>
      </c>
      <c r="L42" s="31">
        <f t="shared" si="5"/>
        <v>23.636363636363637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140</v>
      </c>
      <c r="F43" s="29">
        <v>200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800</v>
      </c>
      <c r="L45" s="31">
        <f t="shared" si="5"/>
        <v>-11.864406779661017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4000</v>
      </c>
      <c r="K48" s="29">
        <v>5000</v>
      </c>
      <c r="L48" s="31">
        <f t="shared" si="5"/>
        <v>11.111111111111111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650</v>
      </c>
      <c r="K53" s="29">
        <v>1600</v>
      </c>
      <c r="L53" s="31">
        <f t="shared" si="7"/>
        <v>64.444444444444443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170</v>
      </c>
      <c r="D56" s="29">
        <v>180</v>
      </c>
      <c r="E56" s="29">
        <v>160</v>
      </c>
      <c r="F56" s="29">
        <v>180</v>
      </c>
      <c r="G56" s="29">
        <v>150</v>
      </c>
      <c r="H56" s="29">
        <v>170</v>
      </c>
      <c r="I56" s="30">
        <f t="shared" si="6"/>
        <v>9.375</v>
      </c>
      <c r="J56" s="29">
        <v>190</v>
      </c>
      <c r="K56" s="29">
        <v>210</v>
      </c>
      <c r="L56" s="31">
        <f t="shared" si="7"/>
        <v>-12.5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46044</v>
      </c>
      <c r="D67" s="88"/>
      <c r="E67" s="89">
        <v>46037</v>
      </c>
      <c r="F67" s="88"/>
      <c r="G67" s="89">
        <v>46013</v>
      </c>
      <c r="H67" s="88"/>
      <c r="I67" s="26" t="s">
        <v>12</v>
      </c>
      <c r="J67" s="89">
        <v>45679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98</v>
      </c>
      <c r="F69" s="29">
        <v>110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125</v>
      </c>
      <c r="L69" s="31">
        <f t="shared" ref="L69:L75" si="8">((C69+D69)/2-(J69+K69)/2)/((J69+K69)/2)*100</f>
        <v>-15.102040816326531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34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-2.4691358024691357</v>
      </c>
      <c r="J72" s="37">
        <v>44</v>
      </c>
      <c r="K72" s="37">
        <v>48</v>
      </c>
      <c r="L72" s="31">
        <f t="shared" si="8"/>
        <v>-14.130434782608695</v>
      </c>
    </row>
    <row r="73" spans="1:12" ht="21.75">
      <c r="A73" s="69" t="s">
        <v>74</v>
      </c>
      <c r="B73" s="6" t="s">
        <v>75</v>
      </c>
      <c r="C73" s="37">
        <v>34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5.7142857142857144</v>
      </c>
      <c r="J73" s="37">
        <v>30</v>
      </c>
      <c r="K73" s="37">
        <v>40</v>
      </c>
      <c r="L73" s="31">
        <f t="shared" si="8"/>
        <v>5.7142857142857144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125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29</v>
      </c>
      <c r="B83" s="6" t="s">
        <v>30</v>
      </c>
      <c r="C83" s="29">
        <v>920</v>
      </c>
      <c r="D83" s="29">
        <v>955</v>
      </c>
      <c r="E83" s="29">
        <v>920</v>
      </c>
      <c r="F83" s="29">
        <v>965</v>
      </c>
      <c r="G83" s="7">
        <f>((C83+D83)/2-(E83+F83)/2)/((E83+F83)/2)*100</f>
        <v>-0.53050397877984079</v>
      </c>
      <c r="H83" s="5" t="s">
        <v>120</v>
      </c>
      <c r="I83" s="6"/>
      <c r="J83" s="6"/>
      <c r="K83" s="50"/>
      <c r="L83" s="17"/>
    </row>
    <row r="84" spans="1:12" ht="21.75">
      <c r="A84" s="69" t="s">
        <v>29</v>
      </c>
      <c r="B84" s="6" t="s">
        <v>31</v>
      </c>
      <c r="C84" s="29">
        <v>390</v>
      </c>
      <c r="D84" s="29">
        <v>395</v>
      </c>
      <c r="E84" s="29">
        <v>380</v>
      </c>
      <c r="F84" s="29">
        <v>395</v>
      </c>
      <c r="G84" s="7">
        <f>((C84+D84)/2-(E84+F84)/2)/((E84+F84)/2)*100</f>
        <v>1.2903225806451613</v>
      </c>
      <c r="H84" s="5" t="s">
        <v>119</v>
      </c>
      <c r="I84" s="6"/>
      <c r="J84" s="6"/>
      <c r="K84" s="50"/>
      <c r="L84" s="17"/>
    </row>
    <row r="85" spans="1:12" ht="21.75">
      <c r="A85" s="69" t="s">
        <v>29</v>
      </c>
      <c r="B85" s="6" t="s">
        <v>32</v>
      </c>
      <c r="C85" s="29">
        <v>190</v>
      </c>
      <c r="D85" s="29">
        <v>195</v>
      </c>
      <c r="E85" s="29">
        <v>190</v>
      </c>
      <c r="F85" s="29">
        <v>198</v>
      </c>
      <c r="G85" s="7">
        <f>((C85+D85)/2-(E85+F85)/2)/((E85+F85)/2)*100</f>
        <v>-0.77319587628865982</v>
      </c>
      <c r="H85" s="5" t="s">
        <v>120</v>
      </c>
      <c r="I85" s="6"/>
      <c r="J85" s="6"/>
      <c r="K85" s="50"/>
      <c r="L85" s="17"/>
    </row>
    <row r="86" spans="1:12" ht="21.75">
      <c r="A86" s="69" t="s">
        <v>33</v>
      </c>
      <c r="B86" s="6" t="s">
        <v>28</v>
      </c>
      <c r="C86" s="29">
        <v>148</v>
      </c>
      <c r="D86" s="29">
        <v>162</v>
      </c>
      <c r="E86" s="29">
        <v>152</v>
      </c>
      <c r="F86" s="29">
        <v>162</v>
      </c>
      <c r="G86" s="7">
        <f>((C86+D86)/2-(E86+F86)/2)/((E86+F86)/2)*100</f>
        <v>-1.2738853503184715</v>
      </c>
      <c r="H86" s="5" t="s">
        <v>120</v>
      </c>
      <c r="I86" s="6"/>
      <c r="J86" s="6"/>
      <c r="K86" s="50"/>
      <c r="L86" s="17"/>
    </row>
    <row r="87" spans="1:12" ht="21.75">
      <c r="A87" s="69" t="s">
        <v>113</v>
      </c>
      <c r="B87" s="6" t="s">
        <v>18</v>
      </c>
      <c r="C87" s="29">
        <v>20</v>
      </c>
      <c r="D87" s="29">
        <v>35</v>
      </c>
      <c r="E87" s="29">
        <v>20</v>
      </c>
      <c r="F87" s="29">
        <v>40</v>
      </c>
      <c r="G87" s="7">
        <f>((C87+D87)/2-(E87+F87)/2)/((E87+F87)/2)*100</f>
        <v>-8.3333333333333321</v>
      </c>
      <c r="H87" s="5" t="s">
        <v>120</v>
      </c>
      <c r="I87" s="6"/>
      <c r="J87" s="6"/>
      <c r="K87" s="50"/>
      <c r="L87" s="17"/>
    </row>
    <row r="88" spans="1:12" ht="21.75">
      <c r="A88" s="69" t="s">
        <v>49</v>
      </c>
      <c r="B88" s="6" t="s">
        <v>18</v>
      </c>
      <c r="C88" s="29">
        <v>280</v>
      </c>
      <c r="D88" s="29">
        <v>400</v>
      </c>
      <c r="E88" s="29">
        <v>300</v>
      </c>
      <c r="F88" s="29">
        <v>420</v>
      </c>
      <c r="G88" s="7">
        <f t="shared" ref="G88" si="10">((C88+D88)/2-(E88+F88)/2)/((E88+F88)/2)*100</f>
        <v>-5.5555555555555554</v>
      </c>
      <c r="H88" s="5" t="s">
        <v>121</v>
      </c>
      <c r="I88" s="6"/>
      <c r="J88" s="6"/>
      <c r="K88" s="50"/>
      <c r="L88" s="17"/>
    </row>
    <row r="89" spans="1:12" ht="21.75">
      <c r="A89" s="69" t="s">
        <v>61</v>
      </c>
      <c r="B89" s="6" t="s">
        <v>18</v>
      </c>
      <c r="C89" s="29">
        <v>170</v>
      </c>
      <c r="D89" s="29">
        <v>180</v>
      </c>
      <c r="E89" s="29">
        <v>160</v>
      </c>
      <c r="F89" s="29">
        <v>180</v>
      </c>
      <c r="G89" s="7">
        <f>((C89+D89)/2-(E89+F89)/2)/((E89+F89)/2)*100</f>
        <v>2.9411764705882351</v>
      </c>
      <c r="H89" s="5" t="s">
        <v>126</v>
      </c>
      <c r="I89" s="6"/>
      <c r="J89" s="6"/>
      <c r="K89" s="50"/>
      <c r="L89" s="17"/>
    </row>
    <row r="90" spans="1:12" ht="24.75">
      <c r="A90" s="69" t="s">
        <v>72</v>
      </c>
      <c r="B90" s="6" t="s">
        <v>73</v>
      </c>
      <c r="C90" s="37">
        <v>34</v>
      </c>
      <c r="D90" s="37">
        <v>45</v>
      </c>
      <c r="E90" s="37">
        <v>36</v>
      </c>
      <c r="F90" s="37">
        <v>45</v>
      </c>
      <c r="G90" s="7">
        <f>((C90+D90)/2-(E90+F90)/2)/((E90+F90)/2)*100</f>
        <v>-2.4691358024691357</v>
      </c>
      <c r="H90" s="5" t="s">
        <v>120</v>
      </c>
      <c r="I90" s="6"/>
      <c r="J90" s="6"/>
      <c r="K90" s="40"/>
      <c r="L90" s="11"/>
    </row>
    <row r="91" spans="1:12" ht="24.75">
      <c r="A91" s="72"/>
      <c r="B91" s="3"/>
      <c r="C91" s="78"/>
      <c r="D91" s="78"/>
      <c r="E91" s="78"/>
      <c r="F91" s="78"/>
      <c r="G91" s="9"/>
      <c r="H91" s="1"/>
      <c r="I91" s="3"/>
      <c r="J91" s="3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41"/>
      <c r="B94" s="42" t="s">
        <v>115</v>
      </c>
      <c r="C94" s="10"/>
      <c r="E94" s="84"/>
      <c r="F94" s="85"/>
      <c r="G94" s="86"/>
      <c r="I94" s="12"/>
      <c r="J94" s="13" t="s">
        <v>117</v>
      </c>
      <c r="K94" s="10"/>
    </row>
    <row r="95" spans="1:12" ht="24.75">
      <c r="A95" s="43"/>
      <c r="B95" s="42" t="s">
        <v>116</v>
      </c>
      <c r="C95" s="13"/>
      <c r="E95" s="43"/>
      <c r="F95" s="85"/>
      <c r="G95" s="86"/>
      <c r="I95" s="76"/>
      <c r="J95" s="13" t="s">
        <v>118</v>
      </c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2026-01-22T07:57:11Z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