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20F221AD-F252-4AC1-9619-4401B58746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price'!$A$1:$L$129</definedName>
  </definedNames>
  <calcPr calcId="191028"/>
</workbook>
</file>

<file path=xl/calcChain.xml><?xml version="1.0" encoding="utf-8"?>
<calcChain xmlns="http://schemas.openxmlformats.org/spreadsheetml/2006/main">
  <c r="I70" i="4" l="1"/>
  <c r="G94" i="4"/>
  <c r="G92" i="4"/>
  <c r="G97" i="4"/>
  <c r="G89" i="4"/>
  <c r="G91" i="4"/>
  <c r="G88" i="4"/>
  <c r="G87" i="4"/>
  <c r="G86" i="4"/>
  <c r="G90" i="4"/>
  <c r="G99" i="4"/>
  <c r="G95" i="4"/>
  <c r="G93" i="4"/>
  <c r="G96" i="4"/>
  <c r="G98" i="4"/>
  <c r="G100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<sst xmlns="http://schemas.openxmlformats.org/spreadsheetml/2006/main" count="259" uniqueCount="137">
  <si>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</si>
  <si>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</si>
  <si>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</si>
  <si>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</si>
  <si>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</si>
  <si>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</si>
  <si>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</si>
  <si>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</si>
  <si>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</si>
  <si>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</si>
  <si>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</si>
  <si>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</si>
  <si>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</si>
  <si>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</si>
  <si>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</si>
  <si>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</si>
  <si>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</si>
  <si>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</si>
  <si>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</si>
  <si>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</si>
  <si>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</si>
  <si>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</si>
  <si>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</si>
  <si>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</si>
  <si>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</si>
  <si>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</si>
  <si>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</si>
  <si>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</si>
  <si>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</si>
  <si>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</si>
  <si>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</si>
  <si>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</si>
  <si>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</si>
  <si>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</si>
  <si>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</si>
  <si>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</si>
  <si>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</si>
  <si>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</si>
  <si>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</si>
  <si>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</si>
  <si>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</si>
  <si>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</si>
  <si>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</si>
  <si>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</si>
  <si>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</si>
  <si>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</si>
  <si>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</si>
  <si>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</si>
  <si>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</si>
  <si>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</si>
  <si>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</si>
  <si>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</si>
  <si>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</si>
  <si>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</si>
  <si>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</si>
  <si>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</si>
  <si>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</si>
  <si>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</si>
  <si>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</si>
  <si>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</si>
  <si>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</si>
  <si>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</si>
  <si>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</si>
  <si>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</si>
  <si>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</si>
  <si>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</si>
  <si>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</si>
  <si>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</si>
  <si>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</si>
  <si>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</si>
  <si>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</si>
  <si>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</si>
  <si>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</si>
  <si>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</si>
  <si>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</si>
  <si>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</si>
  <si>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</si>
  <si>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</si>
  <si>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</si>
  <si>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</si>
  <si>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</si>
  <si>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</si>
  <si>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</si>
  <si>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</si>
  <si>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</si>
  <si>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</si>
  <si>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</si>
  <si>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</si>
  <si>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</si>
  <si>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</si>
  <si>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</si>
  <si>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</si>
  <si>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</si>
  <si>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</si>
  <si>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</si>
  <si>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</si>
  <si>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</si>
  <si>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</si>
  <si>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</si>
  <si>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</si>
  <si>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</si>
  <si>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</si>
  <si>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</si>
  <si>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</si>
  <si>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</si>
  <si>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</si>
  <si>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</si>
  <si>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</si>
  <si>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</si>
  <si>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</si>
  <si>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</si>
  <si>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</si>
  <si>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</si>
  <si>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</si>
  <si>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</si>
  <si>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</si>
  <si>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</si>
  <si>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</si>
  <si>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</si>
  <si>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</si>
  <si>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</si>
  <si>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</si>
  <si>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২১-০৭-২০২৬ তারিখে মূল্য বৃদ্ধি পেয়েছে।</t>
  </si>
  <si>
    <t>২৬-০৭-২০২৬ তারিখে মূল্য বৃদ্ধি পেয়েছে।</t>
  </si>
  <si>
    <t>২৭-০৭-২০২৬ তারিখে মূল্য হ্রাস পেয়েছে।</t>
  </si>
  <si>
    <t>২৮-০৭-২০২৬ তারিখে মূল্য বৃদ্ধি পেয়েছে।</t>
  </si>
  <si>
    <t>২৮-০৭-২০২৬ তারিখে মূল্য হ্রাস পেয়েছে।</t>
  </si>
  <si>
    <t>২৯-০৭-২০২৬ তারিখে মূল্য হ্রাস পেয়েছে।</t>
  </si>
  <si>
    <t>২৯-০৭-২০২৬ তারিখে মূল্য বৃদ্ধি পেয়েছে।</t>
  </si>
  <si>
    <t>৩০-০৭-২০২৬ তারিখে মূল্য হ্রাস পেয়েছে।</t>
  </si>
  <si>
    <t xml:space="preserve">নং-২৬.০৫.০০০০.০১৭.৩১.০১.২৬-৬০৬                                                                                                           তারিখঃ ০১-০৮-২০২৬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</si>
  <si>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১৮৮</t>
  </si>
  <si>
    <t xml:space="preserve">শনিবার ০১ আগষ্ট ২০২৬ খ্রিঃ, ১৭ শ্রাবণ ১৪৩৩ বাংলা, ১৭ সফর ১৪৪৮ হিজরি </t>
  </si>
  <si>
    <t>৩১-০৭-২০২৬ তারিখে মূল্য বৃদ্ধি পেয়েছে।</t>
  </si>
  <si>
    <t>৩১-০৭-২০২৬ তারিখে মূল্য হ্রাস পেয়েছে।</t>
  </si>
  <si>
    <t>(২)     চাল (সরু, মাঝারী, মোটা), আলু, রশুন (দেশী, আম), শসা   এর মূল্য হ্রাস পেয়েছে।</t>
  </si>
  <si>
    <t>(১)    আটা (প্যাঃ), ময়দা (খোলা, প্যাঃ), পেঁয়াজ (দেশী), আদা (আম), দারুচিনি, কাঁচামরিচ, বেগুন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</si>
</sst>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59989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4"/>
  <sheetViews>
    <sheetView tabSelected="1" topLeftCell="A67" zoomScale="95" zoomScaleNormal="95" workbookViewId="0">
      <selection activeCell="A79" sqref="A79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120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131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132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4"/>
      <c r="Q4" s="54"/>
      <c r="R4" s="54"/>
    </row>
    <row r="5" spans="1:18">
      <c r="A5" s="88" t="s">
        <v>130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5"/>
      <c r="Q5" s="56"/>
    </row>
    <row r="6" spans="1:18" s="28" customFormat="1">
      <c r="A6" s="78" t="s">
        <v>1</v>
      </c>
      <c r="B6" s="78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5" t="s">
        <v>6</v>
      </c>
      <c r="J6" s="72" t="s">
        <v>7</v>
      </c>
      <c r="K6" s="74"/>
      <c r="L6" s="27" t="s">
        <v>8</v>
      </c>
      <c r="M6" s="52"/>
    </row>
    <row r="7" spans="1:18" s="28" customFormat="1">
      <c r="A7" s="79"/>
      <c r="B7" s="79"/>
      <c r="C7" s="80">
        <v>46235</v>
      </c>
      <c r="D7" s="81"/>
      <c r="E7" s="80">
        <v>46228</v>
      </c>
      <c r="F7" s="81"/>
      <c r="G7" s="80">
        <v>46204</v>
      </c>
      <c r="H7" s="81"/>
      <c r="I7" s="25" t="s">
        <v>9</v>
      </c>
      <c r="J7" s="82">
        <v>45870</v>
      </c>
      <c r="K7" s="83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-1.2738853503184715</v>
      </c>
      <c r="J9" s="58">
        <v>75</v>
      </c>
      <c r="K9" s="58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65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-2.4390243902439024</v>
      </c>
      <c r="J10" s="58">
        <v>60</v>
      </c>
      <c r="K10" s="58">
        <v>75</v>
      </c>
      <c r="L10" s="50">
        <f>((C10+D10)/2-(J10+K10)/2)/((J10+K10)/2)*100</f>
        <v>-11.111111111111111</v>
      </c>
      <c r="M10" s="52">
        <f t="shared" ref="M10:M70" si="0">((C10+D10)/2-(E10+F10)/2)/((E10+F10)/2)*100</f>
        <v>-2.4390243902439024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55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-4.5454545454545459</v>
      </c>
      <c r="J11" s="58">
        <v>55</v>
      </c>
      <c r="K11" s="58">
        <v>60</v>
      </c>
      <c r="L11" s="50">
        <f>((C11+D11)/2-(J11+K11)/2)/((J11+K11)/2)*100</f>
        <v>-8.695652173913043</v>
      </c>
      <c r="M11" s="52">
        <f t="shared" si="0"/>
        <v>-4.5454545454545459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45</v>
      </c>
      <c r="F13" s="40">
        <v>50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60</v>
      </c>
      <c r="D14" s="40">
        <v>65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8.695652173913043</v>
      </c>
      <c r="J14" s="58">
        <v>50</v>
      </c>
      <c r="K14" s="58">
        <v>55</v>
      </c>
      <c r="L14" s="50">
        <f>((C14+D14)/2-(J14+K14)/2)/((J14+K14)/2)*100</f>
        <v>19.047619047619047</v>
      </c>
      <c r="M14" s="52">
        <f t="shared" si="0"/>
        <v>8.695652173913043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65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3.7037037037037033</v>
      </c>
      <c r="J16" s="58">
        <v>65</v>
      </c>
      <c r="K16" s="58">
        <v>70</v>
      </c>
      <c r="L16" s="50">
        <f>((C16+D16)/2-(J16+K16)/2)/((J16+K16)/2)*100</f>
        <v>3.7037037037037033</v>
      </c>
      <c r="M16" s="52">
        <f t="shared" si="0"/>
        <v>3.7037037037037033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186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375</v>
      </c>
      <c r="K20" s="58">
        <v>378</v>
      </c>
      <c r="L20" s="50">
        <f t="shared" si="2"/>
        <v>5.7104913678618852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162</v>
      </c>
      <c r="L23" s="50">
        <f t="shared" si="2"/>
        <v>9.8726114649681538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100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125</v>
      </c>
      <c r="L27" s="50">
        <f t="shared" si="4"/>
        <v>2.1739130434782608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145</v>
      </c>
      <c r="L28" s="50">
        <f t="shared" si="4"/>
        <v>12.727272727272727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120</v>
      </c>
      <c r="K29" s="58">
        <v>180</v>
      </c>
      <c r="L29" s="50">
        <f t="shared" si="4"/>
        <v>0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65</v>
      </c>
      <c r="K30" s="58">
        <v>80</v>
      </c>
      <c r="L30" s="50">
        <f t="shared" si="4"/>
        <v>-6.8965517241379306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22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-5.4545454545454541</v>
      </c>
      <c r="J32" s="58">
        <v>25</v>
      </c>
      <c r="K32" s="58">
        <v>30</v>
      </c>
      <c r="L32" s="50">
        <f t="shared" si="4"/>
        <v>-5.4545454545454541</v>
      </c>
      <c r="M32" s="52">
        <f t="shared" si="0"/>
        <v>-5.4545454545454541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55</v>
      </c>
      <c r="D34" s="42">
        <v>60</v>
      </c>
      <c r="E34" s="42">
        <v>48</v>
      </c>
      <c r="F34" s="42">
        <v>60</v>
      </c>
      <c r="G34" s="42">
        <v>35</v>
      </c>
      <c r="H34" s="42">
        <v>45</v>
      </c>
      <c r="I34" s="49">
        <f t="shared" ref="I34:I49" si="5">((C34+D34)/2-(G34+H34)/2)/((G34+H34)/2)*100</f>
        <v>43.75</v>
      </c>
      <c r="J34" s="58">
        <v>60</v>
      </c>
      <c r="K34" s="58">
        <v>65</v>
      </c>
      <c r="L34" s="50">
        <f t="shared" ref="L34:L49" si="6">((C34+D34)/2-(J34+K34)/2)/((J34+K34)/2)*100</f>
        <v>-8</v>
      </c>
      <c r="M34" s="52">
        <f>((C34+D34)/2-(E34+F34)/2)/((E34+F34)/2)*100</f>
        <v>6.481481481481481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120</v>
      </c>
      <c r="E36" s="40">
        <v>100</v>
      </c>
      <c r="F36" s="40">
        <v>130</v>
      </c>
      <c r="G36" s="40">
        <v>90</v>
      </c>
      <c r="H36" s="40">
        <v>140</v>
      </c>
      <c r="I36" s="49">
        <f t="shared" si="5"/>
        <v>-4.3478260869565215</v>
      </c>
      <c r="J36" s="58">
        <v>100</v>
      </c>
      <c r="K36" s="58">
        <v>150</v>
      </c>
      <c r="L36" s="50">
        <f t="shared" si="6"/>
        <v>-12</v>
      </c>
      <c r="M36" s="52">
        <f t="shared" si="0"/>
        <v>-4.3478260869565215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200</v>
      </c>
      <c r="E37" s="42">
        <v>170</v>
      </c>
      <c r="F37" s="40">
        <v>220</v>
      </c>
      <c r="G37" s="42">
        <v>120</v>
      </c>
      <c r="H37" s="40">
        <v>210</v>
      </c>
      <c r="I37" s="49">
        <f t="shared" si="5"/>
        <v>12.121212121212121</v>
      </c>
      <c r="J37" s="58">
        <v>160</v>
      </c>
      <c r="K37" s="58">
        <v>200</v>
      </c>
      <c r="L37" s="50">
        <f t="shared" si="6"/>
        <v>2.7777777777777777</v>
      </c>
      <c r="M37" s="52">
        <f t="shared" si="0"/>
        <v>-5.1282051282051277</v>
      </c>
    </row>
    <row r="38" spans="1:13" s="51" customFormat="1">
      <c r="A38" s="46" t="s">
        <v>42</v>
      </c>
      <c r="B38" s="47" t="s">
        <v>14</v>
      </c>
      <c r="C38" s="40">
        <v>320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2.9411764705882351</v>
      </c>
      <c r="J38" s="58">
        <v>240</v>
      </c>
      <c r="K38" s="58">
        <v>350</v>
      </c>
      <c r="L38" s="50">
        <f t="shared" si="6"/>
        <v>18.64406779661017</v>
      </c>
      <c r="M38" s="52">
        <f t="shared" si="0"/>
        <v>2.9411764705882351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130</v>
      </c>
      <c r="H42" s="40">
        <v>160</v>
      </c>
      <c r="I42" s="49">
        <f t="shared" si="5"/>
        <v>0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160</v>
      </c>
      <c r="D43" s="40">
        <v>200</v>
      </c>
      <c r="E43" s="40">
        <v>150</v>
      </c>
      <c r="F43" s="40">
        <v>200</v>
      </c>
      <c r="G43" s="40">
        <v>120</v>
      </c>
      <c r="H43" s="40">
        <v>180</v>
      </c>
      <c r="I43" s="49">
        <f t="shared" si="5"/>
        <v>20</v>
      </c>
      <c r="J43" s="58">
        <v>120</v>
      </c>
      <c r="K43" s="58">
        <v>200</v>
      </c>
      <c r="L43" s="50">
        <f t="shared" si="6"/>
        <v>12.5</v>
      </c>
      <c r="M43" s="52">
        <f t="shared" si="0"/>
        <v>2.8571428571428572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650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520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1.8181818181818181</v>
      </c>
      <c r="J45" s="58">
        <v>500</v>
      </c>
      <c r="K45" s="58">
        <v>600</v>
      </c>
      <c r="L45" s="50">
        <f t="shared" si="6"/>
        <v>1.8181818181818181</v>
      </c>
      <c r="M45" s="52">
        <f t="shared" si="0"/>
        <v>1.8181818181818181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4500</v>
      </c>
      <c r="K47" s="58">
        <v>5200</v>
      </c>
      <c r="L47" s="50">
        <f t="shared" si="6"/>
        <v>4.1237113402061851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800</v>
      </c>
      <c r="K52" s="58">
        <v>2000</v>
      </c>
      <c r="L52" s="50">
        <f t="shared" si="8"/>
        <v>-7.1428571428571423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145</v>
      </c>
      <c r="K55" s="58">
        <v>170</v>
      </c>
      <c r="L55" s="50">
        <f t="shared" si="8"/>
        <v>20.634920634920633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830</v>
      </c>
      <c r="H58" s="40">
        <v>900</v>
      </c>
      <c r="I58" s="49">
        <f>((C58+D58)/2-(G59+H59)/2)/((G59+H59)/2)*100</f>
        <v>4.5197740112994351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7.5581395348837201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7.5144508670520231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8" t="s">
        <v>1</v>
      </c>
      <c r="B65" s="78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5" t="s">
        <v>6</v>
      </c>
      <c r="J65" s="72" t="s">
        <v>7</v>
      </c>
      <c r="K65" s="74"/>
      <c r="L65" s="25" t="s">
        <v>8</v>
      </c>
    </row>
    <row r="66" spans="1:13" ht="18" customHeight="1">
      <c r="A66" s="79"/>
      <c r="B66" s="79"/>
      <c r="C66" s="80">
        <v>46235</v>
      </c>
      <c r="D66" s="81"/>
      <c r="E66" s="80">
        <v>46228</v>
      </c>
      <c r="F66" s="81"/>
      <c r="G66" s="80">
        <v>46204</v>
      </c>
      <c r="H66" s="81"/>
      <c r="I66" s="25" t="s">
        <v>9</v>
      </c>
      <c r="J66" s="82">
        <v>45870</v>
      </c>
      <c r="K66" s="83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4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220</v>
      </c>
      <c r="K69" s="58">
        <v>550</v>
      </c>
      <c r="L69" s="50">
        <f t="shared" si="9"/>
        <v>16.883116883116884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>((C70+D70)/2-(G70+H70)/2)/((G70+H70)/2)*100</f>
        <v>2.5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0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1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300</v>
      </c>
      <c r="D72" s="40">
        <v>400</v>
      </c>
      <c r="E72" s="40">
        <v>160</v>
      </c>
      <c r="F72" s="40">
        <v>250</v>
      </c>
      <c r="G72" s="40">
        <v>80</v>
      </c>
      <c r="H72" s="40">
        <v>140</v>
      </c>
      <c r="I72" s="49">
        <f t="shared" si="10"/>
        <v>218.18181818181816</v>
      </c>
      <c r="J72" s="48">
        <v>0</v>
      </c>
      <c r="K72" s="48">
        <v>0</v>
      </c>
      <c r="L72" s="50" t="e">
        <f t="shared" si="9"/>
        <v>#DIV/0!</v>
      </c>
      <c r="M72" s="52">
        <f t="shared" si="11"/>
        <v>70.731707317073173</v>
      </c>
    </row>
    <row r="73" spans="1:13" s="52" customFormat="1">
      <c r="A73" s="46" t="s">
        <v>106</v>
      </c>
      <c r="B73" s="53" t="s">
        <v>14</v>
      </c>
      <c r="C73" s="40">
        <v>100</v>
      </c>
      <c r="D73" s="40">
        <v>120</v>
      </c>
      <c r="E73" s="40">
        <v>80</v>
      </c>
      <c r="F73" s="40">
        <v>120</v>
      </c>
      <c r="G73" s="40">
        <v>70</v>
      </c>
      <c r="H73" s="40">
        <v>100</v>
      </c>
      <c r="I73" s="49">
        <f t="shared" si="10"/>
        <v>29.411764705882355</v>
      </c>
      <c r="J73" s="69">
        <v>40</v>
      </c>
      <c r="K73" s="69">
        <v>120</v>
      </c>
      <c r="L73" s="50">
        <f t="shared" si="9"/>
        <v>37.5</v>
      </c>
      <c r="M73" s="52">
        <f t="shared" si="11"/>
        <v>10</v>
      </c>
    </row>
    <row r="74" spans="1:13" s="52" customFormat="1">
      <c r="A74" s="46" t="s">
        <v>107</v>
      </c>
      <c r="B74" s="53" t="s">
        <v>14</v>
      </c>
      <c r="C74" s="40">
        <v>80</v>
      </c>
      <c r="D74" s="40">
        <v>100</v>
      </c>
      <c r="E74" s="40">
        <v>80</v>
      </c>
      <c r="F74" s="40">
        <v>120</v>
      </c>
      <c r="G74" s="40">
        <v>50</v>
      </c>
      <c r="H74" s="40">
        <v>70</v>
      </c>
      <c r="I74" s="49">
        <f t="shared" si="10"/>
        <v>50</v>
      </c>
      <c r="J74" s="69">
        <v>50</v>
      </c>
      <c r="K74" s="69">
        <v>100</v>
      </c>
      <c r="L74" s="50">
        <f t="shared" si="9"/>
        <v>20</v>
      </c>
      <c r="M74" s="52">
        <f t="shared" si="11"/>
        <v>-10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0"/>
        <v>0</v>
      </c>
      <c r="J75" s="62">
        <v>38</v>
      </c>
      <c r="K75" s="62">
        <v>45</v>
      </c>
      <c r="L75" s="50">
        <f>((C75+D75)/2-(J75+K75)/2)/((J75+K75)/2)*100</f>
        <v>14.457831325301203</v>
      </c>
      <c r="M75" s="52">
        <f t="shared" si="11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0"/>
        <v>0</v>
      </c>
      <c r="J76" s="62">
        <v>30</v>
      </c>
      <c r="K76" s="62">
        <v>40</v>
      </c>
      <c r="L76" s="50">
        <f>((C76+D76)/2-(J76+K76)/2)/((J76+K76)/2)*100</f>
        <v>5.7142857142857144</v>
      </c>
      <c r="M76" s="52">
        <f t="shared" si="11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0"/>
        <v>0</v>
      </c>
      <c r="J77" s="58">
        <v>85000</v>
      </c>
      <c r="K77" s="58">
        <v>89000</v>
      </c>
      <c r="L77" s="50">
        <f>((C77+D77)/2-(J77+K77)/2)/((J77+K77)/2)*100</f>
        <v>3.4482758620689653</v>
      </c>
      <c r="M77" s="52">
        <f t="shared" si="11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0"/>
        <v>0</v>
      </c>
      <c r="J78" s="58">
        <v>78500</v>
      </c>
      <c r="K78" s="62">
        <v>82000</v>
      </c>
      <c r="L78" s="50">
        <f>((C78+D78)/2-(J78+K78)/2)/((J78+K78)/2)*100</f>
        <v>4.361370716510903</v>
      </c>
      <c r="M78" s="52">
        <f t="shared" si="11"/>
        <v>0</v>
      </c>
    </row>
    <row r="79" spans="1:13" ht="36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7" t="s">
        <v>136</v>
      </c>
      <c r="C81" s="77"/>
      <c r="D81" s="77"/>
      <c r="E81" s="77"/>
      <c r="F81" s="77"/>
      <c r="G81" s="77"/>
      <c r="H81" s="77"/>
      <c r="I81" s="77"/>
      <c r="J81" s="77"/>
      <c r="K81" s="77"/>
      <c r="L81" s="77"/>
    </row>
    <row r="82" spans="1:12">
      <c r="A82" s="7"/>
      <c r="B82" s="77" t="s">
        <v>135</v>
      </c>
      <c r="C82" s="77"/>
      <c r="D82" s="77"/>
      <c r="E82" s="77"/>
      <c r="F82" s="77"/>
      <c r="G82" s="77"/>
      <c r="H82" s="77"/>
      <c r="I82" s="77"/>
      <c r="J82" s="77"/>
      <c r="K82" s="77"/>
      <c r="L82" s="77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2" t="s">
        <v>3</v>
      </c>
      <c r="D85" s="74"/>
      <c r="E85" s="75" t="s">
        <v>78</v>
      </c>
      <c r="F85" s="76"/>
      <c r="G85" s="26" t="s">
        <v>9</v>
      </c>
      <c r="H85" s="72" t="s">
        <v>79</v>
      </c>
      <c r="I85" s="73"/>
      <c r="J85" s="74"/>
      <c r="K85" s="10"/>
      <c r="L85" s="2"/>
    </row>
    <row r="86" spans="1:12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8" si="12">((C86+D86)/2-(E86+F86)/2)/((E86+F86)/2)*100</f>
        <v>-1.2738853503184715</v>
      </c>
      <c r="H86" s="72" t="s">
        <v>124</v>
      </c>
      <c r="I86" s="73"/>
      <c r="J86" s="74"/>
      <c r="K86" s="10"/>
      <c r="L86" s="2"/>
    </row>
    <row r="87" spans="1:12">
      <c r="A87" s="46" t="s">
        <v>93</v>
      </c>
      <c r="B87" s="47" t="s">
        <v>14</v>
      </c>
      <c r="C87" s="40">
        <v>55</v>
      </c>
      <c r="D87" s="40">
        <v>65</v>
      </c>
      <c r="E87" s="40">
        <v>55</v>
      </c>
      <c r="F87" s="40">
        <v>68</v>
      </c>
      <c r="G87" s="31">
        <f t="shared" si="12"/>
        <v>-2.4390243902439024</v>
      </c>
      <c r="H87" s="72" t="s">
        <v>124</v>
      </c>
      <c r="I87" s="73"/>
      <c r="J87" s="74"/>
      <c r="K87" s="10"/>
      <c r="L87" s="2"/>
    </row>
    <row r="88" spans="1:12">
      <c r="A88" s="46" t="s">
        <v>15</v>
      </c>
      <c r="B88" s="47" t="s">
        <v>14</v>
      </c>
      <c r="C88" s="40">
        <v>50</v>
      </c>
      <c r="D88" s="40">
        <v>55</v>
      </c>
      <c r="E88" s="40">
        <v>50</v>
      </c>
      <c r="F88" s="40">
        <v>60</v>
      </c>
      <c r="G88" s="31">
        <f t="shared" si="12"/>
        <v>-4.5454545454545459</v>
      </c>
      <c r="H88" s="72" t="s">
        <v>124</v>
      </c>
      <c r="I88" s="73"/>
      <c r="J88" s="74"/>
      <c r="K88" s="10"/>
      <c r="L88" s="2"/>
    </row>
    <row r="89" spans="1:12">
      <c r="A89" s="46" t="s">
        <v>18</v>
      </c>
      <c r="B89" s="47" t="s">
        <v>19</v>
      </c>
      <c r="C89" s="40">
        <v>60</v>
      </c>
      <c r="D89" s="40">
        <v>65</v>
      </c>
      <c r="E89" s="40">
        <v>55</v>
      </c>
      <c r="F89" s="40">
        <v>60</v>
      </c>
      <c r="G89" s="31">
        <f t="shared" ref="G89:G96" si="13">((C89+D89)/2-(E89+F89)/2)/((E89+F89)/2)*100</f>
        <v>8.695652173913043</v>
      </c>
      <c r="H89" s="72" t="s">
        <v>128</v>
      </c>
      <c r="I89" s="73"/>
      <c r="J89" s="74"/>
      <c r="K89" s="10"/>
      <c r="L89" s="2"/>
    </row>
    <row r="90" spans="1:12">
      <c r="A90" s="46" t="s">
        <v>20</v>
      </c>
      <c r="B90" s="47" t="s">
        <v>14</v>
      </c>
      <c r="C90" s="40">
        <v>60</v>
      </c>
      <c r="D90" s="40">
        <v>60</v>
      </c>
      <c r="E90" s="40">
        <v>58</v>
      </c>
      <c r="F90" s="40">
        <v>60</v>
      </c>
      <c r="G90" s="31">
        <f t="shared" si="13"/>
        <v>1.6949152542372881</v>
      </c>
      <c r="H90" s="72" t="s">
        <v>123</v>
      </c>
      <c r="I90" s="73"/>
      <c r="J90" s="74"/>
      <c r="K90" s="10"/>
      <c r="L90" s="2"/>
    </row>
    <row r="91" spans="1:12">
      <c r="A91" s="46" t="s">
        <v>21</v>
      </c>
      <c r="B91" s="47" t="s">
        <v>19</v>
      </c>
      <c r="C91" s="40">
        <v>65</v>
      </c>
      <c r="D91" s="40">
        <v>75</v>
      </c>
      <c r="E91" s="40">
        <v>60</v>
      </c>
      <c r="F91" s="40">
        <v>75</v>
      </c>
      <c r="G91" s="31">
        <f t="shared" si="13"/>
        <v>3.7037037037037033</v>
      </c>
      <c r="H91" s="72" t="s">
        <v>125</v>
      </c>
      <c r="I91" s="73"/>
      <c r="J91" s="74"/>
      <c r="K91" s="10"/>
      <c r="L91" s="2"/>
    </row>
    <row r="92" spans="1:12">
      <c r="A92" s="46" t="s">
        <v>100</v>
      </c>
      <c r="B92" s="47" t="s">
        <v>14</v>
      </c>
      <c r="C92" s="40">
        <v>22</v>
      </c>
      <c r="D92" s="40">
        <v>30</v>
      </c>
      <c r="E92" s="40">
        <v>25</v>
      </c>
      <c r="F92" s="40">
        <v>30</v>
      </c>
      <c r="G92" s="31">
        <f t="shared" ref="G92:G100" si="14">((C92+D92)/2-(E92+F92)/2)/((E92+F92)/2)*100</f>
        <v>-5.4545454545454541</v>
      </c>
      <c r="H92" s="72" t="s">
        <v>127</v>
      </c>
      <c r="I92" s="73"/>
      <c r="J92" s="74"/>
      <c r="K92" s="10"/>
      <c r="L92" s="2"/>
    </row>
    <row r="93" spans="1:12">
      <c r="A93" s="46" t="s">
        <v>101</v>
      </c>
      <c r="B93" s="47" t="s">
        <v>14</v>
      </c>
      <c r="C93" s="42">
        <v>55</v>
      </c>
      <c r="D93" s="42">
        <v>60</v>
      </c>
      <c r="E93" s="42">
        <v>48</v>
      </c>
      <c r="F93" s="42">
        <v>60</v>
      </c>
      <c r="G93" s="31">
        <f t="shared" si="13"/>
        <v>6.481481481481481</v>
      </c>
      <c r="H93" s="72" t="s">
        <v>125</v>
      </c>
      <c r="I93" s="73"/>
      <c r="J93" s="74"/>
      <c r="K93" s="10"/>
      <c r="L93" s="2"/>
    </row>
    <row r="94" spans="1:12">
      <c r="A94" s="46" t="s">
        <v>40</v>
      </c>
      <c r="B94" s="47" t="s">
        <v>14</v>
      </c>
      <c r="C94" s="40">
        <v>100</v>
      </c>
      <c r="D94" s="40">
        <v>120</v>
      </c>
      <c r="E94" s="40">
        <v>100</v>
      </c>
      <c r="F94" s="40">
        <v>130</v>
      </c>
      <c r="G94" s="31">
        <f t="shared" si="14"/>
        <v>-4.3478260869565215</v>
      </c>
      <c r="H94" s="72" t="s">
        <v>129</v>
      </c>
      <c r="I94" s="73"/>
      <c r="J94" s="74"/>
      <c r="K94" s="10"/>
      <c r="L94" s="2"/>
    </row>
    <row r="95" spans="1:12">
      <c r="A95" s="46" t="s">
        <v>41</v>
      </c>
      <c r="B95" s="47" t="s">
        <v>14</v>
      </c>
      <c r="C95" s="42">
        <v>170</v>
      </c>
      <c r="D95" s="40">
        <v>200</v>
      </c>
      <c r="E95" s="42">
        <v>170</v>
      </c>
      <c r="F95" s="40">
        <v>220</v>
      </c>
      <c r="G95" s="31">
        <f t="shared" si="14"/>
        <v>-5.1282051282051277</v>
      </c>
      <c r="H95" s="72" t="s">
        <v>126</v>
      </c>
      <c r="I95" s="73"/>
      <c r="J95" s="74"/>
      <c r="K95" s="10"/>
      <c r="L95" s="2"/>
    </row>
    <row r="96" spans="1:12">
      <c r="A96" s="46" t="s">
        <v>47</v>
      </c>
      <c r="B96" s="47" t="s">
        <v>14</v>
      </c>
      <c r="C96" s="40">
        <v>160</v>
      </c>
      <c r="D96" s="40">
        <v>200</v>
      </c>
      <c r="E96" s="40">
        <v>150</v>
      </c>
      <c r="F96" s="40">
        <v>200</v>
      </c>
      <c r="G96" s="31">
        <f t="shared" si="13"/>
        <v>2.8571428571428572</v>
      </c>
      <c r="H96" s="72" t="s">
        <v>122</v>
      </c>
      <c r="I96" s="73"/>
      <c r="J96" s="74"/>
      <c r="K96" s="10"/>
      <c r="L96" s="2"/>
    </row>
    <row r="97" spans="1:12">
      <c r="A97" s="46" t="s">
        <v>49</v>
      </c>
      <c r="B97" s="47" t="s">
        <v>14</v>
      </c>
      <c r="C97" s="40">
        <v>520</v>
      </c>
      <c r="D97" s="40">
        <v>600</v>
      </c>
      <c r="E97" s="40">
        <v>500</v>
      </c>
      <c r="F97" s="40">
        <v>600</v>
      </c>
      <c r="G97" s="31">
        <f t="shared" si="14"/>
        <v>1.8181818181818181</v>
      </c>
      <c r="H97" s="72" t="s">
        <v>128</v>
      </c>
      <c r="I97" s="73"/>
      <c r="J97" s="74"/>
      <c r="K97" s="10"/>
      <c r="L97" s="2"/>
    </row>
    <row r="98" spans="1:12">
      <c r="A98" s="46" t="s">
        <v>105</v>
      </c>
      <c r="B98" s="53" t="s">
        <v>14</v>
      </c>
      <c r="C98" s="40">
        <v>300</v>
      </c>
      <c r="D98" s="40">
        <v>400</v>
      </c>
      <c r="E98" s="40">
        <v>160</v>
      </c>
      <c r="F98" s="40">
        <v>250</v>
      </c>
      <c r="G98" s="31">
        <f t="shared" si="14"/>
        <v>70.731707317073173</v>
      </c>
      <c r="H98" s="72" t="s">
        <v>133</v>
      </c>
      <c r="I98" s="73"/>
      <c r="J98" s="74"/>
      <c r="K98" s="10"/>
      <c r="L98" s="2"/>
    </row>
    <row r="99" spans="1:12">
      <c r="A99" s="46" t="s">
        <v>106</v>
      </c>
      <c r="B99" s="53" t="s">
        <v>14</v>
      </c>
      <c r="C99" s="40">
        <v>100</v>
      </c>
      <c r="D99" s="40">
        <v>120</v>
      </c>
      <c r="E99" s="40">
        <v>80</v>
      </c>
      <c r="F99" s="40">
        <v>120</v>
      </c>
      <c r="G99" s="31">
        <f t="shared" si="14"/>
        <v>10</v>
      </c>
      <c r="H99" s="72" t="s">
        <v>133</v>
      </c>
      <c r="I99" s="73"/>
      <c r="J99" s="74"/>
      <c r="K99" s="10"/>
      <c r="L99" s="2"/>
    </row>
    <row r="100" spans="1:12">
      <c r="A100" s="46" t="s">
        <v>107</v>
      </c>
      <c r="B100" s="53" t="s">
        <v>14</v>
      </c>
      <c r="C100" s="40">
        <v>80</v>
      </c>
      <c r="D100" s="40">
        <v>100</v>
      </c>
      <c r="E100" s="40">
        <v>80</v>
      </c>
      <c r="F100" s="40">
        <v>120</v>
      </c>
      <c r="G100" s="31">
        <f t="shared" si="14"/>
        <v>-10</v>
      </c>
      <c r="H100" s="72" t="s">
        <v>134</v>
      </c>
      <c r="I100" s="73"/>
      <c r="J100" s="74"/>
      <c r="K100" s="10"/>
      <c r="L100" s="2"/>
    </row>
    <row r="101" spans="1:12">
      <c r="A101" s="64"/>
      <c r="B101" s="70"/>
      <c r="C101" s="66"/>
      <c r="D101" s="66"/>
      <c r="E101" s="66"/>
      <c r="F101" s="66"/>
      <c r="G101" s="68"/>
      <c r="H101" s="71"/>
      <c r="I101" s="71"/>
      <c r="J101" s="71"/>
      <c r="K101" s="10"/>
      <c r="L101" s="2"/>
    </row>
    <row r="102" spans="1:12">
      <c r="A102" s="64"/>
      <c r="B102" s="70"/>
      <c r="C102" s="66"/>
      <c r="D102" s="66"/>
      <c r="E102" s="66"/>
      <c r="F102" s="66"/>
      <c r="G102" s="68"/>
      <c r="H102" s="71"/>
      <c r="I102" s="71"/>
      <c r="J102" s="71"/>
      <c r="K102" s="10"/>
      <c r="L102" s="2"/>
    </row>
    <row r="103" spans="1:12">
      <c r="A103" s="64"/>
      <c r="B103" s="65"/>
      <c r="C103" s="66"/>
      <c r="D103" s="67"/>
      <c r="E103" s="66"/>
      <c r="F103" s="67"/>
      <c r="G103" s="68"/>
      <c r="H103" s="7"/>
      <c r="I103" s="1"/>
      <c r="J103" s="1"/>
      <c r="K103" s="10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4" t="s">
        <v>114</v>
      </c>
      <c r="C105" s="2"/>
      <c r="E105" s="7"/>
      <c r="F105" s="14" t="s">
        <v>102</v>
      </c>
      <c r="G105" s="2"/>
      <c r="I105" s="15"/>
      <c r="J105" s="1"/>
      <c r="K105" s="2"/>
      <c r="L105" s="12"/>
    </row>
    <row r="106" spans="1:12">
      <c r="A106" s="16"/>
      <c r="B106" s="14" t="s">
        <v>113</v>
      </c>
      <c r="C106" s="1"/>
      <c r="E106" s="16"/>
      <c r="F106" s="14" t="s">
        <v>103</v>
      </c>
      <c r="G106" s="1"/>
      <c r="I106" s="2"/>
      <c r="J106" s="1"/>
      <c r="L106" s="12"/>
    </row>
    <row r="107" spans="1:12">
      <c r="A107" s="7"/>
      <c r="C107" s="6"/>
      <c r="D107" s="6"/>
      <c r="E107" s="1"/>
      <c r="F107" s="6"/>
      <c r="G107" s="4"/>
      <c r="H107" s="17"/>
      <c r="I107" s="12"/>
      <c r="J107" s="12"/>
      <c r="K107" s="12"/>
      <c r="L107" s="12"/>
    </row>
    <row r="108" spans="1:12">
      <c r="A108" s="18" t="s">
        <v>86</v>
      </c>
      <c r="B108" s="19"/>
      <c r="C108" s="20"/>
      <c r="D108" s="19"/>
      <c r="E108" s="20"/>
      <c r="F108" s="20"/>
      <c r="G108" s="20"/>
      <c r="H108" s="21"/>
      <c r="I108" s="2"/>
      <c r="J108" s="2"/>
      <c r="K108" s="2"/>
      <c r="L108" s="2"/>
    </row>
    <row r="109" spans="1:12">
      <c r="A109" s="22" t="s">
        <v>115</v>
      </c>
      <c r="B109" s="19"/>
      <c r="C109" s="20"/>
      <c r="D109" s="19"/>
      <c r="E109" s="20"/>
      <c r="F109" s="20"/>
      <c r="G109" s="19"/>
      <c r="H109" s="21"/>
      <c r="I109" s="2"/>
      <c r="J109" s="2"/>
      <c r="K109" s="2"/>
      <c r="L109" s="2"/>
    </row>
    <row r="110" spans="1:12">
      <c r="A110" s="22" t="s">
        <v>108</v>
      </c>
      <c r="B110" s="19"/>
      <c r="C110" s="19"/>
      <c r="D110" s="19"/>
      <c r="E110" s="19"/>
      <c r="F110" s="20"/>
      <c r="G110" s="19"/>
      <c r="H110" s="21"/>
      <c r="I110" s="2"/>
      <c r="J110" s="2"/>
      <c r="K110" s="2"/>
      <c r="L110" s="2"/>
    </row>
    <row r="111" spans="1:12">
      <c r="A111" s="22" t="s">
        <v>80</v>
      </c>
      <c r="B111" s="19"/>
      <c r="C111" s="19"/>
      <c r="D111" s="19"/>
      <c r="E111" s="19"/>
      <c r="F111" s="21"/>
      <c r="G111" s="21"/>
      <c r="H111" s="21"/>
      <c r="I111" s="2"/>
      <c r="J111" s="2"/>
      <c r="K111" s="2"/>
      <c r="L111" s="2"/>
    </row>
    <row r="112" spans="1:12">
      <c r="A112" s="22" t="s">
        <v>109</v>
      </c>
      <c r="B112" s="19"/>
      <c r="C112" s="19"/>
      <c r="D112" s="19"/>
      <c r="E112" s="19"/>
      <c r="F112" s="19"/>
      <c r="G112" s="21"/>
      <c r="H112" s="21"/>
      <c r="I112" s="2"/>
      <c r="J112" s="2"/>
      <c r="K112" s="2"/>
      <c r="L112" s="2"/>
    </row>
    <row r="113" spans="1:12">
      <c r="A113" s="22" t="s">
        <v>89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95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88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87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81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90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116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91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92</v>
      </c>
      <c r="B121" s="19"/>
      <c r="C121" s="19"/>
      <c r="D121" s="19"/>
      <c r="E121" s="19"/>
      <c r="F121" s="19"/>
      <c r="G121" s="19"/>
      <c r="H121" s="21"/>
      <c r="I121" s="2"/>
      <c r="J121" s="2"/>
      <c r="K121" s="2"/>
      <c r="L121" s="2"/>
    </row>
    <row r="122" spans="1:12">
      <c r="A122" s="22" t="s">
        <v>110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/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18" t="s">
        <v>82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83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117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118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128" spans="1:12">
      <c r="A128" s="22" t="s">
        <v>99</v>
      </c>
      <c r="B128" s="19"/>
      <c r="C128" s="19"/>
      <c r="D128" s="19"/>
      <c r="E128" s="19"/>
      <c r="F128" s="19"/>
      <c r="G128" s="19"/>
      <c r="H128" s="23"/>
      <c r="I128" s="12"/>
      <c r="J128" s="12"/>
      <c r="K128" s="12"/>
      <c r="L128" s="12"/>
    </row>
    <row r="444" spans="2:2">
      <c r="B444" s="11" t="s">
        <v>112</v>
      </c>
    </row>
  </sheetData>
  <mergeCells count="45"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100:J100"/>
    <mergeCell ref="H98:J98"/>
    <mergeCell ref="H96:J96"/>
    <mergeCell ref="H93:J93"/>
    <mergeCell ref="H95:J95"/>
    <mergeCell ref="H99:J99"/>
    <mergeCell ref="H94:J94"/>
    <mergeCell ref="B81:L81"/>
    <mergeCell ref="B82:L82"/>
    <mergeCell ref="C85:D85"/>
    <mergeCell ref="H90:J90"/>
    <mergeCell ref="H86:J86"/>
    <mergeCell ref="H87:J87"/>
    <mergeCell ref="H88:J88"/>
    <mergeCell ref="H92:J92"/>
    <mergeCell ref="H97:J97"/>
    <mergeCell ref="E85:F85"/>
    <mergeCell ref="H85:J85"/>
    <mergeCell ref="H89:J89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2026-08-02T05:03:54Z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