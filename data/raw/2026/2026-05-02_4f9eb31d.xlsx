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8_{0DE1B092-B1D3-4706-BC69-3EE74FAA7C1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3" i="4"/>
  <c r="G89" i="4"/>
  <c r="G88" i="4"/>
  <c r="G91" i="4"/>
  <c r="G90" i="4"/>
  <c r="G92" i="4"/>
  <c r="G95" i="4"/>
  <c r="G87" i="4"/>
  <c r="G96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<sst xmlns="http://schemas.openxmlformats.org/spreadsheetml/2006/main" count="251" uniqueCount="138">
  <si>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</si>
  <si>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</si>
  <si>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</si>
  <si>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</si>
  <si>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</si>
  <si>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</si>
  <si>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</si>
  <si>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</si>
  <si>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</si>
  <si>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</si>
  <si>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</si>
  <si>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</si>
  <si>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</si>
  <si>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</si>
  <si>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</si>
  <si>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</si>
  <si>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</si>
  <si>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</si>
  <si>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</si>
  <si>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</si>
  <si>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</si>
  <si>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</si>
  <si>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</si>
  <si>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</si>
  <si>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</si>
  <si>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</si>
  <si>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</si>
  <si>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</si>
  <si>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</si>
  <si>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</si>
  <si>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</si>
  <si>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</si>
  <si>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</si>
  <si>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</si>
  <si>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</si>
  <si>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</si>
  <si>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</si>
  <si>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</si>
  <si>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</si>
  <si>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</si>
  <si>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</si>
  <si>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</si>
  <si>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</si>
  <si>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</si>
  <si>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</si>
  <si>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</si>
  <si>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</si>
  <si>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</si>
  <si>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</si>
  <si>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</si>
  <si>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</si>
  <si>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</si>
  <si>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</si>
  <si>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</si>
  <si>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</si>
  <si>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</si>
  <si>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</si>
  <si>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</si>
  <si>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</si>
  <si>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</si>
  <si>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</si>
  <si>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</si>
  <si>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</si>
  <si>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</si>
  <si>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</si>
  <si>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</si>
  <si>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</si>
  <si>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</si>
  <si>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</si>
  <si>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</si>
  <si>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</si>
  <si>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</si>
  <si>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</si>
  <si>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</si>
  <si>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</si>
  <si>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</si>
  <si>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</si>
  <si>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</si>
  <si>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</si>
  <si>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</si>
  <si>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</si>
  <si>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</si>
  <si>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</si>
  <si>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</si>
  <si>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</si>
  <si>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</si>
  <si>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</si>
  <si>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</si>
  <si>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</si>
  <si>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</si>
  <si>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</si>
  <si>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</si>
  <si>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</si>
  <si>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</si>
  <si>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</si>
  <si>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</si>
  <si>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</si>
  <si>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</si>
  <si>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</si>
  <si>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</si>
  <si>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</si>
  <si>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</si>
  <si>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</si>
  <si>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</si>
  <si>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</si>
  <si>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</si>
  <si>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</si>
  <si>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</si>
  <si>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</si>
  <si>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</si>
  <si>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</si>
  <si>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</si>
  <si>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</si>
  <si>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</si>
  <si>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</si>
  <si>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</si>
  <si>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</si>
  <si>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</si>
  <si>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</si>
  <si>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</si>
  <si>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</si>
  <si>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</si>
  <si>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২০-০৪-২০২৬ তারিখে মূল্য বৃদ্ধি পেয়েছে।</t>
  </si>
  <si>
    <t>২৬-০৪-২০২৬ তারিখে মূল্য বৃদ্ধি পেয়েছে।</t>
  </si>
  <si>
    <t>২৬-০৪-২০২৬ তারিখে মূল্য হ্রাস পেয়েছে।</t>
  </si>
  <si>
    <t>সহকারী পরিচালক (বাজার তথ্য)</t>
  </si>
  <si>
    <t>(শতদল মন্ডল)</t>
  </si>
  <si>
    <t xml:space="preserve"> (মোঃ আনিছুর রহমান)   </t>
  </si>
  <si>
    <t xml:space="preserve"> অতিরিক্ত পরিচালক (বাণিজ্যিক)(প্রতিকল্প)</t>
  </si>
  <si>
    <t>২৮-০৪-২০২৬ তারিখে মূল্য হ্রাস পেয়েছে।</t>
  </si>
  <si>
    <t>৩০-০৪-২০২৬ তারিখে মূল্য বৃদ্ধি পেয়েছে।</t>
  </si>
  <si>
    <t>স্মারক নং-২৬.০৫.০০০০.০১৭.৩১.০১.২৬-৩৪৩</t>
  </si>
  <si>
    <t xml:space="preserve">   সিরিয়াল নংঃ     ১০৬</t>
  </si>
  <si>
    <t xml:space="preserve">শনিবার ০২ মে ২০২৬ খ্রিঃ, ১৯ বৈশাখ ১৪৩৩ বাংলা, ১৪ জিলকদ ১৪৪৭ হিজরি </t>
  </si>
  <si>
    <t>০২-০৫-২০২৬ তারিখে মূল্য বৃদ্ধি পেয়েছে।</t>
  </si>
  <si>
    <t>০২-০৫-২০২৬ তারিখে মূল্য হ্রাস পেয়েছে।</t>
  </si>
  <si>
    <t>(২)   সয়াবিন তেল লুজ, পাম অয়েল সুপার, চিনি, ডিম, কাঁচামরিচ   এর মূল্য বৃদ্ধি পেয়েছে।</t>
  </si>
  <si>
    <t>(১)   আটা (খোলা),  আদা (দেশী, আম), মুরগী ব্রয়লার, লেবু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</si>
</sst>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2"/>
  <sheetViews>
    <sheetView tabSelected="1" topLeftCell="B3" zoomScale="95" zoomScaleNormal="95" workbookViewId="0">
      <selection activeCell="B82" sqref="B82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2" t="s">
        <v>132</v>
      </c>
      <c r="L5" s="73"/>
    </row>
    <row r="6" spans="1:12" ht="21.75">
      <c r="A6" s="10"/>
      <c r="B6" s="8"/>
      <c r="C6" s="8"/>
      <c r="D6" s="10"/>
      <c r="E6" s="8"/>
      <c r="F6" s="8" t="s">
        <v>133</v>
      </c>
      <c r="G6" s="8"/>
      <c r="H6" s="8"/>
      <c r="I6" s="8"/>
      <c r="J6" s="8"/>
      <c r="K6" s="8"/>
      <c r="L6" s="30"/>
    </row>
    <row r="7" spans="1:12" ht="21.75">
      <c r="A7" s="13" t="s">
        <v>131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46144</v>
      </c>
    </row>
    <row r="8" spans="1:12" ht="19.5">
      <c r="A8" s="5" t="s">
        <v>4</v>
      </c>
      <c r="B8" s="6" t="s">
        <v>5</v>
      </c>
      <c r="C8" s="74" t="s">
        <v>6</v>
      </c>
      <c r="D8" s="75"/>
      <c r="E8" s="74" t="s">
        <v>7</v>
      </c>
      <c r="F8" s="75"/>
      <c r="G8" s="74" t="s">
        <v>8</v>
      </c>
      <c r="H8" s="75"/>
      <c r="I8" s="6" t="s">
        <v>9</v>
      </c>
      <c r="J8" s="74" t="s">
        <v>10</v>
      </c>
      <c r="K8" s="75"/>
      <c r="L8" s="50" t="s">
        <v>11</v>
      </c>
    </row>
    <row r="9" spans="1:12" ht="21.75">
      <c r="A9" s="5"/>
      <c r="B9" s="6"/>
      <c r="C9" s="76">
        <v>46144</v>
      </c>
      <c r="D9" s="73"/>
      <c r="E9" s="76">
        <v>46137</v>
      </c>
      <c r="F9" s="73"/>
      <c r="G9" s="76">
        <v>46114</v>
      </c>
      <c r="H9" s="73"/>
      <c r="I9" s="18" t="s">
        <v>12</v>
      </c>
      <c r="J9" s="76">
        <v>45779</v>
      </c>
      <c r="K9" s="73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74</v>
      </c>
      <c r="K11" s="20">
        <v>85</v>
      </c>
      <c r="L11" s="22">
        <f>((C11+D11)/2-(J11+K11)/2)/((J11+K11)/2)*100</f>
        <v>-2.5157232704402519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57</v>
      </c>
      <c r="K12" s="20">
        <v>65</v>
      </c>
      <c r="L12" s="22">
        <f>((C12+D12)/2-(J12+K12)/2)/((J12+K12)/2)*100</f>
        <v>4.918032786885246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42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180</v>
      </c>
      <c r="D20" s="20">
        <v>195</v>
      </c>
      <c r="E20" s="20">
        <v>182</v>
      </c>
      <c r="F20" s="20">
        <v>190</v>
      </c>
      <c r="G20" s="20">
        <v>185</v>
      </c>
      <c r="H20" s="20">
        <v>196</v>
      </c>
      <c r="I20" s="21">
        <f t="shared" ref="I20:I26" si="0">((C20+D20)/2-(G20+H20)/2)/((G20+H20)/2)*100</f>
        <v>-1.5748031496062991</v>
      </c>
      <c r="J20" s="20">
        <v>165</v>
      </c>
      <c r="K20" s="20">
        <v>170</v>
      </c>
      <c r="L20" s="22">
        <f t="shared" ref="L20:L26" si="1">((C20+D20)/2-(J20+K20)/2)/((J20+K20)/2)*100</f>
        <v>11.940298507462686</v>
      </c>
    </row>
    <row r="21" spans="1:12" ht="21.75">
      <c r="A21" s="56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900</v>
      </c>
      <c r="K21" s="20">
        <v>920</v>
      </c>
      <c r="L21" s="22">
        <f t="shared" si="1"/>
        <v>4.6703296703296706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375</v>
      </c>
      <c r="K22" s="20">
        <v>378</v>
      </c>
      <c r="L22" s="22">
        <f t="shared" si="1"/>
        <v>4.2496679946879148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0</v>
      </c>
      <c r="J23" s="20">
        <v>188</v>
      </c>
      <c r="K23" s="20">
        <v>190</v>
      </c>
      <c r="L23" s="22">
        <f t="shared" si="1"/>
        <v>3.1746031746031744</v>
      </c>
    </row>
    <row r="24" spans="1:12" ht="21.75">
      <c r="A24" s="56" t="s">
        <v>32</v>
      </c>
      <c r="B24" s="6" t="s">
        <v>27</v>
      </c>
      <c r="C24" s="20">
        <v>161</v>
      </c>
      <c r="D24" s="20">
        <v>168</v>
      </c>
      <c r="E24" s="20">
        <v>161</v>
      </c>
      <c r="F24" s="20">
        <v>168</v>
      </c>
      <c r="G24" s="20">
        <v>162</v>
      </c>
      <c r="H24" s="20">
        <v>168</v>
      </c>
      <c r="I24" s="21">
        <f t="shared" si="0"/>
        <v>-0.30303030303030304</v>
      </c>
      <c r="J24" s="20">
        <v>149</v>
      </c>
      <c r="K24" s="20">
        <v>154</v>
      </c>
      <c r="L24" s="22">
        <f t="shared" si="1"/>
        <v>8.5808580858085808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1.4925373134328357</v>
      </c>
      <c r="J25" s="20">
        <v>155</v>
      </c>
      <c r="K25" s="20">
        <v>160</v>
      </c>
      <c r="L25" s="22">
        <f t="shared" si="1"/>
        <v>7.9365079365079358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90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8.5714285714285712</v>
      </c>
      <c r="J33" s="20">
        <v>90</v>
      </c>
      <c r="K33" s="20">
        <v>110</v>
      </c>
      <c r="L33" s="22">
        <f t="shared" si="3"/>
        <v>-5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20</v>
      </c>
      <c r="H34" s="20">
        <v>25</v>
      </c>
      <c r="I34" s="21">
        <f t="shared" si="2"/>
        <v>0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70</v>
      </c>
      <c r="D38" s="20">
        <v>140</v>
      </c>
      <c r="E38" s="20">
        <v>70</v>
      </c>
      <c r="F38" s="20">
        <v>140</v>
      </c>
      <c r="G38" s="20">
        <v>70</v>
      </c>
      <c r="H38" s="20">
        <v>130</v>
      </c>
      <c r="I38" s="21">
        <f t="shared" si="4"/>
        <v>5</v>
      </c>
      <c r="J38" s="20">
        <v>100</v>
      </c>
      <c r="K38" s="20">
        <v>160</v>
      </c>
      <c r="L38" s="22">
        <f t="shared" si="5"/>
        <v>-19.230769230769234</v>
      </c>
    </row>
    <row r="39" spans="1:12" ht="21.75">
      <c r="A39" s="56" t="s">
        <v>44</v>
      </c>
      <c r="B39" s="6" t="s">
        <v>17</v>
      </c>
      <c r="C39" s="20">
        <v>160</v>
      </c>
      <c r="D39" s="20">
        <v>220</v>
      </c>
      <c r="E39" s="20">
        <v>160</v>
      </c>
      <c r="F39" s="20">
        <v>220</v>
      </c>
      <c r="G39" s="20">
        <v>170</v>
      </c>
      <c r="H39" s="20">
        <v>220</v>
      </c>
      <c r="I39" s="21">
        <f t="shared" si="4"/>
        <v>-2.5641025641025639</v>
      </c>
      <c r="J39" s="20">
        <v>200</v>
      </c>
      <c r="K39" s="20">
        <v>240</v>
      </c>
      <c r="L39" s="22">
        <f t="shared" si="5"/>
        <v>-13.636363636363635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300</v>
      </c>
      <c r="L40" s="22">
        <f t="shared" si="5"/>
        <v>39.622641509433961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280</v>
      </c>
      <c r="K43" s="20">
        <v>420</v>
      </c>
      <c r="L43" s="22">
        <f t="shared" si="5"/>
        <v>-7.1428571428571423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150</v>
      </c>
      <c r="L44" s="22">
        <f t="shared" si="5"/>
        <v>20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150</v>
      </c>
      <c r="F45" s="20">
        <v>220</v>
      </c>
      <c r="G45" s="20">
        <v>120</v>
      </c>
      <c r="H45" s="20">
        <v>210</v>
      </c>
      <c r="I45" s="21">
        <f t="shared" si="4"/>
        <v>0</v>
      </c>
      <c r="J45" s="20">
        <v>130</v>
      </c>
      <c r="K45" s="20">
        <v>200</v>
      </c>
      <c r="L45" s="22">
        <f t="shared" si="5"/>
        <v>0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550</v>
      </c>
      <c r="L47" s="22">
        <f t="shared" si="5"/>
        <v>4.7619047619047619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190</v>
      </c>
      <c r="E57" s="20">
        <v>180</v>
      </c>
      <c r="F57" s="20">
        <v>200</v>
      </c>
      <c r="G57" s="20">
        <v>170</v>
      </c>
      <c r="H57" s="20">
        <v>210</v>
      </c>
      <c r="I57" s="21">
        <f t="shared" si="6"/>
        <v>-2.6315789473684208</v>
      </c>
      <c r="J57" s="20">
        <v>180</v>
      </c>
      <c r="K57" s="20">
        <v>200</v>
      </c>
      <c r="L57" s="22">
        <f t="shared" si="7"/>
        <v>-2.6315789473684208</v>
      </c>
    </row>
    <row r="58" spans="1:12" ht="21.75">
      <c r="A58" s="56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640</v>
      </c>
      <c r="L58" s="22">
        <f t="shared" si="7"/>
        <v>5.2631578947368416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4" t="s">
        <v>6</v>
      </c>
      <c r="D66" s="75"/>
      <c r="E66" s="74" t="s">
        <v>7</v>
      </c>
      <c r="F66" s="75"/>
      <c r="G66" s="74" t="s">
        <v>8</v>
      </c>
      <c r="H66" s="75"/>
      <c r="I66" s="6" t="s">
        <v>9</v>
      </c>
      <c r="J66" s="74" t="s">
        <v>10</v>
      </c>
      <c r="K66" s="75"/>
      <c r="L66" s="18" t="s">
        <v>11</v>
      </c>
    </row>
    <row r="67" spans="1:12" ht="18" customHeight="1">
      <c r="A67" s="61"/>
      <c r="B67" s="54"/>
      <c r="C67" s="76">
        <v>46144</v>
      </c>
      <c r="D67" s="73"/>
      <c r="E67" s="76">
        <v>46137</v>
      </c>
      <c r="F67" s="73"/>
      <c r="G67" s="76">
        <v>46114</v>
      </c>
      <c r="H67" s="73"/>
      <c r="I67" s="18" t="s">
        <v>12</v>
      </c>
      <c r="J67" s="76">
        <v>45779</v>
      </c>
      <c r="K67" s="73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100</v>
      </c>
      <c r="F69" s="20">
        <v>110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114</v>
      </c>
      <c r="K69" s="20">
        <v>120</v>
      </c>
      <c r="L69" s="22">
        <f t="shared" ref="L69:L79" si="8">((C69+D69)/2-(J69+K69)/2)/((J69+K69)/2)*100</f>
        <v>-8.1196581196581192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15</v>
      </c>
      <c r="D72" s="20">
        <v>50</v>
      </c>
      <c r="E72" s="20">
        <v>20</v>
      </c>
      <c r="F72" s="20">
        <v>50</v>
      </c>
      <c r="G72" s="20">
        <v>20</v>
      </c>
      <c r="H72" s="20">
        <v>50</v>
      </c>
      <c r="I72" s="21">
        <f t="shared" si="9"/>
        <v>-7.1428571428571423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80</v>
      </c>
      <c r="D73" s="20">
        <v>130</v>
      </c>
      <c r="E73" s="20">
        <v>60</v>
      </c>
      <c r="F73" s="20">
        <v>130</v>
      </c>
      <c r="G73" s="20">
        <v>40</v>
      </c>
      <c r="H73" s="20">
        <v>80</v>
      </c>
      <c r="I73" s="21">
        <f t="shared" si="9"/>
        <v>75</v>
      </c>
      <c r="J73" s="20">
        <v>60</v>
      </c>
      <c r="K73" s="20">
        <v>100</v>
      </c>
      <c r="L73" s="22">
        <f t="shared" si="8"/>
        <v>31.25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70</v>
      </c>
      <c r="K74" s="20">
        <v>100</v>
      </c>
      <c r="L74" s="22">
        <f t="shared" si="8"/>
        <v>17.647058823529413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30</v>
      </c>
      <c r="H75" s="20">
        <v>70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45</v>
      </c>
      <c r="E76" s="28">
        <v>40</v>
      </c>
      <c r="F76" s="28">
        <v>42</v>
      </c>
      <c r="G76" s="28">
        <v>34</v>
      </c>
      <c r="H76" s="28">
        <v>40</v>
      </c>
      <c r="I76" s="21">
        <f t="shared" si="9"/>
        <v>14.864864864864865</v>
      </c>
      <c r="J76" s="28">
        <v>40</v>
      </c>
      <c r="K76" s="28">
        <v>45</v>
      </c>
      <c r="L76" s="22">
        <f t="shared" si="8"/>
        <v>0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88500</v>
      </c>
      <c r="L79" s="22">
        <f t="shared" si="8"/>
        <v>-6.5527065527065522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137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136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4" t="s">
        <v>6</v>
      </c>
      <c r="D86" s="75"/>
      <c r="E86" s="79" t="s">
        <v>81</v>
      </c>
      <c r="F86" s="80"/>
      <c r="G86" s="41" t="s">
        <v>12</v>
      </c>
      <c r="H86" s="74" t="s">
        <v>82</v>
      </c>
      <c r="I86" s="81"/>
      <c r="J86" s="75"/>
      <c r="K86" s="43"/>
      <c r="L86" s="2"/>
    </row>
    <row r="87" spans="1:12" ht="21.75">
      <c r="A87" s="56" t="s">
        <v>20</v>
      </c>
      <c r="B87" s="6" t="s">
        <v>17</v>
      </c>
      <c r="C87" s="20">
        <v>40</v>
      </c>
      <c r="D87" s="20">
        <v>46</v>
      </c>
      <c r="E87" s="20">
        <v>42</v>
      </c>
      <c r="F87" s="20">
        <v>46</v>
      </c>
      <c r="G87" s="7">
        <f t="shared" ref="G87" si="10">((C87+D87)/2-(E87+F87)/2)/((E87+F87)/2)*100</f>
        <v>-2.2727272727272729</v>
      </c>
      <c r="H87" s="5" t="s">
        <v>129</v>
      </c>
      <c r="I87" s="6"/>
      <c r="J87" s="6"/>
      <c r="K87" s="43"/>
      <c r="L87" s="2"/>
    </row>
    <row r="88" spans="1:12" ht="21.75">
      <c r="A88" s="56" t="s">
        <v>26</v>
      </c>
      <c r="B88" s="6" t="s">
        <v>27</v>
      </c>
      <c r="C88" s="20">
        <v>180</v>
      </c>
      <c r="D88" s="20">
        <v>195</v>
      </c>
      <c r="E88" s="20">
        <v>182</v>
      </c>
      <c r="F88" s="20">
        <v>190</v>
      </c>
      <c r="G88" s="7">
        <f t="shared" ref="G88:G89" si="11">((C88+D88)/2-(E88+F88)/2)/((E88+F88)/2)*100</f>
        <v>0.80645161290322576</v>
      </c>
      <c r="H88" s="5" t="s">
        <v>134</v>
      </c>
      <c r="I88" s="6"/>
      <c r="J88" s="6"/>
      <c r="K88" s="43"/>
      <c r="L88" s="2"/>
    </row>
    <row r="89" spans="1:12" ht="21.75">
      <c r="A89" s="56" t="s">
        <v>99</v>
      </c>
      <c r="B89" s="6" t="s">
        <v>27</v>
      </c>
      <c r="C89" s="20">
        <v>168</v>
      </c>
      <c r="D89" s="20">
        <v>172</v>
      </c>
      <c r="E89" s="20">
        <v>165</v>
      </c>
      <c r="F89" s="20">
        <v>172</v>
      </c>
      <c r="G89" s="7">
        <f t="shared" si="11"/>
        <v>0.89020771513353114</v>
      </c>
      <c r="H89" s="5" t="s">
        <v>130</v>
      </c>
      <c r="I89" s="6"/>
      <c r="J89" s="6"/>
      <c r="K89" s="43"/>
      <c r="L89" s="2"/>
    </row>
    <row r="90" spans="1:12" ht="21.75">
      <c r="A90" s="56" t="s">
        <v>49</v>
      </c>
      <c r="B90" s="6" t="s">
        <v>17</v>
      </c>
      <c r="C90" s="20">
        <v>140</v>
      </c>
      <c r="D90" s="20">
        <v>160</v>
      </c>
      <c r="E90" s="20">
        <v>140</v>
      </c>
      <c r="F90" s="20">
        <v>200</v>
      </c>
      <c r="G90" s="7">
        <f t="shared" ref="G90:G96" si="12">((C90+D90)/2-(E90+F90)/2)/((E90+F90)/2)*100</f>
        <v>-11.76470588235294</v>
      </c>
      <c r="H90" s="5" t="s">
        <v>124</v>
      </c>
      <c r="I90" s="6"/>
      <c r="J90" s="6"/>
      <c r="K90" s="43"/>
      <c r="L90" s="2"/>
    </row>
    <row r="91" spans="1:12" ht="21.75">
      <c r="A91" s="56" t="s">
        <v>50</v>
      </c>
      <c r="B91" s="6" t="s">
        <v>17</v>
      </c>
      <c r="C91" s="20">
        <v>120</v>
      </c>
      <c r="D91" s="20">
        <v>210</v>
      </c>
      <c r="E91" s="20">
        <v>150</v>
      </c>
      <c r="F91" s="20">
        <v>220</v>
      </c>
      <c r="G91" s="7">
        <f t="shared" si="12"/>
        <v>-10.810810810810811</v>
      </c>
      <c r="H91" s="5" t="s">
        <v>124</v>
      </c>
      <c r="I91" s="6"/>
      <c r="J91" s="6"/>
      <c r="K91" s="43"/>
      <c r="L91" s="2"/>
    </row>
    <row r="92" spans="1:12" ht="21.75">
      <c r="A92" s="56" t="s">
        <v>69</v>
      </c>
      <c r="B92" s="6" t="s">
        <v>17</v>
      </c>
      <c r="C92" s="20">
        <v>105</v>
      </c>
      <c r="D92" s="20">
        <v>110</v>
      </c>
      <c r="E92" s="20">
        <v>100</v>
      </c>
      <c r="F92" s="20">
        <v>110</v>
      </c>
      <c r="G92" s="7">
        <f t="shared" si="12"/>
        <v>2.3809523809523809</v>
      </c>
      <c r="H92" s="5" t="s">
        <v>123</v>
      </c>
      <c r="I92" s="6"/>
      <c r="J92" s="6"/>
      <c r="K92" s="43"/>
      <c r="L92" s="2"/>
    </row>
    <row r="93" spans="1:12" ht="21.75">
      <c r="A93" s="56" t="s">
        <v>60</v>
      </c>
      <c r="B93" s="6" t="s">
        <v>17</v>
      </c>
      <c r="C93" s="20">
        <v>180</v>
      </c>
      <c r="D93" s="20">
        <v>190</v>
      </c>
      <c r="E93" s="20">
        <v>180</v>
      </c>
      <c r="F93" s="20">
        <v>200</v>
      </c>
      <c r="G93" s="7">
        <f t="shared" si="12"/>
        <v>-2.6315789473684208</v>
      </c>
      <c r="H93" s="5" t="s">
        <v>135</v>
      </c>
      <c r="I93" s="6"/>
      <c r="J93" s="6"/>
      <c r="K93" s="43"/>
      <c r="L93" s="2"/>
    </row>
    <row r="94" spans="1:12" ht="21.75">
      <c r="A94" s="56" t="s">
        <v>112</v>
      </c>
      <c r="B94" s="48" t="s">
        <v>72</v>
      </c>
      <c r="C94" s="20">
        <v>15</v>
      </c>
      <c r="D94" s="20">
        <v>50</v>
      </c>
      <c r="E94" s="20">
        <v>20</v>
      </c>
      <c r="F94" s="20">
        <v>50</v>
      </c>
      <c r="G94" s="7">
        <f t="shared" si="12"/>
        <v>-7.1428571428571423</v>
      </c>
      <c r="H94" s="5" t="s">
        <v>135</v>
      </c>
      <c r="I94" s="6"/>
      <c r="J94" s="6"/>
      <c r="K94" s="43"/>
      <c r="L94" s="2"/>
    </row>
    <row r="95" spans="1:12" ht="21.75">
      <c r="A95" s="56" t="s">
        <v>113</v>
      </c>
      <c r="B95" s="48" t="s">
        <v>17</v>
      </c>
      <c r="C95" s="20">
        <v>80</v>
      </c>
      <c r="D95" s="20">
        <v>130</v>
      </c>
      <c r="E95" s="20">
        <v>60</v>
      </c>
      <c r="F95" s="20">
        <v>130</v>
      </c>
      <c r="G95" s="7">
        <f t="shared" si="12"/>
        <v>10.526315789473683</v>
      </c>
      <c r="H95" s="5" t="s">
        <v>134</v>
      </c>
      <c r="I95" s="6"/>
      <c r="J95" s="6"/>
      <c r="K95" s="43"/>
      <c r="L95" s="2"/>
    </row>
    <row r="96" spans="1:12" ht="21.75">
      <c r="A96" s="56" t="s">
        <v>71</v>
      </c>
      <c r="B96" s="6" t="s">
        <v>72</v>
      </c>
      <c r="C96" s="28">
        <v>40</v>
      </c>
      <c r="D96" s="28">
        <v>45</v>
      </c>
      <c r="E96" s="28">
        <v>40</v>
      </c>
      <c r="F96" s="28">
        <v>42</v>
      </c>
      <c r="G96" s="7">
        <f t="shared" si="12"/>
        <v>3.6585365853658534</v>
      </c>
      <c r="H96" s="5" t="s">
        <v>122</v>
      </c>
      <c r="I96" s="6"/>
      <c r="J96" s="6"/>
      <c r="K96" s="43"/>
      <c r="L96" s="44"/>
    </row>
    <row r="97" spans="1:12" ht="21.75">
      <c r="A97" s="60"/>
      <c r="B97" s="3"/>
      <c r="C97" s="71"/>
      <c r="D97" s="71"/>
      <c r="E97" s="71"/>
      <c r="F97" s="71"/>
      <c r="G97" s="9"/>
      <c r="H97" s="1"/>
      <c r="I97" s="3"/>
      <c r="J97" s="3"/>
      <c r="K97" s="43"/>
      <c r="L97" s="44"/>
    </row>
    <row r="98" spans="1:12" ht="21.75">
      <c r="A98" s="60"/>
      <c r="B98" s="3"/>
      <c r="C98" s="71"/>
      <c r="D98" s="71"/>
      <c r="E98" s="71"/>
      <c r="F98" s="71"/>
      <c r="G98" s="9"/>
      <c r="H98" s="1"/>
      <c r="I98" s="3"/>
      <c r="J98" s="3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19.5">
      <c r="A100" s="1"/>
      <c r="B100" s="49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24.75">
      <c r="A101" s="64"/>
      <c r="B101" s="65" t="s">
        <v>126</v>
      </c>
      <c r="C101" s="66"/>
      <c r="E101" s="64"/>
      <c r="F101" s="65" t="s">
        <v>110</v>
      </c>
      <c r="G101" s="66"/>
      <c r="I101" s="67"/>
      <c r="J101" s="68" t="s">
        <v>127</v>
      </c>
      <c r="K101" s="66"/>
      <c r="L101" s="44"/>
    </row>
    <row r="102" spans="1:12" ht="24.75">
      <c r="A102" s="69"/>
      <c r="B102" s="65" t="s">
        <v>125</v>
      </c>
      <c r="C102" s="68"/>
      <c r="E102" s="69"/>
      <c r="F102" s="65" t="s">
        <v>111</v>
      </c>
      <c r="G102" s="68"/>
      <c r="I102" s="70"/>
      <c r="J102" s="68" t="s">
        <v>128</v>
      </c>
      <c r="L102" s="44"/>
    </row>
    <row r="103" spans="1:12" ht="19.5">
      <c r="A103" s="1"/>
      <c r="B103" s="49"/>
      <c r="C103" s="37"/>
      <c r="D103" s="37"/>
      <c r="E103" s="37"/>
      <c r="F103" s="37"/>
      <c r="G103" s="9"/>
      <c r="H103" s="1"/>
      <c r="I103" s="3"/>
      <c r="J103" s="3"/>
      <c r="K103" s="44"/>
      <c r="L103" s="44"/>
    </row>
    <row r="104" spans="1:12" ht="19.5">
      <c r="A104" s="1"/>
      <c r="B104" s="3"/>
      <c r="C104" s="37"/>
      <c r="D104" s="37"/>
      <c r="E104" s="37"/>
      <c r="F104" s="37"/>
      <c r="G104" s="9"/>
      <c r="H104" s="45"/>
      <c r="I104" s="44"/>
      <c r="J104" s="44"/>
      <c r="K104" s="44"/>
      <c r="L104" s="44"/>
    </row>
    <row r="105" spans="1:12" ht="19.5">
      <c r="A105" s="1"/>
      <c r="B105" s="46"/>
      <c r="C105" s="47"/>
      <c r="D105" s="47"/>
      <c r="E105" s="3"/>
      <c r="F105" s="47"/>
      <c r="G105" s="9"/>
      <c r="H105" s="45"/>
      <c r="I105" s="44"/>
      <c r="J105" s="44"/>
      <c r="K105" s="44"/>
      <c r="L105" s="44"/>
    </row>
    <row r="106" spans="1:12" ht="19.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9.5">
      <c r="A107" s="34" t="s">
        <v>93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9.5">
      <c r="A108" s="34" t="s">
        <v>117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9.5">
      <c r="A110" s="34" t="s">
        <v>118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9.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100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116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95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119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/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5" t="s">
        <v>85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86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106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105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104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442" spans="2:2">
      <c r="B442" t="s">
        <v>121</v>
      </c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2026-05-03T06:24:39Z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