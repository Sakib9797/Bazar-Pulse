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6. June-2026\"/>
    </mc:Choice>
  </mc:AlternateContent>
  <xr:revisionPtr revIDLastSave="0" documentId="8_{8CCDCB8C-BBF8-434E-8084-E3450467A16D}" xr6:coauthVersionLast="47" xr6:coauthVersionMax="47" xr10:uidLastSave="{00000000-0000-0000-0000-000000000000}"/>
  <bookViews>
    <workbookView xWindow="0" yWindow="0" windowWidth="28800" windowHeight="11835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4" l="1"/>
  <c r="G92" i="4"/>
  <c r="G91" i="4"/>
  <c r="G89" i="4"/>
  <c r="G86" i="4"/>
  <c r="G88" i="4"/>
  <c r="G87" i="4"/>
  <c r="G93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<sst xmlns="http://schemas.openxmlformats.org/spreadsheetml/2006/main" count="240" uniqueCount="134">
  <si>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</si>
  <si>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</si>
  <si>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</si>
  <si>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</si>
  <si>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</si>
  <si>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</si>
  <si>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</si>
  <si>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</si>
  <si>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</si>
  <si>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</si>
  <si>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</si>
  <si>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</si>
  <si>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</si>
  <si>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</si>
  <si>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</si>
  <si>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</si>
  <si>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</si>
  <si>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</si>
  <si>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</si>
  <si>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</si>
  <si>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</si>
  <si>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</si>
  <si>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</si>
  <si>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</si>
  <si>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</si>
  <si>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</si>
  <si>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</si>
  <si>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</si>
  <si>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</si>
  <si>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</si>
  <si>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</si>
  <si>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</si>
  <si>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</si>
  <si>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</si>
  <si>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</si>
  <si>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</si>
  <si>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</si>
  <si>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</si>
  <si>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</si>
  <si>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</si>
  <si>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</si>
  <si>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</si>
  <si>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</si>
  <si>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</si>
  <si>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</si>
  <si>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</si>
  <si>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</si>
  <si>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</si>
  <si>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</si>
  <si>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</si>
  <si>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</si>
  <si>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</si>
  <si>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</si>
  <si>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</si>
  <si>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</si>
  <si>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</si>
  <si>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</si>
  <si>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</si>
  <si>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</si>
  <si>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</si>
  <si>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</si>
  <si>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</si>
  <si>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</si>
  <si>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</si>
  <si>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</si>
  <si>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</si>
  <si>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</si>
  <si>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</si>
  <si>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</si>
  <si>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</si>
  <si>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</si>
  <si>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</si>
  <si>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</si>
  <si>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</si>
  <si>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</si>
  <si>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</si>
  <si>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</si>
  <si>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</si>
  <si>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</si>
  <si>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</si>
  <si>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</si>
  <si>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</si>
  <si>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</si>
  <si>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</si>
  <si>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</si>
  <si>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</si>
  <si>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</si>
  <si>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</si>
  <si>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</si>
  <si>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</si>
  <si>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</si>
  <si>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</si>
  <si>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</si>
  <si>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</si>
  <si>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</si>
  <si>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</si>
  <si>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</si>
  <si>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</si>
  <si>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</si>
  <si>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</si>
  <si>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</si>
  <si>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</si>
  <si>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</si>
  <si>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</si>
  <si>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</si>
  <si>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</si>
  <si>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</si>
  <si>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</si>
  <si>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</si>
  <si>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</si>
  <si>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</si>
  <si>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</si>
  <si>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</si>
  <si>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</si>
  <si>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</si>
  <si>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</si>
  <si>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</si>
  <si>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</si>
  <si>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</si>
  <si>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</si>
  <si>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</si>
  <si>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</si>
  <si>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 (মোঃ গোলাম খোরশেদ)   </t>
  </si>
  <si>
    <t xml:space="preserve"> অতিরিক্ত পরিচালক (বাণিজ্যিক)</t>
  </si>
  <si>
    <t>২৪-০৬-২০২৬ তারিখে মূল্য হ্রাস পেয়েছে।</t>
  </si>
  <si>
    <t>২৫-০৬-২০২৬ তারিখে মূল্য হ্রাস পেয়েছে।</t>
  </si>
  <si>
    <t>২৮-০৬-২০২৬ তারিখে মূল্য বৃদ্ধি পেয়েছে।</t>
  </si>
  <si>
    <t>২৯-০৬-২০২৬ তারিখে মূল্য বৃদ্ধি পেয়েছে।</t>
  </si>
  <si>
    <t>২৯-০৬-২০২৬ তারিখে মূল্য হ্রাস পেয়েছে।</t>
  </si>
  <si>
    <t xml:space="preserve">নং-২৬.০৫.০০০০.০১৭.৩১.০১.২৬-৫০৯                                                                                                           তারিখঃ ৩০-০৬-২০২৬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</si>
  <si>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১৫৬</t>
  </si>
  <si>
    <t xml:space="preserve">মঙ্গলবার ৩০ জুন ২০২৬ খ্রিঃ, ১৫ আষাঢ় ১৪৩৩ বাংলা, ১৪ মহরম ১৪৪৮ হিজরি </t>
  </si>
  <si>
    <t>(২)    রশুন (দেশী), বেগুন   এর মূল্য বৃদ্ধি পেয়েছে।</t>
  </si>
  <si>
    <t>(১)   সয়াবিন তেল লুজ, পেঁয়াজ (দেশী), রশুন (আম), আদা (দেশী, আম), মুরগী ব্রয়লার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</si>
</sst>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2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zoomScale="98" zoomScaleNormal="98" workbookViewId="0">
      <selection activeCell="B81" sqref="B81:L81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79" t="s">
        <v>119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 x14ac:dyDescent="0.3">
      <c r="A2" s="80" t="s">
        <v>120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 x14ac:dyDescent="0.3">
      <c r="A3" s="81" t="s">
        <v>130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 x14ac:dyDescent="0.3">
      <c r="A4" s="82" t="s">
        <v>131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6"/>
      <c r="Q4" s="56"/>
      <c r="R4" s="56"/>
    </row>
    <row r="5" spans="1:18" x14ac:dyDescent="0.3">
      <c r="A5" s="83" t="s">
        <v>129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7"/>
      <c r="Q5" s="58"/>
    </row>
    <row r="6" spans="1:18" s="29" customFormat="1" x14ac:dyDescent="0.3">
      <c r="A6" s="84" t="s">
        <v>1</v>
      </c>
      <c r="B6" s="84" t="s">
        <v>2</v>
      </c>
      <c r="C6" s="75" t="s">
        <v>3</v>
      </c>
      <c r="D6" s="76"/>
      <c r="E6" s="75" t="s">
        <v>4</v>
      </c>
      <c r="F6" s="76"/>
      <c r="G6" s="75" t="s">
        <v>5</v>
      </c>
      <c r="H6" s="76"/>
      <c r="I6" s="26" t="s">
        <v>6</v>
      </c>
      <c r="J6" s="75" t="s">
        <v>7</v>
      </c>
      <c r="K6" s="76"/>
      <c r="L6" s="28" t="s">
        <v>8</v>
      </c>
      <c r="M6" s="53"/>
    </row>
    <row r="7" spans="1:18" s="29" customFormat="1" x14ac:dyDescent="0.3">
      <c r="A7" s="85"/>
      <c r="B7" s="85"/>
      <c r="C7" s="88">
        <v>46203</v>
      </c>
      <c r="D7" s="89"/>
      <c r="E7" s="88">
        <v>46196</v>
      </c>
      <c r="F7" s="89"/>
      <c r="G7" s="86">
        <v>46166</v>
      </c>
      <c r="H7" s="87"/>
      <c r="I7" s="26" t="s">
        <v>9</v>
      </c>
      <c r="J7" s="86">
        <v>45838</v>
      </c>
      <c r="K7" s="87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75</v>
      </c>
      <c r="K9" s="60">
        <v>85</v>
      </c>
      <c r="L9" s="51">
        <f>((C9+D9)/2-(J9+K9)/2)/((J9+K9)/2)*100</f>
        <v>-1.875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60</v>
      </c>
      <c r="K10" s="60">
        <v>65</v>
      </c>
      <c r="L10" s="51">
        <f>((C10+D10)/2-(J10+K10)/2)/((J10+K10)/2)*100</f>
        <v>-1.6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50</v>
      </c>
      <c r="D11" s="41">
        <v>60</v>
      </c>
      <c r="E11" s="41">
        <v>50</v>
      </c>
      <c r="F11" s="41">
        <v>60</v>
      </c>
      <c r="G11" s="60">
        <v>48</v>
      </c>
      <c r="H11" s="60">
        <v>60</v>
      </c>
      <c r="I11" s="50">
        <f>((C11+D11)/2-(G11+H11)/2)/((G11+H11)/2)*100</f>
        <v>1.8518518518518516</v>
      </c>
      <c r="J11" s="60">
        <v>52</v>
      </c>
      <c r="K11" s="60">
        <v>60</v>
      </c>
      <c r="L11" s="51">
        <f>((C11+D11)/2-(J11+K11)/2)/((J11+K11)/2)*100</f>
        <v>-1.7857142857142856</v>
      </c>
      <c r="M11" s="53">
        <f t="shared" si="0"/>
        <v>0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192</v>
      </c>
      <c r="E18" s="43">
        <v>186</v>
      </c>
      <c r="F18" s="41">
        <v>193</v>
      </c>
      <c r="G18" s="66">
        <v>185</v>
      </c>
      <c r="H18" s="60">
        <v>195</v>
      </c>
      <c r="I18" s="50">
        <f t="shared" ref="I18:I24" si="1">((C18+D18)/2-(G18+H18)/2)/((G18+H18)/2)*100</f>
        <v>-0.52631578947368418</v>
      </c>
      <c r="J18" s="60">
        <v>160</v>
      </c>
      <c r="K18" s="60">
        <v>170</v>
      </c>
      <c r="L18" s="51">
        <f t="shared" ref="L18:L24" si="2">((C18+D18)/2-(J18+K18)/2)/((J18+K18)/2)*100</f>
        <v>14.545454545454545</v>
      </c>
      <c r="M18" s="53">
        <f t="shared" si="0"/>
        <v>-0.26385224274406333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398</v>
      </c>
      <c r="H20" s="60">
        <v>398</v>
      </c>
      <c r="I20" s="50">
        <f t="shared" si="1"/>
        <v>0</v>
      </c>
      <c r="J20" s="60">
        <v>370</v>
      </c>
      <c r="K20" s="60">
        <v>378</v>
      </c>
      <c r="L20" s="51">
        <f t="shared" si="2"/>
        <v>6.4171122994652414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199</v>
      </c>
      <c r="H21" s="60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147</v>
      </c>
      <c r="K22" s="60">
        <v>155</v>
      </c>
      <c r="L22" s="51">
        <f t="shared" si="2"/>
        <v>10.927152317880795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152</v>
      </c>
      <c r="K23" s="60">
        <v>160</v>
      </c>
      <c r="L23" s="51">
        <f t="shared" si="2"/>
        <v>10.576923076923077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1050</v>
      </c>
      <c r="L24" s="51">
        <f t="shared" si="2"/>
        <v>4.3269230769230766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50</v>
      </c>
      <c r="K30" s="60">
        <v>80</v>
      </c>
      <c r="L30" s="51">
        <f t="shared" si="4"/>
        <v>3.8461538461538463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25</v>
      </c>
      <c r="D32" s="41">
        <v>30</v>
      </c>
      <c r="E32" s="41">
        <v>25</v>
      </c>
      <c r="F32" s="41">
        <v>30</v>
      </c>
      <c r="G32" s="60">
        <v>20</v>
      </c>
      <c r="H32" s="60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0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-11.111111111111111</v>
      </c>
      <c r="J34" s="60">
        <v>50</v>
      </c>
      <c r="K34" s="60">
        <v>65</v>
      </c>
      <c r="L34" s="51">
        <f t="shared" ref="L34:L49" si="6">((C34+D34)/2-(J34+K34)/2)/((J34+K34)/2)*100</f>
        <v>-30.434782608695656</v>
      </c>
      <c r="M34" s="53">
        <f>((C34+D34)/2-(E34+F34)/2)/((E34+F34)/2)*100</f>
        <v>-5.8823529411764701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80</v>
      </c>
      <c r="D36" s="41">
        <v>140</v>
      </c>
      <c r="E36" s="41">
        <v>70</v>
      </c>
      <c r="F36" s="41">
        <v>140</v>
      </c>
      <c r="G36" s="60">
        <v>60</v>
      </c>
      <c r="H36" s="60">
        <v>140</v>
      </c>
      <c r="I36" s="50">
        <f t="shared" si="5"/>
        <v>10</v>
      </c>
      <c r="J36" s="60">
        <v>100</v>
      </c>
      <c r="K36" s="60">
        <v>140</v>
      </c>
      <c r="L36" s="51">
        <f t="shared" si="6"/>
        <v>-8.3333333333333321</v>
      </c>
      <c r="M36" s="53">
        <f t="shared" si="0"/>
        <v>4.7619047619047619</v>
      </c>
    </row>
    <row r="37" spans="1:13" s="52" customFormat="1" x14ac:dyDescent="0.3">
      <c r="A37" s="47" t="s">
        <v>41</v>
      </c>
      <c r="B37" s="48" t="s">
        <v>14</v>
      </c>
      <c r="C37" s="43">
        <v>120</v>
      </c>
      <c r="D37" s="41">
        <v>210</v>
      </c>
      <c r="E37" s="43">
        <v>130</v>
      </c>
      <c r="F37" s="41">
        <v>220</v>
      </c>
      <c r="G37" s="66">
        <v>130</v>
      </c>
      <c r="H37" s="60">
        <v>220</v>
      </c>
      <c r="I37" s="50">
        <f t="shared" si="5"/>
        <v>-5.7142857142857144</v>
      </c>
      <c r="J37" s="60">
        <v>150</v>
      </c>
      <c r="K37" s="60">
        <v>200</v>
      </c>
      <c r="L37" s="51">
        <f t="shared" si="6"/>
        <v>-5.7142857142857144</v>
      </c>
      <c r="M37" s="53">
        <f t="shared" si="0"/>
        <v>-5.7142857142857144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60">
        <v>360</v>
      </c>
      <c r="H38" s="60">
        <v>380</v>
      </c>
      <c r="I38" s="50">
        <f t="shared" si="5"/>
        <v>-8.1081081081081088</v>
      </c>
      <c r="J38" s="60">
        <v>220</v>
      </c>
      <c r="K38" s="60">
        <v>350</v>
      </c>
      <c r="L38" s="51">
        <f t="shared" si="6"/>
        <v>19.298245614035086</v>
      </c>
      <c r="M38" s="53">
        <f t="shared" si="0"/>
        <v>0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300</v>
      </c>
      <c r="K40" s="60">
        <v>400</v>
      </c>
      <c r="L40" s="51">
        <f t="shared" si="6"/>
        <v>-4.2857142857142856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350</v>
      </c>
      <c r="G41" s="60">
        <v>250</v>
      </c>
      <c r="H41" s="60">
        <v>400</v>
      </c>
      <c r="I41" s="50">
        <f t="shared" si="5"/>
        <v>0</v>
      </c>
      <c r="J41" s="60">
        <v>280</v>
      </c>
      <c r="K41" s="60">
        <v>420</v>
      </c>
      <c r="L41" s="51">
        <f t="shared" si="6"/>
        <v>-7.1428571428571423</v>
      </c>
      <c r="M41" s="53">
        <f t="shared" si="0"/>
        <v>0</v>
      </c>
    </row>
    <row r="42" spans="1:13" s="52" customFormat="1" x14ac:dyDescent="0.3">
      <c r="A42" s="47" t="s">
        <v>46</v>
      </c>
      <c r="B42" s="48" t="s">
        <v>14</v>
      </c>
      <c r="C42" s="41">
        <v>130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-3.3333333333333335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-3.3333333333333335</v>
      </c>
    </row>
    <row r="43" spans="1:13" s="52" customFormat="1" x14ac:dyDescent="0.3">
      <c r="A43" s="47" t="s">
        <v>47</v>
      </c>
      <c r="B43" s="48" t="s">
        <v>14</v>
      </c>
      <c r="C43" s="41">
        <v>120</v>
      </c>
      <c r="D43" s="41">
        <v>180</v>
      </c>
      <c r="E43" s="41">
        <v>130</v>
      </c>
      <c r="F43" s="41">
        <v>180</v>
      </c>
      <c r="G43" s="60">
        <v>150</v>
      </c>
      <c r="H43" s="60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-3.225806451612903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480</v>
      </c>
      <c r="K45" s="60">
        <v>550</v>
      </c>
      <c r="L45" s="51">
        <f t="shared" si="6"/>
        <v>6.7961165048543686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1350</v>
      </c>
      <c r="K46" s="60">
        <v>1600</v>
      </c>
      <c r="L46" s="51">
        <f t="shared" si="6"/>
        <v>1.6949152542372881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4200</v>
      </c>
      <c r="K47" s="60">
        <v>5200</v>
      </c>
      <c r="L47" s="51">
        <f t="shared" si="6"/>
        <v>7.4468085106382977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180</v>
      </c>
      <c r="H48" s="60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150</v>
      </c>
      <c r="K49" s="60">
        <v>220</v>
      </c>
      <c r="L49" s="51">
        <f t="shared" si="6"/>
        <v>8.1081081081081088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300</v>
      </c>
      <c r="H51" s="60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900</v>
      </c>
      <c r="K52" s="60">
        <v>1800</v>
      </c>
      <c r="L52" s="51">
        <f t="shared" si="8"/>
        <v>-3.7037037037037033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60">
        <v>1200</v>
      </c>
      <c r="H54" s="60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 x14ac:dyDescent="0.3">
      <c r="A55" s="47" t="s">
        <v>57</v>
      </c>
      <c r="B55" s="48" t="s">
        <v>14</v>
      </c>
      <c r="C55" s="41">
        <v>160</v>
      </c>
      <c r="D55" s="41">
        <v>180</v>
      </c>
      <c r="E55" s="41">
        <v>170</v>
      </c>
      <c r="F55" s="41">
        <v>180</v>
      </c>
      <c r="G55" s="60">
        <v>170</v>
      </c>
      <c r="H55" s="60">
        <v>200</v>
      </c>
      <c r="I55" s="50">
        <f t="shared" si="7"/>
        <v>-8.1081081081081088</v>
      </c>
      <c r="J55" s="60">
        <v>150</v>
      </c>
      <c r="K55" s="60">
        <v>175</v>
      </c>
      <c r="L55" s="51">
        <f t="shared" si="8"/>
        <v>4.6153846153846159</v>
      </c>
      <c r="M55" s="53">
        <f t="shared" si="0"/>
        <v>-2.8571428571428572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830</v>
      </c>
      <c r="D58" s="41">
        <v>900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-2.2598870056497176</v>
      </c>
      <c r="J58" s="60">
        <v>720</v>
      </c>
      <c r="K58" s="60">
        <v>860</v>
      </c>
      <c r="L58" s="51">
        <f>((C58+D58)/2-(J59+K59)/2)/((J59+K59)/2)*100</f>
        <v>-1.1428571428571428</v>
      </c>
      <c r="M58" s="53">
        <f t="shared" si="0"/>
        <v>9.4936708860759502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3"/>
      <c r="K64" s="3"/>
      <c r="L64" s="5"/>
    </row>
    <row r="65" spans="1:13" x14ac:dyDescent="0.3">
      <c r="A65" s="84" t="s">
        <v>1</v>
      </c>
      <c r="B65" s="84" t="s">
        <v>2</v>
      </c>
      <c r="C65" s="75" t="s">
        <v>3</v>
      </c>
      <c r="D65" s="76"/>
      <c r="E65" s="75" t="s">
        <v>4</v>
      </c>
      <c r="F65" s="76"/>
      <c r="G65" s="75" t="s">
        <v>5</v>
      </c>
      <c r="H65" s="76"/>
      <c r="I65" s="26" t="s">
        <v>6</v>
      </c>
      <c r="J65" s="75" t="s">
        <v>7</v>
      </c>
      <c r="K65" s="76"/>
      <c r="L65" s="26" t="s">
        <v>8</v>
      </c>
    </row>
    <row r="66" spans="1:13" ht="18" customHeight="1" x14ac:dyDescent="0.3">
      <c r="A66" s="85"/>
      <c r="B66" s="85"/>
      <c r="C66" s="88">
        <v>46203</v>
      </c>
      <c r="D66" s="89"/>
      <c r="E66" s="88">
        <v>46196</v>
      </c>
      <c r="F66" s="89"/>
      <c r="G66" s="86">
        <v>46166</v>
      </c>
      <c r="H66" s="87"/>
      <c r="I66" s="26" t="s">
        <v>9</v>
      </c>
      <c r="J66" s="86">
        <v>45838</v>
      </c>
      <c r="K66" s="87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350</v>
      </c>
      <c r="H69" s="60">
        <v>550</v>
      </c>
      <c r="I69" s="50">
        <f>((C69+D69)/2-(G69+H69)/2)/((G69+H69)/2)*100</f>
        <v>0</v>
      </c>
      <c r="J69" s="60">
        <v>250</v>
      </c>
      <c r="K69" s="60">
        <v>550</v>
      </c>
      <c r="L69" s="51">
        <f t="shared" si="9"/>
        <v>12.5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-65.217391304347828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30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x14ac:dyDescent="0.3">
      <c r="A72" s="47" t="s">
        <v>105</v>
      </c>
      <c r="B72" s="54" t="s">
        <v>14</v>
      </c>
      <c r="C72" s="41">
        <v>80</v>
      </c>
      <c r="D72" s="41">
        <v>120</v>
      </c>
      <c r="E72" s="41">
        <v>80</v>
      </c>
      <c r="F72" s="41">
        <v>120</v>
      </c>
      <c r="G72" s="60">
        <v>80</v>
      </c>
      <c r="H72" s="60">
        <v>150</v>
      </c>
      <c r="I72" s="50">
        <f t="shared" si="11"/>
        <v>-13.043478260869565</v>
      </c>
      <c r="J72" s="49">
        <v>60</v>
      </c>
      <c r="K72" s="49">
        <v>120</v>
      </c>
      <c r="L72" s="51">
        <f t="shared" si="9"/>
        <v>11.111111111111111</v>
      </c>
      <c r="M72" s="53">
        <f t="shared" si="12"/>
        <v>0</v>
      </c>
    </row>
    <row r="73" spans="1:13" s="53" customFormat="1" x14ac:dyDescent="0.3">
      <c r="A73" s="47" t="s">
        <v>106</v>
      </c>
      <c r="B73" s="54" t="s">
        <v>14</v>
      </c>
      <c r="C73" s="41">
        <v>80</v>
      </c>
      <c r="D73" s="41">
        <v>90</v>
      </c>
      <c r="E73" s="41">
        <v>60</v>
      </c>
      <c r="F73" s="41">
        <v>80</v>
      </c>
      <c r="G73" s="60">
        <v>80</v>
      </c>
      <c r="H73" s="60">
        <v>120</v>
      </c>
      <c r="I73" s="50">
        <f t="shared" si="11"/>
        <v>-15</v>
      </c>
      <c r="J73" s="49">
        <v>60</v>
      </c>
      <c r="K73" s="49">
        <v>100</v>
      </c>
      <c r="L73" s="51">
        <f t="shared" si="9"/>
        <v>6.25</v>
      </c>
      <c r="M73" s="53">
        <f t="shared" si="12"/>
        <v>21.428571428571427</v>
      </c>
    </row>
    <row r="74" spans="1:13" s="53" customFormat="1" x14ac:dyDescent="0.3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60</v>
      </c>
      <c r="H74" s="60">
        <v>100</v>
      </c>
      <c r="I74" s="50">
        <f t="shared" si="11"/>
        <v>-18.75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37</v>
      </c>
      <c r="K75" s="64">
        <v>45</v>
      </c>
      <c r="L75" s="51">
        <f t="shared" si="9"/>
        <v>15.853658536585366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60">
        <v>85000</v>
      </c>
      <c r="H77" s="60">
        <v>90000</v>
      </c>
      <c r="I77" s="50">
        <f t="shared" si="11"/>
        <v>2.8571428571428572</v>
      </c>
      <c r="J77" s="60">
        <v>88000</v>
      </c>
      <c r="K77" s="60">
        <v>90000</v>
      </c>
      <c r="L77" s="51">
        <f t="shared" si="9"/>
        <v>1.1235955056179776</v>
      </c>
      <c r="M77" s="53">
        <f t="shared" si="12"/>
        <v>0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60">
        <v>81000</v>
      </c>
      <c r="H78" s="64">
        <v>83000</v>
      </c>
      <c r="I78" s="50">
        <f t="shared" si="11"/>
        <v>2.1341463414634148</v>
      </c>
      <c r="J78" s="60">
        <v>77000</v>
      </c>
      <c r="K78" s="64">
        <v>85000</v>
      </c>
      <c r="L78" s="51">
        <f t="shared" si="9"/>
        <v>3.3950617283950617</v>
      </c>
      <c r="M78" s="53">
        <f t="shared" si="12"/>
        <v>0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8" t="s">
        <v>133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</row>
    <row r="82" spans="1:12" x14ac:dyDescent="0.3">
      <c r="A82" s="7"/>
      <c r="B82" s="78" t="s">
        <v>132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5" t="s">
        <v>3</v>
      </c>
      <c r="D85" s="76"/>
      <c r="E85" s="90" t="s">
        <v>78</v>
      </c>
      <c r="F85" s="91"/>
      <c r="G85" s="27" t="s">
        <v>9</v>
      </c>
      <c r="H85" s="75" t="s">
        <v>79</v>
      </c>
      <c r="I85" s="77"/>
      <c r="J85" s="76"/>
      <c r="K85" s="10"/>
      <c r="L85" s="2"/>
    </row>
    <row r="86" spans="1:12" x14ac:dyDescent="0.3">
      <c r="A86" s="47" t="s">
        <v>23</v>
      </c>
      <c r="B86" s="48" t="s">
        <v>24</v>
      </c>
      <c r="C86" s="43">
        <v>186</v>
      </c>
      <c r="D86" s="41">
        <v>192</v>
      </c>
      <c r="E86" s="43">
        <v>186</v>
      </c>
      <c r="F86" s="41">
        <v>193</v>
      </c>
      <c r="G86" s="32">
        <f t="shared" ref="G86:G93" si="13">((C86+D86)/2-(E86+F86)/2)/((E86+F86)/2)*100</f>
        <v>-0.26385224274406333</v>
      </c>
      <c r="H86" s="75" t="s">
        <v>125</v>
      </c>
      <c r="I86" s="77"/>
      <c r="J86" s="76"/>
      <c r="K86" s="10"/>
      <c r="L86" s="72"/>
    </row>
    <row r="87" spans="1:12" x14ac:dyDescent="0.3">
      <c r="A87" s="47" t="s">
        <v>101</v>
      </c>
      <c r="B87" s="48" t="s">
        <v>14</v>
      </c>
      <c r="C87" s="43">
        <v>35</v>
      </c>
      <c r="D87" s="43">
        <v>45</v>
      </c>
      <c r="E87" s="43">
        <v>40</v>
      </c>
      <c r="F87" s="43">
        <v>45</v>
      </c>
      <c r="G87" s="32">
        <f t="shared" si="13"/>
        <v>-5.8823529411764701</v>
      </c>
      <c r="H87" s="75" t="s">
        <v>128</v>
      </c>
      <c r="I87" s="77"/>
      <c r="J87" s="76"/>
      <c r="K87" s="10"/>
      <c r="L87" s="72"/>
    </row>
    <row r="88" spans="1:12" x14ac:dyDescent="0.3">
      <c r="A88" s="47" t="s">
        <v>40</v>
      </c>
      <c r="B88" s="48" t="s">
        <v>14</v>
      </c>
      <c r="C88" s="41">
        <v>80</v>
      </c>
      <c r="D88" s="41">
        <v>140</v>
      </c>
      <c r="E88" s="41">
        <v>70</v>
      </c>
      <c r="F88" s="41">
        <v>140</v>
      </c>
      <c r="G88" s="32">
        <f t="shared" si="13"/>
        <v>4.7619047619047619</v>
      </c>
      <c r="H88" s="75" t="s">
        <v>127</v>
      </c>
      <c r="I88" s="77"/>
      <c r="J88" s="76"/>
      <c r="K88" s="10"/>
      <c r="L88" s="72"/>
    </row>
    <row r="89" spans="1:12" x14ac:dyDescent="0.3">
      <c r="A89" s="47" t="s">
        <v>41</v>
      </c>
      <c r="B89" s="48" t="s">
        <v>14</v>
      </c>
      <c r="C89" s="43">
        <v>120</v>
      </c>
      <c r="D89" s="41">
        <v>210</v>
      </c>
      <c r="E89" s="43">
        <v>130</v>
      </c>
      <c r="F89" s="41">
        <v>220</v>
      </c>
      <c r="G89" s="32">
        <f t="shared" si="13"/>
        <v>-5.7142857142857144</v>
      </c>
      <c r="H89" s="75" t="s">
        <v>128</v>
      </c>
      <c r="I89" s="77"/>
      <c r="J89" s="76"/>
      <c r="K89" s="10"/>
      <c r="L89" s="73"/>
    </row>
    <row r="90" spans="1:12" x14ac:dyDescent="0.3">
      <c r="A90" s="47" t="s">
        <v>46</v>
      </c>
      <c r="B90" s="48" t="s">
        <v>14</v>
      </c>
      <c r="C90" s="41">
        <v>130</v>
      </c>
      <c r="D90" s="41">
        <v>160</v>
      </c>
      <c r="E90" s="41">
        <v>140</v>
      </c>
      <c r="F90" s="41">
        <v>160</v>
      </c>
      <c r="G90" s="32">
        <f t="shared" si="13"/>
        <v>-3.3333333333333335</v>
      </c>
      <c r="H90" s="75" t="s">
        <v>128</v>
      </c>
      <c r="I90" s="77"/>
      <c r="J90" s="76"/>
      <c r="K90" s="10"/>
      <c r="L90" s="74"/>
    </row>
    <row r="91" spans="1:12" x14ac:dyDescent="0.3">
      <c r="A91" s="47" t="s">
        <v>47</v>
      </c>
      <c r="B91" s="48" t="s">
        <v>14</v>
      </c>
      <c r="C91" s="41">
        <v>120</v>
      </c>
      <c r="D91" s="41">
        <v>180</v>
      </c>
      <c r="E91" s="41">
        <v>130</v>
      </c>
      <c r="F91" s="41">
        <v>180</v>
      </c>
      <c r="G91" s="32">
        <f t="shared" si="13"/>
        <v>-3.225806451612903</v>
      </c>
      <c r="H91" s="75" t="s">
        <v>124</v>
      </c>
      <c r="I91" s="77"/>
      <c r="J91" s="76"/>
      <c r="K91" s="10"/>
      <c r="L91" s="72"/>
    </row>
    <row r="92" spans="1:12" x14ac:dyDescent="0.3">
      <c r="A92" s="47" t="s">
        <v>57</v>
      </c>
      <c r="B92" s="48" t="s">
        <v>14</v>
      </c>
      <c r="C92" s="41">
        <v>160</v>
      </c>
      <c r="D92" s="41">
        <v>180</v>
      </c>
      <c r="E92" s="41">
        <v>170</v>
      </c>
      <c r="F92" s="41">
        <v>180</v>
      </c>
      <c r="G92" s="32">
        <f t="shared" si="13"/>
        <v>-2.8571428571428572</v>
      </c>
      <c r="H92" s="75" t="s">
        <v>128</v>
      </c>
      <c r="I92" s="77"/>
      <c r="J92" s="76"/>
      <c r="K92" s="10"/>
      <c r="L92" s="74"/>
    </row>
    <row r="93" spans="1:12" x14ac:dyDescent="0.3">
      <c r="A93" s="47" t="s">
        <v>106</v>
      </c>
      <c r="B93" s="54" t="s">
        <v>14</v>
      </c>
      <c r="C93" s="41">
        <v>80</v>
      </c>
      <c r="D93" s="41">
        <v>90</v>
      </c>
      <c r="E93" s="41">
        <v>60</v>
      </c>
      <c r="F93" s="41">
        <v>80</v>
      </c>
      <c r="G93" s="32">
        <f t="shared" si="13"/>
        <v>21.428571428571427</v>
      </c>
      <c r="H93" s="75" t="s">
        <v>126</v>
      </c>
      <c r="I93" s="77"/>
      <c r="J93" s="76"/>
      <c r="K93" s="10"/>
      <c r="L93" s="55"/>
    </row>
    <row r="94" spans="1:12" x14ac:dyDescent="0.3">
      <c r="A94" s="67"/>
      <c r="B94" s="68"/>
      <c r="C94" s="69"/>
      <c r="D94" s="70"/>
      <c r="E94" s="69"/>
      <c r="F94" s="70"/>
      <c r="G94" s="71"/>
      <c r="H94" s="7"/>
      <c r="I94" s="1"/>
      <c r="J94" s="1"/>
      <c r="K94" s="10"/>
      <c r="L94" s="12"/>
    </row>
    <row r="95" spans="1:12" x14ac:dyDescent="0.3">
      <c r="A95" s="67"/>
      <c r="B95" s="68"/>
      <c r="C95" s="69"/>
      <c r="D95" s="70"/>
      <c r="E95" s="69"/>
      <c r="F95" s="70"/>
      <c r="G95" s="71"/>
      <c r="H95" s="7"/>
      <c r="I95" s="1"/>
      <c r="J95" s="1"/>
      <c r="K95" s="10"/>
      <c r="L95" s="12"/>
    </row>
    <row r="96" spans="1:12" x14ac:dyDescent="0.3">
      <c r="A96" s="7"/>
      <c r="B96" s="13"/>
      <c r="C96" s="3"/>
      <c r="D96" s="3"/>
      <c r="E96" s="3"/>
      <c r="F96" s="3"/>
      <c r="G96" s="4"/>
      <c r="H96" s="7"/>
      <c r="I96" s="1"/>
      <c r="J96" s="1"/>
      <c r="K96" s="12"/>
      <c r="L96" s="12"/>
    </row>
    <row r="97" spans="1:12" x14ac:dyDescent="0.3">
      <c r="A97" s="7"/>
      <c r="B97" s="14" t="s">
        <v>114</v>
      </c>
      <c r="C97" s="2"/>
      <c r="E97" s="7"/>
      <c r="F97" s="14" t="s">
        <v>102</v>
      </c>
      <c r="G97" s="2"/>
      <c r="I97" s="15"/>
      <c r="J97" s="1" t="s">
        <v>122</v>
      </c>
      <c r="K97" s="2"/>
      <c r="L97" s="12"/>
    </row>
    <row r="98" spans="1:12" x14ac:dyDescent="0.3">
      <c r="A98" s="16"/>
      <c r="B98" s="14" t="s">
        <v>113</v>
      </c>
      <c r="C98" s="1"/>
      <c r="E98" s="16"/>
      <c r="F98" s="14" t="s">
        <v>103</v>
      </c>
      <c r="G98" s="1"/>
      <c r="I98" s="17"/>
      <c r="J98" s="1" t="s">
        <v>123</v>
      </c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"/>
      <c r="C100" s="3"/>
      <c r="D100" s="3"/>
      <c r="E100" s="3"/>
      <c r="F100" s="3"/>
      <c r="G100" s="4"/>
      <c r="H100" s="18"/>
      <c r="I100" s="12"/>
      <c r="J100" s="12"/>
      <c r="K100" s="12"/>
      <c r="L100" s="12"/>
    </row>
    <row r="101" spans="1:12" x14ac:dyDescent="0.3">
      <c r="A101" s="7"/>
      <c r="C101" s="6"/>
      <c r="D101" s="6"/>
      <c r="E101" s="1"/>
      <c r="F101" s="6"/>
      <c r="G101" s="4"/>
      <c r="H101" s="18"/>
      <c r="I101" s="12"/>
      <c r="J101" s="12"/>
      <c r="K101" s="12"/>
      <c r="L101" s="12"/>
    </row>
    <row r="102" spans="1:12" x14ac:dyDescent="0.3">
      <c r="A102" s="19" t="s">
        <v>86</v>
      </c>
      <c r="B102" s="20"/>
      <c r="C102" s="21"/>
      <c r="D102" s="20"/>
      <c r="E102" s="21"/>
      <c r="F102" s="21"/>
      <c r="G102" s="21"/>
      <c r="H102" s="22"/>
      <c r="I102" s="2"/>
      <c r="J102" s="2"/>
      <c r="K102" s="2"/>
      <c r="L102" s="2"/>
    </row>
    <row r="103" spans="1:12" x14ac:dyDescent="0.3">
      <c r="A103" s="23" t="s">
        <v>115</v>
      </c>
      <c r="B103" s="20"/>
      <c r="C103" s="21"/>
      <c r="D103" s="20"/>
      <c r="E103" s="21"/>
      <c r="F103" s="21"/>
      <c r="G103" s="20"/>
      <c r="H103" s="22"/>
      <c r="I103" s="2"/>
      <c r="J103" s="2"/>
      <c r="K103" s="2"/>
      <c r="L103" s="2"/>
    </row>
    <row r="104" spans="1:12" x14ac:dyDescent="0.3">
      <c r="A104" s="23" t="s">
        <v>108</v>
      </c>
      <c r="B104" s="20"/>
      <c r="C104" s="20"/>
      <c r="D104" s="20"/>
      <c r="E104" s="20"/>
      <c r="F104" s="21"/>
      <c r="G104" s="20"/>
      <c r="H104" s="22"/>
      <c r="I104" s="2"/>
      <c r="J104" s="2"/>
      <c r="K104" s="2"/>
      <c r="L104" s="2"/>
    </row>
    <row r="105" spans="1:12" x14ac:dyDescent="0.3">
      <c r="A105" s="23" t="s">
        <v>80</v>
      </c>
      <c r="B105" s="20"/>
      <c r="C105" s="20"/>
      <c r="D105" s="20"/>
      <c r="E105" s="20"/>
      <c r="F105" s="22"/>
      <c r="G105" s="22"/>
      <c r="H105" s="22"/>
      <c r="I105" s="2"/>
      <c r="J105" s="2"/>
      <c r="K105" s="2"/>
      <c r="L105" s="2"/>
    </row>
    <row r="106" spans="1:12" x14ac:dyDescent="0.3">
      <c r="A106" s="23" t="s">
        <v>109</v>
      </c>
      <c r="B106" s="20"/>
      <c r="C106" s="20"/>
      <c r="D106" s="20"/>
      <c r="E106" s="20"/>
      <c r="F106" s="20"/>
      <c r="G106" s="22"/>
      <c r="H106" s="22"/>
      <c r="I106" s="2"/>
      <c r="J106" s="2"/>
      <c r="K106" s="2"/>
      <c r="L106" s="2"/>
    </row>
    <row r="107" spans="1:12" x14ac:dyDescent="0.3">
      <c r="A107" s="23" t="s">
        <v>89</v>
      </c>
      <c r="B107" s="20"/>
      <c r="C107" s="20"/>
      <c r="D107" s="20"/>
      <c r="E107" s="20"/>
      <c r="F107" s="20"/>
      <c r="G107" s="20"/>
      <c r="H107" s="22"/>
      <c r="I107" s="2"/>
      <c r="J107" s="2"/>
      <c r="K107" s="2"/>
      <c r="L107" s="2"/>
    </row>
    <row r="108" spans="1:12" x14ac:dyDescent="0.3">
      <c r="A108" s="23" t="s">
        <v>95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 x14ac:dyDescent="0.3">
      <c r="A109" s="23" t="s">
        <v>88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 x14ac:dyDescent="0.3">
      <c r="A110" s="23" t="s">
        <v>87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81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90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116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91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92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110</v>
      </c>
      <c r="B116" s="20"/>
      <c r="C116" s="20"/>
      <c r="D116" s="20"/>
      <c r="E116" s="20"/>
      <c r="F116" s="20"/>
      <c r="G116" s="20"/>
      <c r="H116" s="24"/>
      <c r="I116" s="12"/>
      <c r="J116" s="12"/>
      <c r="K116" s="12"/>
      <c r="L116" s="12"/>
    </row>
    <row r="117" spans="1:12" x14ac:dyDescent="0.3">
      <c r="A117" s="23"/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 x14ac:dyDescent="0.3">
      <c r="A118" s="19" t="s">
        <v>82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 x14ac:dyDescent="0.3">
      <c r="A119" s="23" t="s">
        <v>83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23" t="s">
        <v>117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 x14ac:dyDescent="0.3">
      <c r="A121" s="23" t="s">
        <v>118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 x14ac:dyDescent="0.3">
      <c r="A122" s="23" t="s">
        <v>99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438" spans="2:2" x14ac:dyDescent="0.3">
      <c r="B438" s="11" t="s">
        <v>112</v>
      </c>
    </row>
  </sheetData>
  <mergeCells count="38">
    <mergeCell ref="H93:J93"/>
    <mergeCell ref="A65:A66"/>
    <mergeCell ref="B65:B66"/>
    <mergeCell ref="J65:K65"/>
    <mergeCell ref="C66:D66"/>
    <mergeCell ref="J66:K66"/>
    <mergeCell ref="E66:F66"/>
    <mergeCell ref="G66:H66"/>
    <mergeCell ref="C85:D85"/>
    <mergeCell ref="E85:F85"/>
    <mergeCell ref="H85:J85"/>
    <mergeCell ref="B82:L82"/>
    <mergeCell ref="H91:J91"/>
    <mergeCell ref="E65:F65"/>
    <mergeCell ref="G65:H6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65:D65"/>
    <mergeCell ref="H90:J90"/>
    <mergeCell ref="H92:J92"/>
    <mergeCell ref="B81:L81"/>
    <mergeCell ref="H86:J86"/>
    <mergeCell ref="H87:J87"/>
    <mergeCell ref="H88:J88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2026-06-30T08:56:03Z</cp:lastPrinted>
  <dcterms:created xsi:type="dcterms:W3CDTF">2021-06-05T07:13:00Z</dcterms:created>
  <dcterms:modified xsi:type="dcterms:W3CDTF">2026-06-30T08:57:28Z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