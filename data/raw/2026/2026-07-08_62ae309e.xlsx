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C3FA133E-8FBA-4723-9309-ACF5D66B87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90" i="4" l="1"/>
  <c r="G87" i="4"/>
  <c r="G86" i="4"/>
  <c r="G92" i="4"/>
  <c r="G95" i="4"/>
  <c r="G89" i="4"/>
  <c r="G88" i="4"/>
  <c r="G93" i="4"/>
  <c r="G91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<sst xmlns="http://schemas.openxmlformats.org/spreadsheetml/2006/main" count="246" uniqueCount="137">
  <si>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</si>
  <si>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</si>
  <si>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</si>
  <si>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</si>
  <si>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</si>
  <si>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</si>
  <si>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</si>
  <si>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</si>
  <si>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</si>
  <si>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</si>
  <si>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</si>
  <si>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</si>
  <si>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</si>
  <si>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</si>
  <si>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</si>
  <si>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</si>
  <si>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</si>
  <si>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</si>
  <si>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</si>
  <si>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</si>
  <si>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</si>
  <si>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</si>
  <si>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</si>
  <si>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</si>
  <si>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</si>
  <si>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</si>
  <si>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</si>
  <si>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</si>
  <si>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</si>
  <si>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</si>
  <si>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</si>
  <si>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</si>
  <si>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</si>
  <si>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</si>
  <si>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</si>
  <si>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</si>
  <si>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</si>
  <si>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</si>
  <si>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</si>
  <si>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</si>
  <si>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</si>
  <si>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</si>
  <si>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</si>
  <si>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</si>
  <si>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</si>
  <si>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</si>
  <si>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</si>
  <si>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</si>
  <si>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</si>
  <si>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</si>
  <si>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</si>
  <si>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</si>
  <si>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</si>
  <si>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</si>
  <si>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</si>
  <si>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</si>
  <si>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</si>
  <si>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</si>
  <si>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</si>
  <si>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</si>
  <si>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</si>
  <si>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</si>
  <si>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</si>
  <si>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</si>
  <si>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</si>
  <si>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</si>
  <si>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</si>
  <si>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</si>
  <si>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</si>
  <si>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</si>
  <si>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</si>
  <si>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</si>
  <si>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</si>
  <si>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</si>
  <si>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</si>
  <si>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</si>
  <si>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</si>
  <si>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</si>
  <si>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</si>
  <si>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</si>
  <si>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</si>
  <si>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</si>
  <si>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</si>
  <si>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</si>
  <si>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</si>
  <si>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</si>
  <si>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</si>
  <si>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</si>
  <si>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</si>
  <si>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</si>
  <si>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</si>
  <si>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</si>
  <si>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</si>
  <si>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</si>
  <si>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</si>
  <si>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</si>
  <si>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</si>
  <si>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</si>
  <si>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</si>
  <si>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</si>
  <si>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</si>
  <si>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</si>
  <si>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</si>
  <si>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</si>
  <si>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</si>
  <si>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</si>
  <si>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</si>
  <si>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</si>
  <si>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</si>
  <si>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</si>
  <si>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</si>
  <si>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</si>
  <si>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</si>
  <si>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</si>
  <si>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</si>
  <si>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</si>
  <si>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</si>
  <si>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</si>
  <si>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</si>
  <si>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</si>
  <si>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</si>
  <si>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</si>
  <si>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</si>
  <si>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</si>
  <si>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</si>
  <si>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০২-০৭-২০২৬ তারিখে মূল্য হ্রাস পেয়েছে।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</si>
  <si>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</si>
  <si>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</si>
  <si>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০৬-০৭-২০২৬ তারিখে মূল্য হ্রাস পেয়েছে।</t>
  </si>
  <si>
    <t>(১)    চাল (সরু, মোটা), আটা (খোলা), রশুন (আম), লেবু, বেগুন  এর মূল্য হ্রাস পেয়েছে।</t>
  </si>
  <si>
    <t>০৭-০৭-২০২৬ তারিখে মূল্য হ্রাস পেয়েছে।</t>
  </si>
  <si>
    <t>০৭-০৭-২০২৬ তারিখে মূল্য বৃদ্ধি পেয়েছে।</t>
  </si>
  <si>
    <t xml:space="preserve">নং-২৬.০৫.০০০০.০১৭.৩১.০১.২৬-৫২৯                                                                                                           তারিখঃ ০৮-০৭-২০২৬ </t>
  </si>
  <si>
    <t xml:space="preserve">বুধবার ০৮ জুলাই ২০২৬ খ্রিঃ, ২৪ আষাঢ় ১৪৩৩ বাংলা, ২২ মহরম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</si>
  <si>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১৬৪</t>
  </si>
  <si>
    <t>০৮-০৭-২০২৬ তারিখে মূল্য বৃদ্ধি পেয়েছে।</t>
  </si>
  <si>
    <t>(২)    সয়াবিন লুজ, পেঁয়াজ (দেশী), মুরগী ব্রয়লার,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</si>
</sst>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  <xf numFmtId="0" fontId="1" fillId="0" borderId="0" xfId="3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77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7" t="s">
        <v>119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>
      <c r="A2" s="78" t="s">
        <v>120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>
      <c r="A3" s="79" t="s">
        <v>134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>
      <c r="A4" s="80" t="s">
        <v>133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6"/>
      <c r="Q4" s="56"/>
      <c r="R4" s="56"/>
    </row>
    <row r="5" spans="1:18">
      <c r="A5" s="81" t="s">
        <v>132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7"/>
      <c r="Q5" s="58"/>
    </row>
    <row r="6" spans="1:18" s="29" customFormat="1">
      <c r="A6" s="82" t="s">
        <v>1</v>
      </c>
      <c r="B6" s="82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6" t="s">
        <v>6</v>
      </c>
      <c r="J6" s="71" t="s">
        <v>7</v>
      </c>
      <c r="K6" s="72"/>
      <c r="L6" s="28" t="s">
        <v>8</v>
      </c>
      <c r="M6" s="53"/>
    </row>
    <row r="7" spans="1:18" s="29" customFormat="1">
      <c r="A7" s="83"/>
      <c r="B7" s="83"/>
      <c r="C7" s="86">
        <v>46211</v>
      </c>
      <c r="D7" s="87"/>
      <c r="E7" s="86">
        <v>46204</v>
      </c>
      <c r="F7" s="87"/>
      <c r="G7" s="86">
        <v>46181</v>
      </c>
      <c r="H7" s="87"/>
      <c r="I7" s="26" t="s">
        <v>9</v>
      </c>
      <c r="J7" s="84">
        <v>45846</v>
      </c>
      <c r="K7" s="85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0</v>
      </c>
      <c r="J9" s="60">
        <v>75</v>
      </c>
      <c r="K9" s="60">
        <v>85</v>
      </c>
      <c r="L9" s="51">
        <f>((C9+D9)/2-(J9+K9)/2)/((J9+K9)/2)*100</f>
        <v>-3.125</v>
      </c>
      <c r="M9" s="53">
        <f>((C9+D9)/2-(E9+F9)/2)/((E9+F9)/2)*100</f>
        <v>-1.2738853503184715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54</v>
      </c>
      <c r="H10" s="41">
        <v>68</v>
      </c>
      <c r="I10" s="50">
        <f>((C10+D10)/2-(G10+H10)/2)/((G10+H10)/2)*100</f>
        <v>0.81967213114754101</v>
      </c>
      <c r="J10" s="60">
        <v>60</v>
      </c>
      <c r="K10" s="60">
        <v>70</v>
      </c>
      <c r="L10" s="51">
        <f>((C10+D10)/2-(J10+K10)/2)/((J10+K10)/2)*100</f>
        <v>-5.384615384615385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48</v>
      </c>
      <c r="D11" s="41">
        <v>60</v>
      </c>
      <c r="E11" s="41">
        <v>50</v>
      </c>
      <c r="F11" s="41">
        <v>60</v>
      </c>
      <c r="G11" s="41">
        <v>50</v>
      </c>
      <c r="H11" s="41">
        <v>60</v>
      </c>
      <c r="I11" s="50">
        <f>((C11+D11)/2-(G11+H11)/2)/((G11+H11)/2)*100</f>
        <v>-1.8181818181818181</v>
      </c>
      <c r="J11" s="60">
        <v>55</v>
      </c>
      <c r="K11" s="60">
        <v>60</v>
      </c>
      <c r="L11" s="51">
        <f>((C11+D11)/2-(J11+K11)/2)/((J11+K11)/2)*100</f>
        <v>-6.0869565217391308</v>
      </c>
      <c r="M11" s="53">
        <f t="shared" si="0"/>
        <v>-1.8181818181818181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40</v>
      </c>
      <c r="D13" s="41">
        <v>45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-1.1627906976744187</v>
      </c>
      <c r="J13" s="60">
        <v>40</v>
      </c>
      <c r="K13" s="60">
        <v>45</v>
      </c>
      <c r="L13" s="51">
        <f>((C13+D13)/2-(J13+K13)/2)/((J13+K13)/2)*100</f>
        <v>0</v>
      </c>
      <c r="M13" s="53">
        <f t="shared" si="0"/>
        <v>-6.593406593406594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55</v>
      </c>
      <c r="K15" s="60">
        <v>60</v>
      </c>
      <c r="L15" s="51">
        <f>((C15+D15)/2-(J15+K15)/2)/((J15+K15)/2)*100</f>
        <v>0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188</v>
      </c>
      <c r="D18" s="41">
        <v>195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0.78947368421052633</v>
      </c>
      <c r="J18" s="60">
        <v>160</v>
      </c>
      <c r="K18" s="60">
        <v>170</v>
      </c>
      <c r="L18" s="51">
        <f t="shared" ref="L18:L24" si="2">((C18+D18)/2-(J18+K18)/2)/((J18+K18)/2)*100</f>
        <v>16.060606060606062</v>
      </c>
      <c r="M18" s="53">
        <f t="shared" si="0"/>
        <v>1.3227513227513228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147</v>
      </c>
      <c r="K22" s="60">
        <v>155</v>
      </c>
      <c r="L22" s="51">
        <f t="shared" si="2"/>
        <v>10.927152317880795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1030</v>
      </c>
      <c r="K24" s="60">
        <v>1080</v>
      </c>
      <c r="L24" s="51">
        <f t="shared" si="2"/>
        <v>2.8436018957345972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25</v>
      </c>
      <c r="K32" s="60">
        <v>28</v>
      </c>
      <c r="L32" s="51">
        <f t="shared" si="4"/>
        <v>3.7735849056603774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0</v>
      </c>
      <c r="J34" s="60">
        <v>55</v>
      </c>
      <c r="K34" s="60">
        <v>60</v>
      </c>
      <c r="L34" s="51">
        <f t="shared" ref="L34:L49" si="6">((C34+D34)/2-(J34+K34)/2)/((J34+K34)/2)*100</f>
        <v>-26.086956521739129</v>
      </c>
      <c r="M34" s="53">
        <f>((C34+D34)/2-(E34+F34)/2)/((E34+F34)/2)*100</f>
        <v>6.25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90</v>
      </c>
      <c r="F36" s="41">
        <v>140</v>
      </c>
      <c r="G36" s="41">
        <v>70</v>
      </c>
      <c r="H36" s="41">
        <v>140</v>
      </c>
      <c r="I36" s="50">
        <f t="shared" si="5"/>
        <v>9.5238095238095237</v>
      </c>
      <c r="J36" s="60">
        <v>110</v>
      </c>
      <c r="K36" s="60">
        <v>150</v>
      </c>
      <c r="L36" s="51">
        <f t="shared" si="6"/>
        <v>-11.538461538461538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210</v>
      </c>
      <c r="G37" s="43">
        <v>140</v>
      </c>
      <c r="H37" s="41">
        <v>220</v>
      </c>
      <c r="I37" s="50">
        <f t="shared" si="5"/>
        <v>-11.111111111111111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-3.0303030303030303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220</v>
      </c>
      <c r="K38" s="60">
        <v>350</v>
      </c>
      <c r="L38" s="51">
        <f t="shared" si="6"/>
        <v>19.298245614035086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300</v>
      </c>
      <c r="K39" s="60">
        <v>450</v>
      </c>
      <c r="L39" s="51">
        <f t="shared" si="6"/>
        <v>10.666666666666668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130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2000</v>
      </c>
      <c r="L52" s="51">
        <f t="shared" si="8"/>
        <v>-10.344827586206897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180</v>
      </c>
      <c r="D55" s="41">
        <v>190</v>
      </c>
      <c r="E55" s="41">
        <v>160</v>
      </c>
      <c r="F55" s="41">
        <v>180</v>
      </c>
      <c r="G55" s="41">
        <v>160</v>
      </c>
      <c r="H55" s="41">
        <v>200</v>
      </c>
      <c r="I55" s="50">
        <f t="shared" si="7"/>
        <v>2.7777777777777777</v>
      </c>
      <c r="J55" s="60">
        <v>150</v>
      </c>
      <c r="K55" s="60">
        <v>170</v>
      </c>
      <c r="L55" s="51">
        <f t="shared" si="8"/>
        <v>15.625</v>
      </c>
      <c r="M55" s="53">
        <f t="shared" si="0"/>
        <v>8.8235294117647065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830</v>
      </c>
      <c r="F58" s="41">
        <v>900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82" t="s">
        <v>1</v>
      </c>
      <c r="B65" s="82" t="s">
        <v>2</v>
      </c>
      <c r="C65" s="71" t="s">
        <v>3</v>
      </c>
      <c r="D65" s="72"/>
      <c r="E65" s="71" t="s">
        <v>4</v>
      </c>
      <c r="F65" s="72"/>
      <c r="G65" s="71" t="s">
        <v>5</v>
      </c>
      <c r="H65" s="72"/>
      <c r="I65" s="26" t="s">
        <v>6</v>
      </c>
      <c r="J65" s="71" t="s">
        <v>7</v>
      </c>
      <c r="K65" s="72"/>
      <c r="L65" s="26" t="s">
        <v>8</v>
      </c>
    </row>
    <row r="66" spans="1:13" ht="18" customHeight="1">
      <c r="A66" s="83"/>
      <c r="B66" s="83"/>
      <c r="C66" s="86">
        <v>46211</v>
      </c>
      <c r="D66" s="87"/>
      <c r="E66" s="86">
        <v>46204</v>
      </c>
      <c r="F66" s="87"/>
      <c r="G66" s="86">
        <v>46181</v>
      </c>
      <c r="H66" s="87"/>
      <c r="I66" s="26" t="s">
        <v>9</v>
      </c>
      <c r="J66" s="84">
        <v>45846</v>
      </c>
      <c r="K66" s="85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-57.894736842105267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140</v>
      </c>
      <c r="E72" s="41">
        <v>80</v>
      </c>
      <c r="F72" s="41">
        <v>140</v>
      </c>
      <c r="G72" s="41">
        <v>70</v>
      </c>
      <c r="H72" s="41">
        <v>120</v>
      </c>
      <c r="I72" s="50">
        <f t="shared" si="11"/>
        <v>15.789473684210526</v>
      </c>
      <c r="J72" s="49">
        <v>60</v>
      </c>
      <c r="K72" s="49">
        <v>120</v>
      </c>
      <c r="L72" s="51">
        <f t="shared" si="9"/>
        <v>22.222222222222221</v>
      </c>
      <c r="M72" s="53">
        <f t="shared" si="12"/>
        <v>0</v>
      </c>
    </row>
    <row r="73" spans="1:13" s="53" customFormat="1" ht="19.5">
      <c r="A73" s="47" t="s">
        <v>106</v>
      </c>
      <c r="B73" s="54" t="s">
        <v>14</v>
      </c>
      <c r="C73" s="41">
        <v>60</v>
      </c>
      <c r="D73" s="41">
        <v>90</v>
      </c>
      <c r="E73" s="41">
        <v>70</v>
      </c>
      <c r="F73" s="41">
        <v>100</v>
      </c>
      <c r="G73" s="41">
        <v>70</v>
      </c>
      <c r="H73" s="41">
        <v>110</v>
      </c>
      <c r="I73" s="50">
        <f t="shared" si="11"/>
        <v>-16.666666666666664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-11.76470588235294</v>
      </c>
    </row>
    <row r="74" spans="1:13" s="53" customFormat="1" ht="19.5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70</v>
      </c>
      <c r="G74" s="41">
        <v>50</v>
      </c>
      <c r="H74" s="41">
        <v>80</v>
      </c>
      <c r="I74" s="50">
        <f t="shared" si="11"/>
        <v>7.6923076923076925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16.666666666666664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6" t="s">
        <v>129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2">
      <c r="A82" s="7"/>
      <c r="B82" s="76" t="s">
        <v>136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1" t="s">
        <v>3</v>
      </c>
      <c r="D85" s="72"/>
      <c r="E85" s="73" t="s">
        <v>78</v>
      </c>
      <c r="F85" s="74"/>
      <c r="G85" s="27" t="s">
        <v>9</v>
      </c>
      <c r="H85" s="71" t="s">
        <v>79</v>
      </c>
      <c r="I85" s="75"/>
      <c r="J85" s="72"/>
      <c r="K85" s="10"/>
      <c r="L85" s="2"/>
    </row>
    <row r="86" spans="1:12">
      <c r="A86" s="47" t="s">
        <v>13</v>
      </c>
      <c r="B86" s="48" t="s">
        <v>14</v>
      </c>
      <c r="C86" s="41">
        <v>70</v>
      </c>
      <c r="D86" s="41">
        <v>85</v>
      </c>
      <c r="E86" s="41">
        <v>72</v>
      </c>
      <c r="F86" s="41">
        <v>85</v>
      </c>
      <c r="G86" s="32">
        <f t="shared" ref="G86:G87" si="13">((C86+D86)/2-(E86+F86)/2)/((E86+F86)/2)*100</f>
        <v>-1.2738853503184715</v>
      </c>
      <c r="H86" s="71" t="s">
        <v>128</v>
      </c>
      <c r="I86" s="75"/>
      <c r="J86" s="72"/>
      <c r="K86" s="10"/>
      <c r="L86" s="2"/>
    </row>
    <row r="87" spans="1:12">
      <c r="A87" s="47" t="s">
        <v>15</v>
      </c>
      <c r="B87" s="48" t="s">
        <v>14</v>
      </c>
      <c r="C87" s="41">
        <v>48</v>
      </c>
      <c r="D87" s="41">
        <v>60</v>
      </c>
      <c r="E87" s="41">
        <v>50</v>
      </c>
      <c r="F87" s="41">
        <v>60</v>
      </c>
      <c r="G87" s="32">
        <f t="shared" si="13"/>
        <v>-1.8181818181818181</v>
      </c>
      <c r="H87" s="71" t="s">
        <v>128</v>
      </c>
      <c r="I87" s="75"/>
      <c r="J87" s="72"/>
      <c r="K87" s="10"/>
      <c r="L87" s="2"/>
    </row>
    <row r="88" spans="1:12">
      <c r="A88" s="47" t="s">
        <v>17</v>
      </c>
      <c r="B88" s="48" t="s">
        <v>14</v>
      </c>
      <c r="C88" s="41">
        <v>40</v>
      </c>
      <c r="D88" s="41">
        <v>45</v>
      </c>
      <c r="E88" s="41">
        <v>45</v>
      </c>
      <c r="F88" s="41">
        <v>46</v>
      </c>
      <c r="G88" s="32">
        <f t="shared" ref="G88:G89" si="14">((C88+D88)/2-(E88+F88)/2)/((E88+F88)/2)*100</f>
        <v>-6.593406593406594</v>
      </c>
      <c r="H88" s="71" t="s">
        <v>127</v>
      </c>
      <c r="I88" s="75"/>
      <c r="J88" s="72"/>
      <c r="K88" s="10"/>
      <c r="L88" s="2"/>
    </row>
    <row r="89" spans="1:12">
      <c r="A89" s="47" t="s">
        <v>23</v>
      </c>
      <c r="B89" s="48" t="s">
        <v>24</v>
      </c>
      <c r="C89" s="43">
        <v>188</v>
      </c>
      <c r="D89" s="41">
        <v>195</v>
      </c>
      <c r="E89" s="43">
        <v>186</v>
      </c>
      <c r="F89" s="41">
        <v>192</v>
      </c>
      <c r="G89" s="32">
        <f t="shared" si="14"/>
        <v>1.3227513227513228</v>
      </c>
      <c r="H89" s="71" t="s">
        <v>126</v>
      </c>
      <c r="I89" s="75"/>
      <c r="J89" s="72"/>
      <c r="K89" s="10"/>
      <c r="L89" s="2"/>
    </row>
    <row r="90" spans="1:12">
      <c r="A90" s="47" t="s">
        <v>101</v>
      </c>
      <c r="B90" s="48" t="s">
        <v>14</v>
      </c>
      <c r="C90" s="43">
        <v>40</v>
      </c>
      <c r="D90" s="43">
        <v>45</v>
      </c>
      <c r="E90" s="43">
        <v>35</v>
      </c>
      <c r="F90" s="43">
        <v>45</v>
      </c>
      <c r="G90" s="32">
        <f t="shared" ref="G90:G95" si="15">((C90+D90)/2-(E90+F90)/2)/((E90+F90)/2)*100</f>
        <v>6.25</v>
      </c>
      <c r="H90" s="71" t="s">
        <v>135</v>
      </c>
      <c r="I90" s="75"/>
      <c r="J90" s="72"/>
      <c r="K90" s="10"/>
      <c r="L90" s="2"/>
    </row>
    <row r="91" spans="1:12">
      <c r="A91" s="47" t="s">
        <v>41</v>
      </c>
      <c r="B91" s="48" t="s">
        <v>14</v>
      </c>
      <c r="C91" s="43">
        <v>120</v>
      </c>
      <c r="D91" s="41">
        <v>200</v>
      </c>
      <c r="E91" s="43">
        <v>120</v>
      </c>
      <c r="F91" s="41">
        <v>210</v>
      </c>
      <c r="G91" s="32">
        <f t="shared" si="15"/>
        <v>-3.0303030303030303</v>
      </c>
      <c r="H91" s="71" t="s">
        <v>124</v>
      </c>
      <c r="I91" s="75"/>
      <c r="J91" s="72"/>
      <c r="K91" s="10"/>
      <c r="L91" s="2"/>
    </row>
    <row r="92" spans="1:12">
      <c r="A92" s="47" t="s">
        <v>57</v>
      </c>
      <c r="B92" s="48" t="s">
        <v>14</v>
      </c>
      <c r="C92" s="41">
        <v>180</v>
      </c>
      <c r="D92" s="41">
        <v>190</v>
      </c>
      <c r="E92" s="41">
        <v>160</v>
      </c>
      <c r="F92" s="41">
        <v>180</v>
      </c>
      <c r="G92" s="32">
        <f t="shared" si="15"/>
        <v>8.8235294117647065</v>
      </c>
      <c r="H92" s="71" t="s">
        <v>131</v>
      </c>
      <c r="I92" s="75"/>
      <c r="J92" s="72"/>
      <c r="K92" s="10"/>
      <c r="L92" s="2"/>
    </row>
    <row r="93" spans="1:12">
      <c r="A93" s="47" t="s">
        <v>104</v>
      </c>
      <c r="B93" s="54" t="s">
        <v>69</v>
      </c>
      <c r="C93" s="41">
        <v>20</v>
      </c>
      <c r="D93" s="41">
        <v>25</v>
      </c>
      <c r="E93" s="41">
        <v>20</v>
      </c>
      <c r="F93" s="41">
        <v>30</v>
      </c>
      <c r="G93" s="32">
        <f t="shared" si="15"/>
        <v>-10</v>
      </c>
      <c r="H93" s="71" t="s">
        <v>125</v>
      </c>
      <c r="I93" s="75"/>
      <c r="J93" s="72"/>
      <c r="K93" s="10"/>
      <c r="L93" s="2"/>
    </row>
    <row r="94" spans="1:12">
      <c r="A94" s="47" t="s">
        <v>106</v>
      </c>
      <c r="B94" s="54" t="s">
        <v>14</v>
      </c>
      <c r="C94" s="41">
        <v>60</v>
      </c>
      <c r="D94" s="41">
        <v>90</v>
      </c>
      <c r="E94" s="41">
        <v>70</v>
      </c>
      <c r="F94" s="41">
        <v>100</v>
      </c>
      <c r="G94" s="32">
        <f t="shared" si="15"/>
        <v>-11.76470588235294</v>
      </c>
      <c r="H94" s="71" t="s">
        <v>130</v>
      </c>
      <c r="I94" s="75"/>
      <c r="J94" s="72"/>
      <c r="K94" s="10"/>
      <c r="L94" s="55"/>
    </row>
    <row r="95" spans="1:12">
      <c r="A95" s="47" t="s">
        <v>107</v>
      </c>
      <c r="B95" s="54" t="s">
        <v>14</v>
      </c>
      <c r="C95" s="41">
        <v>60</v>
      </c>
      <c r="D95" s="41">
        <v>80</v>
      </c>
      <c r="E95" s="41">
        <v>50</v>
      </c>
      <c r="F95" s="41">
        <v>70</v>
      </c>
      <c r="G95" s="32">
        <f t="shared" si="15"/>
        <v>16.666666666666664</v>
      </c>
      <c r="H95" s="71" t="s">
        <v>126</v>
      </c>
      <c r="I95" s="75"/>
      <c r="J95" s="72"/>
      <c r="K95" s="10"/>
      <c r="L95" s="12"/>
    </row>
    <row r="96" spans="1:12">
      <c r="A96" s="88"/>
      <c r="B96" s="89"/>
      <c r="C96" s="68"/>
      <c r="D96" s="68"/>
      <c r="E96" s="68"/>
      <c r="F96" s="68"/>
      <c r="G96" s="70"/>
      <c r="H96" s="90"/>
      <c r="I96" s="90"/>
      <c r="J96" s="90"/>
      <c r="K96" s="10"/>
      <c r="L96" s="12"/>
    </row>
    <row r="97" spans="1:12">
      <c r="A97" s="66"/>
      <c r="B97" s="67"/>
      <c r="C97" s="68"/>
      <c r="D97" s="69"/>
      <c r="E97" s="68"/>
      <c r="F97" s="69"/>
      <c r="G97" s="70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 t="s">
        <v>122</v>
      </c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17"/>
      <c r="J100" s="1" t="s">
        <v>123</v>
      </c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8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8"/>
      <c r="I103" s="12"/>
      <c r="J103" s="12"/>
      <c r="K103" s="12"/>
      <c r="L103" s="12"/>
    </row>
    <row r="104" spans="1:12">
      <c r="A104" s="19" t="s">
        <v>86</v>
      </c>
      <c r="B104" s="20"/>
      <c r="C104" s="21"/>
      <c r="D104" s="20"/>
      <c r="E104" s="21"/>
      <c r="F104" s="21"/>
      <c r="G104" s="21"/>
      <c r="H104" s="22"/>
      <c r="I104" s="2"/>
      <c r="J104" s="2"/>
      <c r="K104" s="2"/>
      <c r="L104" s="2"/>
    </row>
    <row r="105" spans="1:12">
      <c r="A105" s="23" t="s">
        <v>115</v>
      </c>
      <c r="B105" s="20"/>
      <c r="C105" s="21"/>
      <c r="D105" s="20"/>
      <c r="E105" s="21"/>
      <c r="F105" s="21"/>
      <c r="G105" s="20"/>
      <c r="H105" s="22"/>
      <c r="I105" s="2"/>
      <c r="J105" s="2"/>
      <c r="K105" s="2"/>
      <c r="L105" s="2"/>
    </row>
    <row r="106" spans="1:12">
      <c r="A106" s="23" t="s">
        <v>108</v>
      </c>
      <c r="B106" s="20"/>
      <c r="C106" s="20"/>
      <c r="D106" s="20"/>
      <c r="E106" s="20"/>
      <c r="F106" s="21"/>
      <c r="G106" s="20"/>
      <c r="H106" s="22"/>
      <c r="I106" s="2"/>
      <c r="J106" s="2"/>
      <c r="K106" s="2"/>
      <c r="L106" s="2"/>
    </row>
    <row r="107" spans="1:12">
      <c r="A107" s="23" t="s">
        <v>80</v>
      </c>
      <c r="B107" s="20"/>
      <c r="C107" s="20"/>
      <c r="D107" s="20"/>
      <c r="E107" s="20"/>
      <c r="F107" s="22"/>
      <c r="G107" s="22"/>
      <c r="H107" s="22"/>
      <c r="I107" s="2"/>
      <c r="J107" s="2"/>
      <c r="K107" s="2"/>
      <c r="L107" s="2"/>
    </row>
    <row r="108" spans="1:12">
      <c r="A108" s="23" t="s">
        <v>109</v>
      </c>
      <c r="B108" s="20"/>
      <c r="C108" s="20"/>
      <c r="D108" s="20"/>
      <c r="E108" s="20"/>
      <c r="F108" s="20"/>
      <c r="G108" s="22"/>
      <c r="H108" s="22"/>
      <c r="I108" s="2"/>
      <c r="J108" s="2"/>
      <c r="K108" s="2"/>
      <c r="L108" s="2"/>
    </row>
    <row r="109" spans="1:12">
      <c r="A109" s="23" t="s">
        <v>89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95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88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87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90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116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92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110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/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19" t="s">
        <v>82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83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117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118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99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440" spans="2:2">
      <c r="B440" s="11" t="s">
        <v>112</v>
      </c>
    </row>
  </sheetData>
  <mergeCells count="40">
    <mergeCell ref="H95:J95"/>
    <mergeCell ref="H89:J89"/>
    <mergeCell ref="H88:J88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94:J94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H91:J91"/>
    <mergeCell ref="H93:J93"/>
    <mergeCell ref="H92:J92"/>
    <mergeCell ref="H86:J86"/>
    <mergeCell ref="H87:J87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2026-07-08T07:46:38Z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