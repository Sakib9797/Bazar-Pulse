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642585E3-3E3D-4214-97DA-AAEA32ADBC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G90" i="4" l="1"/>
  <c r="G93" i="4"/>
  <c r="G88" i="4"/>
  <c r="G86" i="4"/>
  <c r="G89" i="4"/>
  <c r="G92" i="4"/>
  <c r="G87" i="4"/>
  <c r="G91" i="4"/>
  <c r="G94" i="4"/>
  <c r="G96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<sst xmlns="http://schemas.openxmlformats.org/spreadsheetml/2006/main" count="247" uniqueCount="133">
  <si>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</si>
  <si>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</si>
  <si>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</si>
  <si>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</si>
  <si>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</si>
  <si>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</si>
  <si>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</si>
  <si>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</si>
  <si>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</si>
  <si>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</si>
  <si>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</si>
  <si>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</si>
  <si>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</si>
  <si>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</si>
  <si>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</si>
  <si>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</si>
  <si>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</si>
  <si>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</si>
  <si>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</si>
  <si>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</si>
  <si>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</si>
  <si>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</si>
  <si>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</si>
  <si>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</si>
  <si>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</si>
  <si>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</si>
  <si>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</si>
  <si>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</si>
  <si>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</si>
  <si>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</si>
  <si>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</si>
  <si>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</si>
  <si>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</si>
  <si>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</si>
  <si>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</si>
  <si>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</si>
  <si>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</si>
  <si>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</si>
  <si>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</si>
  <si>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</si>
  <si>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</si>
  <si>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</si>
  <si>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</si>
  <si>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</si>
  <si>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</si>
  <si>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</si>
  <si>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</si>
  <si>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</si>
  <si>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</si>
  <si>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</si>
  <si>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</si>
  <si>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</si>
  <si>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</si>
  <si>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</si>
  <si>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</si>
  <si>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</si>
  <si>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</si>
  <si>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</si>
  <si>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</si>
  <si>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</si>
  <si>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</si>
  <si>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</si>
  <si>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</si>
  <si>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</si>
  <si>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</si>
  <si>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</si>
  <si>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</si>
  <si>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</si>
  <si>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</si>
  <si>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</si>
  <si>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</si>
  <si>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</si>
  <si>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</si>
  <si>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</si>
  <si>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</si>
  <si>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</si>
  <si>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</si>
  <si>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</si>
  <si>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</si>
  <si>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</si>
  <si>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</si>
  <si>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</si>
  <si>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</si>
  <si>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</si>
  <si>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</si>
  <si>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</si>
  <si>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</si>
  <si>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</si>
  <si>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</si>
  <si>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</si>
  <si>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</si>
  <si>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</si>
  <si>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</si>
  <si>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</si>
  <si>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</si>
  <si>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</si>
  <si>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</si>
  <si>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</si>
  <si>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</si>
  <si>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</si>
  <si>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</si>
  <si>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</si>
  <si>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</si>
  <si>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</si>
  <si>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</si>
  <si>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</si>
  <si>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</si>
  <si>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</si>
  <si>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</si>
  <si>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</si>
  <si>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</si>
  <si>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</si>
  <si>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</si>
  <si>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</si>
  <si>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</si>
  <si>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</si>
  <si>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</si>
  <si>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</si>
  <si>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</si>
  <si>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</si>
  <si>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</si>
  <si>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</si>
  <si>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১৭-০৭-২০২৬ তারিখে মূল্য বৃদ্ধি পেয়েছে।</t>
  </si>
  <si>
    <t>১৯-০৭-২০২৬ তারিখে মূল্য বৃদ্ধি পেয়েছে।</t>
  </si>
  <si>
    <t>২০-০৭-২০২৬ তারিখে মূল্য বৃদ্ধি পেয়েছে।</t>
  </si>
  <si>
    <t>২০-০৭-২০২৬ তারিখে মূল্য হ্রাস পেয়েছে।</t>
  </si>
  <si>
    <t>(১)    ময়দা (খোলা), পেঁয়াজ (দেশী), রশুন (আম), আদা (আম), কাঁচামরিচ, বেগুন, শসা   এর মূল্য বৃদ্ধি পেয়েছে।</t>
  </si>
  <si>
    <t>(২)    সয়াবিন তেল লুজ, মসুর ডাল (বড়), জিরা   এর মূল্য হ্রাস পেয়েছে।</t>
  </si>
  <si>
    <t xml:space="preserve">নং-২৬.০৫.০০০০.০১৭.৩১.০১.২৬-৫৭৮                                                                                                           তারিখঃ ২১-০৭-২০২৬ </t>
  </si>
  <si>
    <t xml:space="preserve">মঙ্গলবার ২১ জুলাই ২০২৬ খ্রিঃ, ০৬ শ্রাবণ ১৪৩৩ বাংলা, ০৬ সফর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</si>
  <si>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১৭৭</t>
  </si>
  <si>
    <t>২১-০৭-২০২৬ তারিখে মূল্য হ্রাস পেয়েছে।</t>
  </si>
  <si>
    <t>২১-০৭-২০২৬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</si>
</sst>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13" zoomScale="93" zoomScaleNormal="93" workbookViewId="0">
      <selection activeCell="C42" sqref="C42:C4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>
      <c r="A3" s="76" t="s">
        <v>130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>
      <c r="A4" s="77" t="s">
        <v>129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4"/>
      <c r="Q4" s="54"/>
      <c r="R4" s="54"/>
    </row>
    <row r="5" spans="1:18">
      <c r="A5" s="78" t="s">
        <v>128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5"/>
      <c r="Q5" s="56"/>
    </row>
    <row r="6" spans="1:18" s="28" customFormat="1">
      <c r="A6" s="79" t="s">
        <v>1</v>
      </c>
      <c r="B6" s="79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5" t="s">
        <v>6</v>
      </c>
      <c r="J6" s="71" t="s">
        <v>7</v>
      </c>
      <c r="K6" s="73"/>
      <c r="L6" s="27" t="s">
        <v>8</v>
      </c>
      <c r="M6" s="52"/>
    </row>
    <row r="7" spans="1:18" s="28" customFormat="1">
      <c r="A7" s="80"/>
      <c r="B7" s="80"/>
      <c r="C7" s="83">
        <v>46224</v>
      </c>
      <c r="D7" s="84"/>
      <c r="E7" s="83">
        <v>46217</v>
      </c>
      <c r="F7" s="84"/>
      <c r="G7" s="83">
        <v>46194</v>
      </c>
      <c r="H7" s="84"/>
      <c r="I7" s="25" t="s">
        <v>9</v>
      </c>
      <c r="J7" s="81">
        <v>45859</v>
      </c>
      <c r="K7" s="82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8">
        <v>40</v>
      </c>
      <c r="K13" s="58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</v>
      </c>
      <c r="J18" s="58">
        <v>160</v>
      </c>
      <c r="K18" s="58">
        <v>170</v>
      </c>
      <c r="L18" s="50">
        <f t="shared" ref="L18:L24" si="2">((C18+D18)/2-(J18+K18)/2)/((J18+K18)/2)*100</f>
        <v>15.454545454545453</v>
      </c>
      <c r="M18" s="52">
        <f t="shared" si="0"/>
        <v>-0.52219321148825071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880</v>
      </c>
      <c r="K19" s="58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147</v>
      </c>
      <c r="K22" s="58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125</v>
      </c>
      <c r="K28" s="58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125</v>
      </c>
      <c r="K29" s="58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45</v>
      </c>
      <c r="D34" s="42">
        <v>55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25</v>
      </c>
      <c r="J34" s="58">
        <v>55</v>
      </c>
      <c r="K34" s="58">
        <v>65</v>
      </c>
      <c r="L34" s="50">
        <f t="shared" ref="L34:L49" si="6">((C34+D34)/2-(J34+K34)/2)/((J34+K34)/2)*100</f>
        <v>-16.666666666666664</v>
      </c>
      <c r="M34" s="52">
        <f>((C34+D34)/2-(E34+F34)/2)/((E34+F34)/2)*100</f>
        <v>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60</v>
      </c>
      <c r="H36" s="40">
        <v>140</v>
      </c>
      <c r="I36" s="49">
        <f t="shared" si="5"/>
        <v>15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220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11.428571428571429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21.875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220</v>
      </c>
      <c r="K38" s="58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180</v>
      </c>
      <c r="G43" s="40">
        <v>130</v>
      </c>
      <c r="H43" s="40">
        <v>200</v>
      </c>
      <c r="I43" s="49">
        <f t="shared" si="5"/>
        <v>6.0606060606060606</v>
      </c>
      <c r="J43" s="58">
        <v>120</v>
      </c>
      <c r="K43" s="58">
        <v>200</v>
      </c>
      <c r="L43" s="50">
        <f t="shared" si="6"/>
        <v>9.375</v>
      </c>
      <c r="M43" s="52">
        <f t="shared" si="0"/>
        <v>16.666666666666664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480</v>
      </c>
      <c r="K45" s="58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9" t="s">
        <v>1</v>
      </c>
      <c r="B65" s="79" t="s">
        <v>2</v>
      </c>
      <c r="C65" s="71" t="s">
        <v>3</v>
      </c>
      <c r="D65" s="73"/>
      <c r="E65" s="71" t="s">
        <v>4</v>
      </c>
      <c r="F65" s="73"/>
      <c r="G65" s="71" t="s">
        <v>5</v>
      </c>
      <c r="H65" s="73"/>
      <c r="I65" s="25" t="s">
        <v>6</v>
      </c>
      <c r="J65" s="71" t="s">
        <v>7</v>
      </c>
      <c r="K65" s="73"/>
      <c r="L65" s="25" t="s">
        <v>8</v>
      </c>
    </row>
    <row r="66" spans="1:13" ht="18" customHeight="1">
      <c r="A66" s="80"/>
      <c r="B66" s="80"/>
      <c r="C66" s="83">
        <v>46224</v>
      </c>
      <c r="D66" s="84"/>
      <c r="E66" s="83">
        <v>46217</v>
      </c>
      <c r="F66" s="84"/>
      <c r="G66" s="83">
        <v>46194</v>
      </c>
      <c r="H66" s="84"/>
      <c r="I66" s="25" t="s">
        <v>9</v>
      </c>
      <c r="J66" s="81">
        <v>45859</v>
      </c>
      <c r="K66" s="82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200</v>
      </c>
      <c r="E72" s="40">
        <v>120</v>
      </c>
      <c r="F72" s="40">
        <v>160</v>
      </c>
      <c r="G72" s="40">
        <v>60</v>
      </c>
      <c r="H72" s="40">
        <v>120</v>
      </c>
      <c r="I72" s="49">
        <f t="shared" si="11"/>
        <v>77.777777777777786</v>
      </c>
      <c r="J72" s="48">
        <v>60</v>
      </c>
      <c r="K72" s="48">
        <v>120</v>
      </c>
      <c r="L72" s="50">
        <f t="shared" si="9"/>
        <v>77.777777777777786</v>
      </c>
      <c r="M72" s="52">
        <f t="shared" si="12"/>
        <v>14.285714285714285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90</v>
      </c>
      <c r="G73" s="40">
        <v>70</v>
      </c>
      <c r="H73" s="40">
        <v>90</v>
      </c>
      <c r="I73" s="49">
        <f t="shared" si="11"/>
        <v>25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17.647058823529413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100</v>
      </c>
      <c r="E74" s="40">
        <v>70</v>
      </c>
      <c r="F74" s="40">
        <v>80</v>
      </c>
      <c r="G74" s="40">
        <v>50</v>
      </c>
      <c r="H74" s="40">
        <v>80</v>
      </c>
      <c r="I74" s="49">
        <f t="shared" si="11"/>
        <v>38.461538461538467</v>
      </c>
      <c r="J74" s="48">
        <v>50</v>
      </c>
      <c r="K74" s="48">
        <v>120</v>
      </c>
      <c r="L74" s="50">
        <f t="shared" si="9"/>
        <v>5.8823529411764701</v>
      </c>
      <c r="M74" s="52">
        <f t="shared" si="12"/>
        <v>20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78000</v>
      </c>
      <c r="K78" s="62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7" t="s">
        <v>126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>
      <c r="A82" s="7"/>
      <c r="B82" s="87" t="s">
        <v>127</v>
      </c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1" t="s">
        <v>3</v>
      </c>
      <c r="D85" s="73"/>
      <c r="E85" s="85" t="s">
        <v>78</v>
      </c>
      <c r="F85" s="86"/>
      <c r="G85" s="26" t="s">
        <v>9</v>
      </c>
      <c r="H85" s="71" t="s">
        <v>79</v>
      </c>
      <c r="I85" s="72"/>
      <c r="J85" s="73"/>
      <c r="K85" s="10"/>
      <c r="L85" s="2"/>
    </row>
    <row r="86" spans="1:12">
      <c r="A86" s="46" t="s">
        <v>20</v>
      </c>
      <c r="B86" s="47" t="s">
        <v>14</v>
      </c>
      <c r="C86" s="40">
        <v>58</v>
      </c>
      <c r="D86" s="40">
        <v>60</v>
      </c>
      <c r="E86" s="40">
        <v>55</v>
      </c>
      <c r="F86" s="40">
        <v>60</v>
      </c>
      <c r="G86" s="31">
        <f t="shared" ref="G86:G93" si="13">((C86+D86)/2-(E86+F86)/2)/((E86+F86)/2)*100</f>
        <v>2.6086956521739131</v>
      </c>
      <c r="H86" s="71" t="s">
        <v>123</v>
      </c>
      <c r="I86" s="72"/>
      <c r="J86" s="73"/>
      <c r="K86" s="10"/>
      <c r="L86" s="2"/>
    </row>
    <row r="87" spans="1:12">
      <c r="A87" s="46" t="s">
        <v>23</v>
      </c>
      <c r="B87" s="47" t="s">
        <v>24</v>
      </c>
      <c r="C87" s="42">
        <v>186</v>
      </c>
      <c r="D87" s="40">
        <v>195</v>
      </c>
      <c r="E87" s="42">
        <v>188</v>
      </c>
      <c r="F87" s="40">
        <v>195</v>
      </c>
      <c r="G87" s="31">
        <f t="shared" si="13"/>
        <v>-0.52219321148825071</v>
      </c>
      <c r="H87" s="71" t="s">
        <v>131</v>
      </c>
      <c r="I87" s="72"/>
      <c r="J87" s="73"/>
      <c r="K87" s="10"/>
      <c r="L87" s="2"/>
    </row>
    <row r="88" spans="1:12">
      <c r="A88" s="46" t="s">
        <v>33</v>
      </c>
      <c r="B88" s="47" t="s">
        <v>14</v>
      </c>
      <c r="C88" s="40">
        <v>90</v>
      </c>
      <c r="D88" s="40">
        <v>100</v>
      </c>
      <c r="E88" s="40">
        <v>90</v>
      </c>
      <c r="F88" s="40">
        <v>105</v>
      </c>
      <c r="G88" s="31">
        <f t="shared" si="13"/>
        <v>-2.5641025641025639</v>
      </c>
      <c r="H88" s="71" t="s">
        <v>125</v>
      </c>
      <c r="I88" s="72"/>
      <c r="J88" s="73"/>
      <c r="K88" s="10"/>
      <c r="L88" s="2"/>
    </row>
    <row r="89" spans="1:12">
      <c r="A89" s="46" t="s">
        <v>101</v>
      </c>
      <c r="B89" s="47" t="s">
        <v>14</v>
      </c>
      <c r="C89" s="42">
        <v>45</v>
      </c>
      <c r="D89" s="42">
        <v>55</v>
      </c>
      <c r="E89" s="42">
        <v>35</v>
      </c>
      <c r="F89" s="42">
        <v>45</v>
      </c>
      <c r="G89" s="31">
        <f t="shared" si="13"/>
        <v>25</v>
      </c>
      <c r="H89" s="71" t="s">
        <v>124</v>
      </c>
      <c r="I89" s="72"/>
      <c r="J89" s="73"/>
      <c r="K89" s="10"/>
      <c r="L89" s="2"/>
    </row>
    <row r="90" spans="1:12">
      <c r="A90" s="46" t="s">
        <v>40</v>
      </c>
      <c r="B90" s="47" t="s">
        <v>14</v>
      </c>
      <c r="C90" s="40">
        <v>100</v>
      </c>
      <c r="D90" s="40">
        <v>130</v>
      </c>
      <c r="E90" s="40">
        <v>100</v>
      </c>
      <c r="F90" s="40">
        <v>140</v>
      </c>
      <c r="G90" s="31">
        <f t="shared" ref="G90:G96" si="14">((C90+D90)/2-(E90+F90)/2)/((E90+F90)/2)*100</f>
        <v>-4.1666666666666661</v>
      </c>
      <c r="H90" s="71" t="s">
        <v>131</v>
      </c>
      <c r="I90" s="72"/>
      <c r="J90" s="73"/>
      <c r="K90" s="10"/>
      <c r="L90" s="2"/>
    </row>
    <row r="91" spans="1:12">
      <c r="A91" s="46" t="s">
        <v>41</v>
      </c>
      <c r="B91" s="47" t="s">
        <v>14</v>
      </c>
      <c r="C91" s="42">
        <v>170</v>
      </c>
      <c r="D91" s="40">
        <v>220</v>
      </c>
      <c r="E91" s="42">
        <v>120</v>
      </c>
      <c r="F91" s="40">
        <v>200</v>
      </c>
      <c r="G91" s="31">
        <f t="shared" si="14"/>
        <v>21.875</v>
      </c>
      <c r="H91" s="71" t="s">
        <v>132</v>
      </c>
      <c r="I91" s="72"/>
      <c r="J91" s="73"/>
      <c r="K91" s="10"/>
      <c r="L91" s="2"/>
    </row>
    <row r="92" spans="1:12">
      <c r="A92" s="46" t="s">
        <v>47</v>
      </c>
      <c r="B92" s="47" t="s">
        <v>14</v>
      </c>
      <c r="C92" s="40">
        <v>150</v>
      </c>
      <c r="D92" s="40">
        <v>200</v>
      </c>
      <c r="E92" s="40">
        <v>120</v>
      </c>
      <c r="F92" s="40">
        <v>180</v>
      </c>
      <c r="G92" s="31">
        <f t="shared" si="13"/>
        <v>16.666666666666664</v>
      </c>
      <c r="H92" s="71" t="s">
        <v>132</v>
      </c>
      <c r="I92" s="72"/>
      <c r="J92" s="73"/>
      <c r="K92" s="10"/>
      <c r="L92" s="2"/>
    </row>
    <row r="93" spans="1:12">
      <c r="A93" s="46" t="s">
        <v>48</v>
      </c>
      <c r="B93" s="47" t="s">
        <v>14</v>
      </c>
      <c r="C93" s="42">
        <v>600</v>
      </c>
      <c r="D93" s="40">
        <v>650</v>
      </c>
      <c r="E93" s="42">
        <v>600</v>
      </c>
      <c r="F93" s="40">
        <v>700</v>
      </c>
      <c r="G93" s="31">
        <f t="shared" si="13"/>
        <v>-3.8461538461538463</v>
      </c>
      <c r="H93" s="71" t="s">
        <v>125</v>
      </c>
      <c r="I93" s="72"/>
      <c r="J93" s="73"/>
      <c r="K93" s="10"/>
      <c r="L93" s="2"/>
    </row>
    <row r="94" spans="1:12">
      <c r="A94" s="46" t="s">
        <v>105</v>
      </c>
      <c r="B94" s="53" t="s">
        <v>14</v>
      </c>
      <c r="C94" s="40">
        <v>120</v>
      </c>
      <c r="D94" s="40">
        <v>200</v>
      </c>
      <c r="E94" s="40">
        <v>120</v>
      </c>
      <c r="F94" s="40">
        <v>160</v>
      </c>
      <c r="G94" s="31">
        <f t="shared" si="14"/>
        <v>14.285714285714285</v>
      </c>
      <c r="H94" s="71" t="s">
        <v>122</v>
      </c>
      <c r="I94" s="72"/>
      <c r="J94" s="73"/>
      <c r="K94" s="10"/>
      <c r="L94" s="2"/>
    </row>
    <row r="95" spans="1:12">
      <c r="A95" s="46" t="s">
        <v>106</v>
      </c>
      <c r="B95" s="53" t="s">
        <v>14</v>
      </c>
      <c r="C95" s="40">
        <v>80</v>
      </c>
      <c r="D95" s="40">
        <v>120</v>
      </c>
      <c r="E95" s="40">
        <v>80</v>
      </c>
      <c r="F95" s="40">
        <v>90</v>
      </c>
      <c r="G95" s="31">
        <f t="shared" si="14"/>
        <v>17.647058823529413</v>
      </c>
      <c r="H95" s="71" t="s">
        <v>122</v>
      </c>
      <c r="I95" s="72"/>
      <c r="J95" s="73"/>
      <c r="K95" s="10"/>
      <c r="L95" s="2"/>
    </row>
    <row r="96" spans="1:12">
      <c r="A96" s="46" t="s">
        <v>107</v>
      </c>
      <c r="B96" s="53" t="s">
        <v>14</v>
      </c>
      <c r="C96" s="40">
        <v>80</v>
      </c>
      <c r="D96" s="40">
        <v>100</v>
      </c>
      <c r="E96" s="40">
        <v>70</v>
      </c>
      <c r="F96" s="40">
        <v>80</v>
      </c>
      <c r="G96" s="31">
        <f t="shared" si="14"/>
        <v>20</v>
      </c>
      <c r="H96" s="71" t="s">
        <v>123</v>
      </c>
      <c r="I96" s="72"/>
      <c r="J96" s="73"/>
      <c r="K96" s="10"/>
      <c r="L96" s="2"/>
    </row>
    <row r="97" spans="1:12">
      <c r="A97" s="64"/>
      <c r="B97" s="69"/>
      <c r="C97" s="66"/>
      <c r="D97" s="66"/>
      <c r="E97" s="66"/>
      <c r="F97" s="66"/>
      <c r="G97" s="68"/>
      <c r="H97" s="70"/>
      <c r="I97" s="70"/>
      <c r="J97" s="70"/>
      <c r="K97" s="10"/>
      <c r="L97" s="12"/>
    </row>
    <row r="98" spans="1:12">
      <c r="A98" s="64"/>
      <c r="B98" s="65"/>
      <c r="C98" s="66"/>
      <c r="D98" s="67"/>
      <c r="E98" s="66"/>
      <c r="F98" s="67"/>
      <c r="G98" s="68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112</v>
      </c>
    </row>
  </sheetData>
  <mergeCells count="41">
    <mergeCell ref="E85:F85"/>
    <mergeCell ref="H85:J85"/>
    <mergeCell ref="B81:L81"/>
    <mergeCell ref="B82:L82"/>
    <mergeCell ref="C85:D85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H96:J96"/>
    <mergeCell ref="H94:J94"/>
    <mergeCell ref="H91:J91"/>
    <mergeCell ref="H92:J92"/>
    <mergeCell ref="H87:J87"/>
    <mergeCell ref="H89:J89"/>
    <mergeCell ref="H86:J86"/>
    <mergeCell ref="H88:J88"/>
    <mergeCell ref="H93:J93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2026-07-21T09:31:17Z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