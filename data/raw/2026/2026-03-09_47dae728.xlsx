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esktop\Market Study folder\Daily market price-2026\March-2026\"/>
    </mc:Choice>
  </mc:AlternateContent>
  <bookViews>
    <workbookView xWindow="-120" yWindow="-120" windowWidth="24240" windowHeight="13140"/>
  </bookViews>
  <sheets>
    <sheet name="Daily retail price" sheetId="4" r:id="rId1"/>
  </sheets>
  <calcPr calcId="152511"/>
</workbook>
</file>

<file path=xl/calcChain.xml><?xml version="1.0" encoding="utf-8"?>
<calcChain xmlns="http://schemas.openxmlformats.org/spreadsheetml/2006/main">
  <c r="G90" i="4" l="1"/>
  <c r="G89" i="4"/>
  <c r="G91" i="4"/>
  <c r="G96" i="4" l="1"/>
  <c r="G101" i="4"/>
  <c r="G93" i="4"/>
  <c r="G92" i="4"/>
  <c r="G98" i="4"/>
  <c r="G97" i="4"/>
  <c r="G95" i="4"/>
  <c r="G99" i="4"/>
  <c r="G100" i="4"/>
  <c r="I77" i="4"/>
  <c r="I76" i="4"/>
  <c r="I75" i="4"/>
  <c r="I74" i="4"/>
  <c r="L74" i="4"/>
  <c r="L77" i="4"/>
  <c r="L76" i="4"/>
  <c r="L75" i="4"/>
  <c r="G94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<sst xmlns="http://schemas.openxmlformats.org/spreadsheetml/2006/main" count="260" uniqueCount="138">
  <si>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</si>
  <si>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</si>
  <si>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</si>
  <si>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</si>
  <si>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</si>
  <si>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</si>
  <si>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</si>
  <si>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</si>
  <si>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</si>
  <si>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</si>
  <si>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</si>
  <si>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</si>
  <si>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</si>
  <si>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</si>
  <si>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</si>
  <si>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</si>
  <si>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</si>
  <si>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</si>
  <si>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</si>
  <si>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</si>
  <si>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</si>
  <si>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</si>
  <si>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</si>
  <si>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</si>
  <si>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</si>
  <si>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</si>
  <si>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</si>
  <si>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</si>
  <si>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</si>
  <si>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</si>
  <si>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</si>
  <si>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</si>
  <si>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</si>
  <si>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</si>
  <si>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</si>
  <si>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</si>
  <si>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</si>
  <si>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</si>
  <si>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</si>
  <si>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</si>
  <si>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</si>
  <si>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</si>
  <si>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</si>
  <si>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</si>
  <si>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</si>
  <si>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</si>
  <si>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</si>
  <si>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</si>
  <si>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</si>
  <si>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</si>
  <si>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</si>
  <si>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</si>
  <si>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</si>
  <si>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</si>
  <si>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</si>
  <si>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</si>
  <si>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</si>
  <si>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</si>
  <si>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</si>
  <si>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</si>
  <si>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</si>
  <si>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</si>
  <si>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</si>
  <si>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</si>
  <si>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</si>
  <si>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</si>
  <si>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</si>
  <si>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</si>
  <si>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</si>
  <si>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</si>
  <si>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</si>
  <si>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</si>
  <si>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</si>
  <si>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</si>
  <si>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</si>
  <si>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</si>
  <si>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</si>
  <si>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</si>
  <si>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</si>
  <si>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</si>
  <si>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</si>
  <si>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</si>
  <si>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</si>
  <si>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</si>
  <si>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</si>
  <si>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</si>
  <si>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</si>
  <si>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</si>
  <si>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</si>
  <si>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</si>
  <si>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</si>
  <si>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</si>
  <si>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</si>
  <si>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</si>
  <si>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</si>
  <si>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</si>
  <si>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</si>
  <si>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</si>
  <si>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</si>
  <si>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</si>
  <si>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</si>
  <si>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</si>
  <si>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</si>
  <si>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</si>
  <si>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</si>
  <si>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</si>
  <si>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</si>
  <si>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</si>
  <si>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</si>
  <si>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</si>
  <si>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</si>
  <si>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</si>
  <si>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</si>
  <si>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</si>
  <si>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</si>
  <si>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</si>
  <si>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</si>
  <si>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</si>
  <si>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</si>
  <si>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</si>
  <si>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</si>
  <si>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</si>
  <si>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(মোঃ ইসমাইল মজুমদার)</t>
  </si>
  <si>
    <t>সহকারী পরিচালক (বাজার তথ্য)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</si>
  <si>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</si>
  <si>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কাওরান বাজার, মিরপুর-৬, মোহাম্মদপুর টাউন হল, রামপুরা, মহাখালী  বাজার।   </t>
  </si>
  <si>
    <t>০৩-০৩-২০২৬ তারিখে মূল্য হ্রাস পেয়েছে।</t>
  </si>
  <si>
    <t>০৪-০৩-২০২৬ তারিখে মূল্য হ্রাস পেয়েছে।</t>
  </si>
  <si>
    <t>০৫-০৩-২০২৬ তারিখে মূল্য বৃদ্ধি পেয়েছে।</t>
  </si>
  <si>
    <t>০৮-০৩-২০২৬ তারিখে মূল্য বৃদ্ধি পেয়েছে।</t>
  </si>
  <si>
    <t>০৬-০৩-২০২৬ তারিখে মূল্য বৃদ্ধি পেয়েছে।</t>
  </si>
  <si>
    <t xml:space="preserve">   সিরিয়াল নংঃ     ০৬৪</t>
  </si>
  <si>
    <t xml:space="preserve">সোমবার ০৯ মার্চ ২০২৬ খ্রিঃ, ২৪ ফাল্গুন ১৪৩২ বাংলা, ১৯ রমজান ১৪৪৭ হিজরি </t>
  </si>
  <si>
    <t>স্মারক নং-২৬.০৫.০০০০.০১৭.৩১.০১.২৬-১৯৮</t>
  </si>
  <si>
    <t>০৯-০৩-২০২৬ তারিখে মূল্য হ্রাস পেয়েছে।</t>
  </si>
  <si>
    <t>০৯-০৩-২০২৬ তারিখে মূল্য বৃদ্ধি পেয়েছে।</t>
  </si>
  <si>
    <t>(১)   আটা (খোলা, প্যা:), আলু, পেঁয়াজ (দেশী), আদা (দেশী), দারুচিনি, লেবু, শসা  এর মূল্য হ্রাস পেয়েছে।</t>
  </si>
  <si>
    <t>(২)   পাম অয়েল লুজ, রশুন (আম), জিরা, মুরগী ব্রয়লার, চিনি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</si>
</sst>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304800</xdr:colOff>
      <xdr:row>102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xmlns="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127"/>
  <sheetViews>
    <sheetView tabSelected="1" topLeftCell="A79" zoomScale="112" zoomScaleNormal="112" workbookViewId="0">
      <selection activeCell="H89" sqref="H8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5" t="s">
        <v>131</v>
      </c>
      <c r="L6" s="86"/>
    </row>
    <row r="7" spans="1:12" ht="19.5" customHeight="1">
      <c r="A7" s="17"/>
      <c r="B7" s="8"/>
      <c r="C7" s="8"/>
      <c r="D7" s="17"/>
      <c r="E7" s="8"/>
      <c r="F7" s="8" t="s">
        <v>132</v>
      </c>
      <c r="G7" s="8"/>
      <c r="H7" s="8"/>
      <c r="I7" s="8"/>
      <c r="J7" s="8"/>
      <c r="K7" s="8"/>
      <c r="L7" s="49"/>
    </row>
    <row r="8" spans="1:12" ht="21.75">
      <c r="A8" s="20" t="s">
        <v>133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46090</v>
      </c>
    </row>
    <row r="9" spans="1:12" ht="21.75">
      <c r="A9" s="25" t="s">
        <v>4</v>
      </c>
      <c r="B9" s="26" t="s">
        <v>5</v>
      </c>
      <c r="C9" s="85" t="s">
        <v>6</v>
      </c>
      <c r="D9" s="86"/>
      <c r="E9" s="85" t="s">
        <v>7</v>
      </c>
      <c r="F9" s="86"/>
      <c r="G9" s="85" t="s">
        <v>8</v>
      </c>
      <c r="H9" s="86"/>
      <c r="I9" s="26" t="s">
        <v>9</v>
      </c>
      <c r="J9" s="85" t="s">
        <v>10</v>
      </c>
      <c r="K9" s="86"/>
      <c r="L9" s="27" t="s">
        <v>11</v>
      </c>
    </row>
    <row r="10" spans="1:12" ht="21.75">
      <c r="A10" s="25"/>
      <c r="B10" s="26"/>
      <c r="C10" s="87">
        <v>46090</v>
      </c>
      <c r="D10" s="86"/>
      <c r="E10" s="87">
        <v>46083</v>
      </c>
      <c r="F10" s="86"/>
      <c r="G10" s="87">
        <v>46062</v>
      </c>
      <c r="H10" s="86"/>
      <c r="I10" s="26" t="s">
        <v>12</v>
      </c>
      <c r="J10" s="87">
        <v>45725</v>
      </c>
      <c r="K10" s="86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55</v>
      </c>
      <c r="D13" s="29">
        <v>68</v>
      </c>
      <c r="E13" s="29">
        <v>55</v>
      </c>
      <c r="F13" s="29">
        <v>68</v>
      </c>
      <c r="G13" s="29">
        <v>58</v>
      </c>
      <c r="H13" s="29">
        <v>68</v>
      </c>
      <c r="I13" s="30">
        <f>((C13+D13)/2-(G13+H13)/2)/((G13+H13)/2)*100</f>
        <v>-2.3809523809523809</v>
      </c>
      <c r="J13" s="29">
        <v>58</v>
      </c>
      <c r="K13" s="29">
        <v>65</v>
      </c>
      <c r="L13" s="31">
        <f>((C13+D13)/2-(J13+K13)/2)/((J13+K13)/2)*100</f>
        <v>0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45</v>
      </c>
      <c r="E16" s="29">
        <v>40</v>
      </c>
      <c r="F16" s="29">
        <v>46</v>
      </c>
      <c r="G16" s="29">
        <v>44</v>
      </c>
      <c r="H16" s="29">
        <v>50</v>
      </c>
      <c r="I16" s="30">
        <f>((C16+D16)/2-(G16+H16)/2)/((G16+H16)/2)*100</f>
        <v>-9.5744680851063837</v>
      </c>
      <c r="J16" s="29">
        <v>40</v>
      </c>
      <c r="K16" s="29">
        <v>45</v>
      </c>
      <c r="L16" s="31">
        <f>((C16+D16)/2-(J16+K16)/2)/((J16+K16)/2)*100</f>
        <v>0</v>
      </c>
    </row>
    <row r="17" spans="1:12" ht="21.75">
      <c r="A17" s="69" t="s">
        <v>22</v>
      </c>
      <c r="B17" s="6" t="s">
        <v>23</v>
      </c>
      <c r="C17" s="29">
        <v>55</v>
      </c>
      <c r="D17" s="29">
        <v>60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-1.7094017094017095</v>
      </c>
      <c r="J17" s="29">
        <v>50</v>
      </c>
      <c r="K17" s="29">
        <v>55</v>
      </c>
      <c r="L17" s="31">
        <f>((C17+D17)/2-(J17+K17)/2)/((J17+K17)/2)*100</f>
        <v>9.5238095238095237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60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60</v>
      </c>
      <c r="D19" s="29">
        <v>75</v>
      </c>
      <c r="E19" s="29">
        <v>60</v>
      </c>
      <c r="F19" s="29">
        <v>75</v>
      </c>
      <c r="G19" s="29">
        <v>65</v>
      </c>
      <c r="H19" s="29">
        <v>75</v>
      </c>
      <c r="I19" s="30">
        <f>((C19+D19)/2-(G19+H19)/2)/((G19+H19)/2)*100</f>
        <v>-3.5714285714285712</v>
      </c>
      <c r="J19" s="29">
        <v>65</v>
      </c>
      <c r="K19" s="29">
        <v>72</v>
      </c>
      <c r="L19" s="31">
        <f>((C19+D19)/2-(J19+K19)/2)/((J19+K19)/2)*100</f>
        <v>-1.4598540145985401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186</v>
      </c>
      <c r="E21" s="29">
        <v>175</v>
      </c>
      <c r="F21" s="29">
        <v>186</v>
      </c>
      <c r="G21" s="29">
        <v>175</v>
      </c>
      <c r="H21" s="29">
        <v>185</v>
      </c>
      <c r="I21" s="30">
        <f t="shared" ref="I21:I27" si="0">((C21+D21)/2-(G21+H21)/2)/((G21+H21)/2)*100</f>
        <v>0.27777777777777779</v>
      </c>
      <c r="J21" s="29">
        <v>180</v>
      </c>
      <c r="K21" s="29">
        <v>185</v>
      </c>
      <c r="L21" s="31">
        <f t="shared" ref="L21:L27" si="1">((C21+D21)/2-(J21+K21)/2)/((J21+K21)/2)*100</f>
        <v>-1.095890410958904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845</v>
      </c>
      <c r="K22" s="29">
        <v>852</v>
      </c>
      <c r="L22" s="31">
        <f t="shared" si="1"/>
        <v>10.489098408956982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345</v>
      </c>
      <c r="K23" s="29">
        <v>350</v>
      </c>
      <c r="L23" s="31">
        <f t="shared" si="1"/>
        <v>12.23021582733813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158</v>
      </c>
      <c r="D25" s="29">
        <v>162</v>
      </c>
      <c r="E25" s="29">
        <v>150</v>
      </c>
      <c r="F25" s="29">
        <v>162</v>
      </c>
      <c r="G25" s="29">
        <v>155</v>
      </c>
      <c r="H25" s="29">
        <v>162</v>
      </c>
      <c r="I25" s="30">
        <f t="shared" si="0"/>
        <v>0.94637223974763407</v>
      </c>
      <c r="J25" s="29">
        <v>146</v>
      </c>
      <c r="K25" s="29">
        <v>155</v>
      </c>
      <c r="L25" s="31">
        <f t="shared" si="1"/>
        <v>6.3122923588039868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160</v>
      </c>
      <c r="L26" s="31">
        <f t="shared" si="1"/>
        <v>3.8095238095238098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55</v>
      </c>
      <c r="D33" s="29">
        <v>75</v>
      </c>
      <c r="E33" s="29">
        <v>55</v>
      </c>
      <c r="F33" s="29">
        <v>75</v>
      </c>
      <c r="G33" s="29">
        <v>50</v>
      </c>
      <c r="H33" s="29">
        <v>75</v>
      </c>
      <c r="I33" s="30">
        <f t="shared" si="2"/>
        <v>4</v>
      </c>
      <c r="J33" s="29">
        <v>60</v>
      </c>
      <c r="K33" s="29">
        <v>80</v>
      </c>
      <c r="L33" s="31">
        <f t="shared" si="3"/>
        <v>-7.1428571428571423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110</v>
      </c>
      <c r="L34" s="31">
        <f t="shared" si="3"/>
        <v>-18.604651162790699</v>
      </c>
    </row>
    <row r="35" spans="1:12" ht="21.75">
      <c r="A35" s="69" t="s">
        <v>109</v>
      </c>
      <c r="B35" s="6" t="s">
        <v>18</v>
      </c>
      <c r="C35" s="29">
        <v>18</v>
      </c>
      <c r="D35" s="29">
        <v>20</v>
      </c>
      <c r="E35" s="29">
        <v>20</v>
      </c>
      <c r="F35" s="29">
        <v>25</v>
      </c>
      <c r="G35" s="29">
        <v>20</v>
      </c>
      <c r="H35" s="29">
        <v>25</v>
      </c>
      <c r="I35" s="30">
        <f t="shared" si="2"/>
        <v>-15.555555555555555</v>
      </c>
      <c r="J35" s="29">
        <v>20</v>
      </c>
      <c r="K35" s="29">
        <v>30</v>
      </c>
      <c r="L35" s="31">
        <f t="shared" si="3"/>
        <v>-24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30</v>
      </c>
      <c r="D37" s="29">
        <v>55</v>
      </c>
      <c r="E37" s="29">
        <v>40</v>
      </c>
      <c r="F37" s="29">
        <v>60</v>
      </c>
      <c r="G37" s="29">
        <v>50</v>
      </c>
      <c r="H37" s="29">
        <v>60</v>
      </c>
      <c r="I37" s="30">
        <f t="shared" ref="I37:I52" si="4">((C37+D37)/2-(G37+H37)/2)/((G37+H37)/2)*100</f>
        <v>-22.727272727272727</v>
      </c>
      <c r="J37" s="29">
        <v>35</v>
      </c>
      <c r="K37" s="29">
        <v>50</v>
      </c>
      <c r="L37" s="31">
        <f t="shared" ref="L37:L52" si="5">((C37+D37)/2-(J37+K37)/2)/((J37+K37)/2)*100</f>
        <v>0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60</v>
      </c>
      <c r="H38" s="29">
        <v>80</v>
      </c>
      <c r="I38" s="30">
        <f t="shared" si="4"/>
        <v>-100</v>
      </c>
      <c r="J38" s="29">
        <v>55</v>
      </c>
      <c r="K38" s="29">
        <v>60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80</v>
      </c>
      <c r="F39" s="29">
        <v>130</v>
      </c>
      <c r="G39" s="29">
        <v>80</v>
      </c>
      <c r="H39" s="29">
        <v>140</v>
      </c>
      <c r="I39" s="30">
        <f t="shared" si="4"/>
        <v>-4.5454545454545459</v>
      </c>
      <c r="J39" s="29">
        <v>100</v>
      </c>
      <c r="K39" s="29">
        <v>240</v>
      </c>
      <c r="L39" s="31">
        <f t="shared" si="5"/>
        <v>-38.235294117647058</v>
      </c>
    </row>
    <row r="40" spans="1:12" ht="21.75">
      <c r="A40" s="69" t="s">
        <v>45</v>
      </c>
      <c r="B40" s="6" t="s">
        <v>18</v>
      </c>
      <c r="C40" s="29">
        <v>220</v>
      </c>
      <c r="D40" s="29">
        <v>245</v>
      </c>
      <c r="E40" s="29">
        <v>190</v>
      </c>
      <c r="F40" s="29">
        <v>220</v>
      </c>
      <c r="G40" s="29">
        <v>180</v>
      </c>
      <c r="H40" s="29">
        <v>200</v>
      </c>
      <c r="I40" s="30">
        <f t="shared" si="4"/>
        <v>22.368421052631579</v>
      </c>
      <c r="J40" s="29">
        <v>220</v>
      </c>
      <c r="K40" s="29">
        <v>240</v>
      </c>
      <c r="L40" s="31">
        <f t="shared" si="5"/>
        <v>1.0869565217391304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250</v>
      </c>
      <c r="F41" s="29">
        <v>300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320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430</v>
      </c>
      <c r="L42" s="31">
        <f t="shared" si="5"/>
        <v>-14.102564102564102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350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400</v>
      </c>
      <c r="L43" s="31">
        <f t="shared" si="5"/>
        <v>-9.7222222222222232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250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420</v>
      </c>
      <c r="L44" s="31">
        <f t="shared" si="5"/>
        <v>-2.9850746268656714</v>
      </c>
    </row>
    <row r="45" spans="1:12" ht="21.75">
      <c r="A45" s="69" t="s">
        <v>50</v>
      </c>
      <c r="B45" s="6" t="s">
        <v>18</v>
      </c>
      <c r="C45" s="29">
        <v>100</v>
      </c>
      <c r="D45" s="29">
        <v>200</v>
      </c>
      <c r="E45" s="29">
        <v>140</v>
      </c>
      <c r="F45" s="29">
        <v>250</v>
      </c>
      <c r="G45" s="29">
        <v>140</v>
      </c>
      <c r="H45" s="29">
        <v>200</v>
      </c>
      <c r="I45" s="30">
        <f t="shared" si="4"/>
        <v>-11.76470588235294</v>
      </c>
      <c r="J45" s="29">
        <v>100</v>
      </c>
      <c r="K45" s="29">
        <v>250</v>
      </c>
      <c r="L45" s="31">
        <f t="shared" si="5"/>
        <v>-14.285714285714285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140</v>
      </c>
      <c r="H46" s="29">
        <v>220</v>
      </c>
      <c r="I46" s="30">
        <f t="shared" si="4"/>
        <v>2.7777777777777777</v>
      </c>
      <c r="J46" s="29">
        <v>100</v>
      </c>
      <c r="K46" s="29">
        <v>220</v>
      </c>
      <c r="L46" s="31">
        <f t="shared" si="5"/>
        <v>15.625</v>
      </c>
    </row>
    <row r="47" spans="1:12" ht="21.75">
      <c r="A47" s="69" t="s">
        <v>52</v>
      </c>
      <c r="B47" s="6" t="s">
        <v>18</v>
      </c>
      <c r="C47" s="29">
        <v>640</v>
      </c>
      <c r="D47" s="29">
        <v>700</v>
      </c>
      <c r="E47" s="29">
        <v>580</v>
      </c>
      <c r="F47" s="29">
        <v>700</v>
      </c>
      <c r="G47" s="29">
        <v>580</v>
      </c>
      <c r="H47" s="29">
        <v>720</v>
      </c>
      <c r="I47" s="30">
        <f t="shared" si="4"/>
        <v>3.0769230769230771</v>
      </c>
      <c r="J47" s="29">
        <v>650</v>
      </c>
      <c r="K47" s="29">
        <v>780</v>
      </c>
      <c r="L47" s="31">
        <f t="shared" si="5"/>
        <v>-6.2937062937062942</v>
      </c>
    </row>
    <row r="48" spans="1:12" ht="21.75">
      <c r="A48" s="69" t="s">
        <v>53</v>
      </c>
      <c r="B48" s="6" t="s">
        <v>18</v>
      </c>
      <c r="C48" s="29">
        <v>450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-2.7777777777777777</v>
      </c>
      <c r="J48" s="29">
        <v>500</v>
      </c>
      <c r="K48" s="29">
        <v>550</v>
      </c>
      <c r="L48" s="31">
        <f t="shared" si="5"/>
        <v>0</v>
      </c>
    </row>
    <row r="49" spans="1:12" ht="21.75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1300</v>
      </c>
      <c r="H49" s="29">
        <v>1600</v>
      </c>
      <c r="I49" s="30">
        <f t="shared" si="4"/>
        <v>1.7241379310344827</v>
      </c>
      <c r="J49" s="29">
        <v>1400</v>
      </c>
      <c r="K49" s="29">
        <v>1600</v>
      </c>
      <c r="L49" s="31">
        <f t="shared" si="5"/>
        <v>-1.6666666666666667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4600</v>
      </c>
      <c r="K50" s="29">
        <v>5100</v>
      </c>
      <c r="L50" s="31">
        <f t="shared" si="5"/>
        <v>3.0927835051546393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240</v>
      </c>
      <c r="L52" s="31">
        <f t="shared" si="5"/>
        <v>0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280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-2.666666666666667</v>
      </c>
      <c r="J54" s="29">
        <v>280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800</v>
      </c>
      <c r="F55" s="29">
        <v>1800</v>
      </c>
      <c r="G55" s="29">
        <v>1200</v>
      </c>
      <c r="H55" s="29">
        <v>2500</v>
      </c>
      <c r="I55" s="30">
        <f t="shared" si="6"/>
        <v>-29.72972972972973</v>
      </c>
      <c r="J55" s="29">
        <v>650</v>
      </c>
      <c r="K55" s="29">
        <v>1600</v>
      </c>
      <c r="L55" s="31">
        <f t="shared" si="7"/>
        <v>15.555555555555555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1100</v>
      </c>
      <c r="K57" s="29">
        <v>1250</v>
      </c>
      <c r="L57" s="31">
        <f t="shared" si="7"/>
        <v>-6.3829787234042552</v>
      </c>
    </row>
    <row r="58" spans="1:12" ht="21.75">
      <c r="A58" s="69" t="s">
        <v>61</v>
      </c>
      <c r="B58" s="6" t="s">
        <v>18</v>
      </c>
      <c r="C58" s="29">
        <v>210</v>
      </c>
      <c r="D58" s="29">
        <v>220</v>
      </c>
      <c r="E58" s="29">
        <v>165</v>
      </c>
      <c r="F58" s="29">
        <v>190</v>
      </c>
      <c r="G58" s="29">
        <v>180</v>
      </c>
      <c r="H58" s="29">
        <v>190</v>
      </c>
      <c r="I58" s="30">
        <f t="shared" si="6"/>
        <v>16.216216216216218</v>
      </c>
      <c r="J58" s="29">
        <v>185</v>
      </c>
      <c r="K58" s="29">
        <v>210</v>
      </c>
      <c r="L58" s="31">
        <f t="shared" si="7"/>
        <v>8.8607594936708853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580</v>
      </c>
      <c r="L59" s="31">
        <f t="shared" si="7"/>
        <v>13.20754716981132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830</v>
      </c>
      <c r="L61" s="31">
        <f>((C61+D61)/2-(J61+K61)/2)/((J61+K61)/2)*100</f>
        <v>0.63694267515923575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9.9378881987577632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840</v>
      </c>
      <c r="L64" s="31">
        <f>((C64+D64)/2-(J64+K64)/2)/((J64+K64)/2)*100</f>
        <v>6.7901234567901234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5" t="s">
        <v>6</v>
      </c>
      <c r="D68" s="86"/>
      <c r="E68" s="85" t="s">
        <v>7</v>
      </c>
      <c r="F68" s="86"/>
      <c r="G68" s="85" t="s">
        <v>8</v>
      </c>
      <c r="H68" s="86"/>
      <c r="I68" s="26" t="s">
        <v>9</v>
      </c>
      <c r="J68" s="85" t="s">
        <v>10</v>
      </c>
      <c r="K68" s="86"/>
      <c r="L68" s="26" t="s">
        <v>11</v>
      </c>
    </row>
    <row r="69" spans="1:12" ht="18" customHeight="1">
      <c r="A69" s="73"/>
      <c r="B69" s="64"/>
      <c r="C69" s="87">
        <v>46090</v>
      </c>
      <c r="D69" s="86"/>
      <c r="E69" s="87">
        <v>46083</v>
      </c>
      <c r="F69" s="86"/>
      <c r="G69" s="87">
        <v>46062</v>
      </c>
      <c r="H69" s="86"/>
      <c r="I69" s="26" t="s">
        <v>12</v>
      </c>
      <c r="J69" s="87">
        <v>45725</v>
      </c>
      <c r="K69" s="86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100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0.98522167487684731</v>
      </c>
      <c r="J71" s="29">
        <v>118</v>
      </c>
      <c r="K71" s="29">
        <v>125</v>
      </c>
      <c r="L71" s="31">
        <f t="shared" ref="L71:L81" si="8">((C71+D71)/2-(J71+K71)/2)/((J71+K71)/2)*100</f>
        <v>-15.637860082304528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300</v>
      </c>
      <c r="F72" s="29">
        <v>500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70</v>
      </c>
      <c r="E74" s="29">
        <v>30</v>
      </c>
      <c r="F74" s="29">
        <v>80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80</v>
      </c>
      <c r="D75" s="29">
        <v>160</v>
      </c>
      <c r="E75" s="29">
        <v>100</v>
      </c>
      <c r="F75" s="29">
        <v>140</v>
      </c>
      <c r="G75" s="37">
        <v>80</v>
      </c>
      <c r="H75" s="37">
        <v>120</v>
      </c>
      <c r="I75" s="30">
        <f t="shared" si="9"/>
        <v>20</v>
      </c>
      <c r="J75" s="29">
        <v>40</v>
      </c>
      <c r="K75" s="29">
        <v>120</v>
      </c>
      <c r="L75" s="31">
        <f t="shared" si="8"/>
        <v>50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100</v>
      </c>
      <c r="E76" s="29">
        <v>60</v>
      </c>
      <c r="F76" s="29">
        <v>100</v>
      </c>
      <c r="G76" s="29">
        <v>40</v>
      </c>
      <c r="H76" s="29">
        <v>80</v>
      </c>
      <c r="I76" s="30">
        <f t="shared" si="9"/>
        <v>33.333333333333329</v>
      </c>
      <c r="J76" s="29">
        <v>70</v>
      </c>
      <c r="K76" s="29">
        <v>120</v>
      </c>
      <c r="L76" s="31">
        <f t="shared" si="8"/>
        <v>-15.789473684210526</v>
      </c>
    </row>
    <row r="77" spans="1:12" ht="21.75">
      <c r="A77" s="69" t="s">
        <v>118</v>
      </c>
      <c r="B77" s="66" t="s">
        <v>18</v>
      </c>
      <c r="C77" s="29">
        <v>30</v>
      </c>
      <c r="D77" s="29">
        <v>90</v>
      </c>
      <c r="E77" s="29">
        <v>50</v>
      </c>
      <c r="F77" s="29">
        <v>100</v>
      </c>
      <c r="G77" s="29">
        <v>60</v>
      </c>
      <c r="H77" s="37">
        <v>120</v>
      </c>
      <c r="I77" s="30">
        <f t="shared" si="9"/>
        <v>-33.333333333333329</v>
      </c>
      <c r="J77" s="29">
        <v>40</v>
      </c>
      <c r="K77" s="29">
        <v>100</v>
      </c>
      <c r="L77" s="31">
        <f t="shared" si="8"/>
        <v>-14.285714285714285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32</v>
      </c>
      <c r="F78" s="37">
        <v>40</v>
      </c>
      <c r="G78" s="37">
        <v>34</v>
      </c>
      <c r="H78" s="37">
        <v>40</v>
      </c>
      <c r="I78" s="30">
        <f t="shared" si="9"/>
        <v>-2.7027027027027026</v>
      </c>
      <c r="J78" s="37">
        <v>40</v>
      </c>
      <c r="K78" s="37">
        <v>45</v>
      </c>
      <c r="L78" s="31">
        <f t="shared" si="8"/>
        <v>-15.294117647058824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95000</v>
      </c>
      <c r="L80" s="31">
        <f t="shared" si="8"/>
        <v>-11.021505376344086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8" t="s">
        <v>125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136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137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90" t="s">
        <v>6</v>
      </c>
      <c r="D88" s="91"/>
      <c r="E88" s="92" t="s">
        <v>82</v>
      </c>
      <c r="F88" s="93"/>
      <c r="G88" s="77" t="s">
        <v>12</v>
      </c>
      <c r="H88" s="90" t="s">
        <v>83</v>
      </c>
      <c r="I88" s="94"/>
      <c r="J88" s="91"/>
      <c r="K88" s="50"/>
      <c r="L88" s="17"/>
    </row>
    <row r="89" spans="1:12" ht="21.75">
      <c r="A89" s="69" t="s">
        <v>21</v>
      </c>
      <c r="B89" s="6" t="s">
        <v>18</v>
      </c>
      <c r="C89" s="29">
        <v>40</v>
      </c>
      <c r="D89" s="29">
        <v>45</v>
      </c>
      <c r="E89" s="29">
        <v>40</v>
      </c>
      <c r="F89" s="29">
        <v>46</v>
      </c>
      <c r="G89" s="7">
        <f t="shared" ref="G89:G90" si="10">((C89+D89)/2-(E89+F89)/2)/((E89+F89)/2)*100</f>
        <v>-1.1627906976744187</v>
      </c>
      <c r="H89" s="5" t="s">
        <v>134</v>
      </c>
      <c r="I89" s="6"/>
      <c r="J89" s="6"/>
      <c r="K89" s="50"/>
      <c r="L89" s="17"/>
    </row>
    <row r="90" spans="1:12" ht="21.75">
      <c r="A90" s="69" t="s">
        <v>22</v>
      </c>
      <c r="B90" s="6" t="s">
        <v>23</v>
      </c>
      <c r="C90" s="29">
        <v>55</v>
      </c>
      <c r="D90" s="29">
        <v>60</v>
      </c>
      <c r="E90" s="29">
        <v>55</v>
      </c>
      <c r="F90" s="29">
        <v>62</v>
      </c>
      <c r="G90" s="7">
        <f t="shared" si="10"/>
        <v>-1.7094017094017095</v>
      </c>
      <c r="H90" s="5" t="s">
        <v>134</v>
      </c>
      <c r="I90" s="6"/>
      <c r="J90" s="6"/>
      <c r="K90" s="50"/>
      <c r="L90" s="17"/>
    </row>
    <row r="91" spans="1:12" ht="21.75">
      <c r="A91" s="69" t="s">
        <v>33</v>
      </c>
      <c r="B91" s="6" t="s">
        <v>28</v>
      </c>
      <c r="C91" s="29">
        <v>158</v>
      </c>
      <c r="D91" s="29">
        <v>162</v>
      </c>
      <c r="E91" s="29">
        <v>150</v>
      </c>
      <c r="F91" s="29">
        <v>162</v>
      </c>
      <c r="G91" s="7">
        <f t="shared" ref="G91:G93" si="11">((C91+D91)/2-(E91+F91)/2)/((E91+F91)/2)*100</f>
        <v>2.5641025641025639</v>
      </c>
      <c r="H91" s="5" t="s">
        <v>135</v>
      </c>
      <c r="I91" s="6"/>
      <c r="J91" s="6"/>
      <c r="K91" s="50"/>
      <c r="L91" s="17"/>
    </row>
    <row r="92" spans="1:12" ht="21.75">
      <c r="A92" s="69" t="s">
        <v>109</v>
      </c>
      <c r="B92" s="6" t="s">
        <v>18</v>
      </c>
      <c r="C92" s="29">
        <v>18</v>
      </c>
      <c r="D92" s="29">
        <v>20</v>
      </c>
      <c r="E92" s="29">
        <v>20</v>
      </c>
      <c r="F92" s="29">
        <v>25</v>
      </c>
      <c r="G92" s="7">
        <f t="shared" si="11"/>
        <v>-15.555555555555555</v>
      </c>
      <c r="H92" s="5" t="s">
        <v>127</v>
      </c>
      <c r="I92" s="6"/>
      <c r="J92" s="6"/>
      <c r="K92" s="50"/>
      <c r="L92" s="17"/>
    </row>
    <row r="93" spans="1:12" ht="21.75">
      <c r="A93" s="82" t="s">
        <v>110</v>
      </c>
      <c r="B93" s="6" t="s">
        <v>18</v>
      </c>
      <c r="C93" s="29">
        <v>30</v>
      </c>
      <c r="D93" s="29">
        <v>55</v>
      </c>
      <c r="E93" s="29">
        <v>40</v>
      </c>
      <c r="F93" s="29">
        <v>60</v>
      </c>
      <c r="G93" s="7">
        <f t="shared" si="11"/>
        <v>-15</v>
      </c>
      <c r="H93" s="5" t="s">
        <v>127</v>
      </c>
      <c r="I93" s="6"/>
      <c r="J93" s="6"/>
      <c r="K93" s="50"/>
      <c r="L93" s="17"/>
    </row>
    <row r="94" spans="1:12" ht="24.75">
      <c r="A94" s="69" t="s">
        <v>45</v>
      </c>
      <c r="B94" s="6" t="s">
        <v>18</v>
      </c>
      <c r="C94" s="29">
        <v>220</v>
      </c>
      <c r="D94" s="29">
        <v>245</v>
      </c>
      <c r="E94" s="29">
        <v>190</v>
      </c>
      <c r="F94" s="29">
        <v>220</v>
      </c>
      <c r="G94" s="7">
        <f>((C94+D94)/2-(E94+F94)/2)/((E94+F94)/2)*100</f>
        <v>13.414634146341465</v>
      </c>
      <c r="H94" s="5" t="s">
        <v>129</v>
      </c>
      <c r="I94" s="6"/>
      <c r="J94" s="6"/>
      <c r="K94" s="40"/>
      <c r="L94" s="11"/>
    </row>
    <row r="95" spans="1:12" ht="24.75">
      <c r="A95" s="69" t="s">
        <v>50</v>
      </c>
      <c r="B95" s="6" t="s">
        <v>18</v>
      </c>
      <c r="C95" s="29">
        <v>100</v>
      </c>
      <c r="D95" s="29">
        <v>200</v>
      </c>
      <c r="E95" s="29">
        <v>140</v>
      </c>
      <c r="F95" s="29">
        <v>250</v>
      </c>
      <c r="G95" s="7">
        <f t="shared" ref="G95:G98" si="12">((C95+D95)/2-(E95+F95)/2)/((E95+F95)/2)*100</f>
        <v>-23.076923076923077</v>
      </c>
      <c r="H95" s="5" t="s">
        <v>127</v>
      </c>
      <c r="I95" s="6"/>
      <c r="J95" s="6"/>
      <c r="K95" s="40"/>
      <c r="L95" s="11"/>
    </row>
    <row r="96" spans="1:12" ht="24.75">
      <c r="A96" s="69" t="s">
        <v>52</v>
      </c>
      <c r="B96" s="6" t="s">
        <v>18</v>
      </c>
      <c r="C96" s="29">
        <v>640</v>
      </c>
      <c r="D96" s="29">
        <v>700</v>
      </c>
      <c r="E96" s="29">
        <v>580</v>
      </c>
      <c r="F96" s="29">
        <v>700</v>
      </c>
      <c r="G96" s="7">
        <f>((C96+D96)/2-(E96+F96)/2)/((E96+F96)/2)*100</f>
        <v>4.6875</v>
      </c>
      <c r="H96" s="5" t="s">
        <v>130</v>
      </c>
      <c r="I96" s="6"/>
      <c r="J96" s="6"/>
      <c r="K96" s="40"/>
      <c r="L96" s="11"/>
    </row>
    <row r="97" spans="1:12" ht="24.75">
      <c r="A97" s="69" t="s">
        <v>53</v>
      </c>
      <c r="B97" s="6" t="s">
        <v>18</v>
      </c>
      <c r="C97" s="29">
        <v>450</v>
      </c>
      <c r="D97" s="29">
        <v>600</v>
      </c>
      <c r="E97" s="29">
        <v>480</v>
      </c>
      <c r="F97" s="29">
        <v>600</v>
      </c>
      <c r="G97" s="7">
        <f t="shared" si="12"/>
        <v>-2.7777777777777777</v>
      </c>
      <c r="H97" s="5" t="s">
        <v>127</v>
      </c>
      <c r="I97" s="6"/>
      <c r="J97" s="6"/>
      <c r="K97" s="40"/>
      <c r="L97" s="11"/>
    </row>
    <row r="98" spans="1:12" ht="24.75">
      <c r="A98" s="69" t="s">
        <v>61</v>
      </c>
      <c r="B98" s="6" t="s">
        <v>18</v>
      </c>
      <c r="C98" s="29">
        <v>210</v>
      </c>
      <c r="D98" s="29">
        <v>220</v>
      </c>
      <c r="E98" s="29">
        <v>165</v>
      </c>
      <c r="F98" s="29">
        <v>190</v>
      </c>
      <c r="G98" s="7">
        <f t="shared" si="12"/>
        <v>21.12676056338028</v>
      </c>
      <c r="H98" s="5" t="s">
        <v>129</v>
      </c>
      <c r="I98" s="6"/>
      <c r="J98" s="6"/>
      <c r="K98" s="40"/>
      <c r="L98" s="11"/>
    </row>
    <row r="99" spans="1:12" ht="24.75">
      <c r="A99" s="69" t="s">
        <v>115</v>
      </c>
      <c r="B99" s="66" t="s">
        <v>73</v>
      </c>
      <c r="C99" s="29">
        <v>30</v>
      </c>
      <c r="D99" s="29">
        <v>70</v>
      </c>
      <c r="E99" s="29">
        <v>30</v>
      </c>
      <c r="F99" s="29">
        <v>80</v>
      </c>
      <c r="G99" s="7">
        <f>((C99+D99)/2-(E99+F99)/2)/((E99+F99)/2)*100</f>
        <v>-9.0909090909090917</v>
      </c>
      <c r="H99" s="5" t="s">
        <v>126</v>
      </c>
      <c r="I99" s="6"/>
      <c r="J99" s="6"/>
      <c r="K99" s="40"/>
      <c r="L99" s="11"/>
    </row>
    <row r="100" spans="1:12" ht="24.75">
      <c r="A100" s="69" t="s">
        <v>118</v>
      </c>
      <c r="B100" s="66" t="s">
        <v>18</v>
      </c>
      <c r="C100" s="29">
        <v>30</v>
      </c>
      <c r="D100" s="29">
        <v>90</v>
      </c>
      <c r="E100" s="29">
        <v>50</v>
      </c>
      <c r="F100" s="29">
        <v>100</v>
      </c>
      <c r="G100" s="7">
        <f>((C100+D100)/2-(E100+F100)/2)/((E100+F100)/2)*100</f>
        <v>-20</v>
      </c>
      <c r="H100" s="5" t="s">
        <v>134</v>
      </c>
      <c r="I100" s="6"/>
      <c r="J100" s="6"/>
      <c r="K100" s="40"/>
      <c r="L100" s="11"/>
    </row>
    <row r="101" spans="1:12" ht="24.75">
      <c r="A101" s="69" t="s">
        <v>70</v>
      </c>
      <c r="B101" s="6" t="s">
        <v>18</v>
      </c>
      <c r="C101" s="29">
        <v>100</v>
      </c>
      <c r="D101" s="29">
        <v>105</v>
      </c>
      <c r="E101" s="29">
        <v>98</v>
      </c>
      <c r="F101" s="29">
        <v>105</v>
      </c>
      <c r="G101" s="7">
        <f>((C101+D101)/2-(E101+F101)/2)/((E101+F101)/2)*100</f>
        <v>0.98522167487684731</v>
      </c>
      <c r="H101" s="5" t="s">
        <v>128</v>
      </c>
      <c r="I101" s="6"/>
      <c r="J101" s="6"/>
      <c r="K101" s="40"/>
      <c r="L101" s="11"/>
    </row>
    <row r="102" spans="1:12" ht="24.75">
      <c r="A102" s="83"/>
      <c r="B102" s="84"/>
      <c r="C102" s="78"/>
      <c r="D102" s="78"/>
      <c r="E102" s="78"/>
      <c r="F102" s="78"/>
      <c r="G102" s="38"/>
      <c r="H102" s="39"/>
      <c r="I102" s="40"/>
      <c r="J102" s="40"/>
      <c r="K102" s="40"/>
      <c r="L102" s="11"/>
    </row>
    <row r="103" spans="1:12" ht="24.75">
      <c r="A103" s="1"/>
      <c r="C103" s="14"/>
      <c r="D103" s="14"/>
      <c r="E103" s="13"/>
      <c r="F103" s="14"/>
      <c r="G103" s="38"/>
      <c r="H103" s="39"/>
      <c r="I103" s="40"/>
      <c r="J103" s="40"/>
      <c r="K103" s="40"/>
      <c r="L103" s="11"/>
    </row>
    <row r="104" spans="1:12" ht="24.75">
      <c r="A104" s="41"/>
      <c r="B104" s="42" t="s">
        <v>122</v>
      </c>
      <c r="C104" s="10"/>
      <c r="E104" s="41"/>
      <c r="F104" s="42" t="s">
        <v>111</v>
      </c>
      <c r="G104" s="10"/>
      <c r="I104" s="12"/>
      <c r="J104" s="13" t="s">
        <v>113</v>
      </c>
      <c r="K104" s="10"/>
    </row>
    <row r="105" spans="1:12" ht="24.75">
      <c r="A105" s="43"/>
      <c r="B105" s="42" t="s">
        <v>123</v>
      </c>
      <c r="C105" s="13"/>
      <c r="E105" s="43"/>
      <c r="F105" s="42" t="s">
        <v>112</v>
      </c>
      <c r="G105" s="13"/>
      <c r="I105" s="76"/>
      <c r="J105" s="13" t="s">
        <v>114</v>
      </c>
    </row>
    <row r="106" spans="1:12" ht="24.75">
      <c r="A106" s="1"/>
      <c r="B106" s="13"/>
      <c r="C106" s="14"/>
      <c r="D106" s="13"/>
      <c r="E106" s="14"/>
      <c r="F106" s="44"/>
      <c r="G106" s="46"/>
      <c r="H106" s="46"/>
      <c r="I106" s="45"/>
      <c r="J106" s="10"/>
      <c r="K106" s="10"/>
      <c r="L106" s="2"/>
    </row>
    <row r="107" spans="1:12" ht="19.5">
      <c r="A107" s="55" t="s">
        <v>90</v>
      </c>
      <c r="B107" s="53"/>
      <c r="C107" s="51"/>
      <c r="D107" s="53"/>
      <c r="E107" s="51"/>
      <c r="F107" s="51"/>
      <c r="G107" s="51"/>
      <c r="H107" s="52"/>
      <c r="I107" s="57"/>
      <c r="J107" s="2"/>
      <c r="K107" s="2"/>
      <c r="L107" s="2"/>
    </row>
    <row r="108" spans="1:12" ht="19.5">
      <c r="A108" s="54" t="s">
        <v>94</v>
      </c>
      <c r="B108" s="53"/>
      <c r="C108" s="51"/>
      <c r="D108" s="53"/>
      <c r="E108" s="51"/>
      <c r="F108" s="51"/>
      <c r="G108" s="53"/>
      <c r="H108" s="52"/>
      <c r="I108" s="57"/>
      <c r="J108" s="2"/>
      <c r="K108" s="2"/>
      <c r="L108" s="2"/>
    </row>
    <row r="109" spans="1:12" ht="19.5">
      <c r="A109" s="54" t="s">
        <v>120</v>
      </c>
      <c r="B109" s="53"/>
      <c r="C109" s="53"/>
      <c r="D109" s="53"/>
      <c r="E109" s="53"/>
      <c r="F109" s="51"/>
      <c r="G109" s="53"/>
      <c r="H109" s="52"/>
      <c r="I109" s="57"/>
      <c r="J109" s="2"/>
      <c r="K109" s="2"/>
      <c r="L109" s="2"/>
    </row>
    <row r="110" spans="1:12" ht="19.5">
      <c r="A110" s="54" t="s">
        <v>84</v>
      </c>
      <c r="B110" s="53"/>
      <c r="C110" s="53"/>
      <c r="D110" s="53"/>
      <c r="E110" s="53"/>
      <c r="F110" s="52"/>
      <c r="G110" s="52"/>
      <c r="H110" s="52"/>
      <c r="I110" s="57"/>
      <c r="J110" s="2"/>
      <c r="K110" s="2"/>
      <c r="L110" s="2"/>
    </row>
    <row r="111" spans="1:12" ht="19.5">
      <c r="A111" s="54" t="s">
        <v>121</v>
      </c>
      <c r="B111" s="53"/>
      <c r="C111" s="53"/>
      <c r="D111" s="53"/>
      <c r="E111" s="53"/>
      <c r="F111" s="53"/>
      <c r="G111" s="52"/>
      <c r="H111" s="52"/>
      <c r="I111" s="57"/>
      <c r="J111" s="2"/>
      <c r="K111" s="2"/>
      <c r="L111" s="2"/>
    </row>
    <row r="112" spans="1:12" ht="19.5">
      <c r="A112" s="54" t="s">
        <v>93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101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92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91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85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95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119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96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97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124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  <row r="122" spans="1:12" ht="19.5">
      <c r="A122" s="54"/>
      <c r="B122" s="53"/>
      <c r="C122" s="53"/>
      <c r="D122" s="53"/>
      <c r="E122" s="53"/>
      <c r="F122" s="53"/>
      <c r="G122" s="53"/>
      <c r="H122" s="56"/>
      <c r="I122" s="58"/>
      <c r="J122" s="11"/>
      <c r="K122" s="11"/>
      <c r="L122" s="11"/>
    </row>
    <row r="123" spans="1:12" ht="19.5">
      <c r="A123" s="55" t="s">
        <v>86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 t="s">
        <v>87</v>
      </c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4" t="s">
        <v>107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106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105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2026-03-01T05:59:10Z</cp:lastPrinted>
  <dcterms:created xsi:type="dcterms:W3CDTF">2021-06-05T07:13:00Z</dcterms:created>
  <dcterms:modified xsi:type="dcterms:W3CDTF">2026-03-09T07:49:18Z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