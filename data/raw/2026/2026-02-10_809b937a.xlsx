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February-2026\"/>
    </mc:Choice>
  </mc:AlternateContent>
  <xr:revisionPtr revIDLastSave="0" documentId="13_ncr:1_{B923DAC1-AE24-47E8-A6EC-661B690CE96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9" i="4" l="1"/>
  <c r="G88" i="4"/>
  <c r="G86" i="4"/>
  <c r="G87" i="4"/>
  <c r="G85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<sst xmlns="http://schemas.openxmlformats.org/spreadsheetml/2006/main" count="226" uniqueCount="128">
  <si>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</si>
  <si>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</si>
  <si>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</si>
  <si>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</si>
  <si>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</si>
  <si>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</si>
  <si>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</si>
  <si>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</si>
  <si>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</si>
  <si>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</si>
  <si>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</si>
  <si>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</si>
  <si>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</si>
  <si>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</si>
  <si>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</si>
  <si>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</si>
  <si>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</si>
  <si>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</si>
  <si>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</si>
  <si>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</si>
  <si>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</si>
  <si>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</si>
  <si>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</si>
  <si>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</si>
  <si>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</si>
  <si>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</si>
  <si>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</si>
  <si>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</si>
  <si>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</si>
  <si>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</si>
  <si>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</si>
  <si>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</si>
  <si>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</si>
  <si>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</si>
  <si>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</si>
  <si>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</si>
  <si>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</si>
  <si>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</si>
  <si>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</si>
  <si>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</si>
  <si>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</si>
  <si>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</si>
  <si>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</si>
  <si>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</si>
  <si>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</si>
  <si>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</si>
  <si>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</si>
  <si>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</si>
  <si>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</si>
  <si>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</si>
  <si>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</si>
  <si>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</si>
  <si>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</si>
  <si>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</si>
  <si>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</si>
  <si>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</si>
  <si>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</si>
  <si>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</si>
  <si>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</si>
  <si>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</si>
  <si>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</si>
  <si>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</si>
  <si>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</si>
  <si>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</si>
  <si>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</si>
  <si>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</si>
  <si>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</si>
  <si>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</si>
  <si>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</si>
  <si>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</si>
  <si>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</si>
  <si>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</si>
  <si>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</si>
  <si>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</si>
  <si>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</si>
  <si>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</si>
  <si>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</si>
  <si>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</si>
  <si>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</si>
  <si>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</si>
  <si>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</si>
  <si>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</si>
  <si>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</si>
  <si>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</si>
  <si>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</si>
  <si>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</si>
  <si>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</si>
  <si>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</si>
  <si>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</si>
  <si>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</si>
  <si>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</si>
  <si>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</si>
  <si>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</si>
  <si>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</si>
  <si>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</si>
  <si>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</si>
  <si>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</si>
  <si>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</si>
  <si>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</si>
  <si>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</si>
  <si>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</si>
  <si>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</si>
  <si>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</si>
  <si>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</si>
  <si>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</si>
  <si>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</si>
  <si>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</si>
  <si>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</si>
  <si>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</si>
  <si>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</si>
  <si>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</si>
  <si>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</si>
  <si>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</si>
  <si>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</si>
  <si>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</si>
  <si>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</si>
  <si>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</si>
  <si>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</si>
  <si>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</si>
  <si>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০৯-০২-২০২৬ তারিখে মূল্য হ্রাস পেয়েছে।</t>
  </si>
  <si>
    <t>স্মারক নং-২৬.০৫.০০০০.০১৭.৩১.০১.২৬-১২৮</t>
  </si>
  <si>
    <t xml:space="preserve">মঙ্গলবার ১০ ফেব্রুয়ারী ২০২৬ খ্রিঃ, ২৭ মাঘ ১৪৩২ বাংলা, ২১ শাবান ১৪৪৭ হিজরি </t>
  </si>
  <si>
    <t xml:space="preserve">   সিরিয়াল নংঃ     ০৪০</t>
  </si>
  <si>
    <t xml:space="preserve">যে সকল বাজার হতে তথ্য সংগ্রহ করা হয়েছেঃ- কাওরান বাজার, মোহাম্মদপুর টাউন হল, রামপুরা, নিউমার্কেট, মিরপুর-৬, মহাখালী  বাজার।   </t>
  </si>
  <si>
    <t>১০-০২-২০২৬ তারিখে মূল্য হ্রাস পেয়েছে।</t>
  </si>
  <si>
    <t>১০-০২-২০২৬ তারিখে মূল্য বৃদ্ধি পেয়েছে।</t>
  </si>
  <si>
    <t>(২)    পেঁয়াজ (দেশী), ‍মুরগী ব্রয়লার, চিনি   এর মূল্য বৃদ্ধি পেয়েছে।</t>
  </si>
  <si>
    <t>(১)    আলু, পেঁয়াজ (আম)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</si>
</sst>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9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6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304800</xdr:colOff>
      <xdr:row>90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5"/>
  <sheetViews>
    <sheetView tabSelected="1" topLeftCell="A7" zoomScale="112" zoomScaleNormal="112" workbookViewId="0">
      <selection activeCell="K16" sqref="K16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.796875" customWidth="1"/>
    <col min="11" max="11" width="9.3984375" customWidth="1"/>
    <col min="12" max="12" width="9.796875" customWidth="1"/>
  </cols>
  <sheetData>
    <row r="4" spans="1:12" ht="21.7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.7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.7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6" t="s">
        <v>122</v>
      </c>
      <c r="L6" s="87"/>
    </row>
    <row r="7" spans="1:12" ht="19.5" customHeight="1">
      <c r="A7" s="17"/>
      <c r="B7" s="8"/>
      <c r="C7" s="8"/>
      <c r="D7" s="17"/>
      <c r="E7" s="8"/>
      <c r="F7" s="8" t="s">
        <v>121</v>
      </c>
      <c r="G7" s="8"/>
      <c r="H7" s="8"/>
      <c r="I7" s="8"/>
      <c r="J7" s="8"/>
      <c r="K7" s="8"/>
      <c r="L7" s="49"/>
    </row>
    <row r="8" spans="1:12" ht="21.75">
      <c r="A8" s="20" t="s">
        <v>120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46063</v>
      </c>
    </row>
    <row r="9" spans="1:12" ht="21.75">
      <c r="A9" s="25" t="s">
        <v>4</v>
      </c>
      <c r="B9" s="26" t="s">
        <v>5</v>
      </c>
      <c r="C9" s="86" t="s">
        <v>6</v>
      </c>
      <c r="D9" s="87"/>
      <c r="E9" s="86" t="s">
        <v>7</v>
      </c>
      <c r="F9" s="87"/>
      <c r="G9" s="86" t="s">
        <v>8</v>
      </c>
      <c r="H9" s="87"/>
      <c r="I9" s="26" t="s">
        <v>9</v>
      </c>
      <c r="J9" s="86" t="s">
        <v>10</v>
      </c>
      <c r="K9" s="87"/>
      <c r="L9" s="27" t="s">
        <v>11</v>
      </c>
    </row>
    <row r="10" spans="1:12" ht="21.75">
      <c r="A10" s="25"/>
      <c r="B10" s="26"/>
      <c r="C10" s="88">
        <v>46063</v>
      </c>
      <c r="D10" s="87"/>
      <c r="E10" s="88">
        <v>46056</v>
      </c>
      <c r="F10" s="87"/>
      <c r="G10" s="88">
        <v>46032</v>
      </c>
      <c r="H10" s="87"/>
      <c r="I10" s="26" t="s">
        <v>12</v>
      </c>
      <c r="J10" s="88">
        <v>45698</v>
      </c>
      <c r="K10" s="87"/>
      <c r="L10" s="26" t="s">
        <v>12</v>
      </c>
    </row>
    <row r="11" spans="1:12" ht="21.7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.75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.75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64</v>
      </c>
      <c r="L13" s="31">
        <f>((C13+D13)/2-(J13+K13)/2)/((J13+K13)/2)*100</f>
        <v>3.278688524590164</v>
      </c>
    </row>
    <row r="14" spans="1:12" ht="21.75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50</v>
      </c>
      <c r="H14" s="29">
        <v>60</v>
      </c>
      <c r="I14" s="30">
        <f>((C14+D14)/2-(G14+H14)/2)/((G14+H14)/2)*100</f>
        <v>0</v>
      </c>
      <c r="J14" s="29">
        <v>50</v>
      </c>
      <c r="K14" s="29">
        <v>55</v>
      </c>
      <c r="L14" s="31">
        <f>((C14+D14)/2-(J14+K14)/2)/((J14+K14)/2)*100</f>
        <v>4.7619047619047619</v>
      </c>
    </row>
    <row r="15" spans="1:12" ht="18" customHeight="1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.75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.75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.75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.75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.75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174</v>
      </c>
      <c r="H21" s="29">
        <v>185</v>
      </c>
      <c r="I21" s="30">
        <f t="shared" ref="I21:I27" si="0">((C21+D21)/2-(G21+H21)/2)/((G21+H21)/2)*100</f>
        <v>0.2785515320334262</v>
      </c>
      <c r="J21" s="29">
        <v>180</v>
      </c>
      <c r="K21" s="29">
        <v>185</v>
      </c>
      <c r="L21" s="31">
        <f t="shared" ref="L21:L27" si="1">((C21+D21)/2-(J21+K21)/2)/((J21+K21)/2)*100</f>
        <v>-1.3698630136986301</v>
      </c>
    </row>
    <row r="22" spans="1:12" ht="21.75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.75">
      <c r="A23" s="69" t="s">
        <v>29</v>
      </c>
      <c r="B23" s="6" t="s">
        <v>31</v>
      </c>
      <c r="C23" s="29">
        <v>385</v>
      </c>
      <c r="D23" s="29">
        <v>395</v>
      </c>
      <c r="E23" s="29">
        <v>385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348</v>
      </c>
      <c r="K23" s="29">
        <v>350</v>
      </c>
      <c r="L23" s="31">
        <f t="shared" si="1"/>
        <v>11.74785100286533</v>
      </c>
    </row>
    <row r="24" spans="1:12" ht="21.75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.75">
      <c r="A25" s="69" t="s">
        <v>33</v>
      </c>
      <c r="B25" s="6" t="s">
        <v>28</v>
      </c>
      <c r="C25" s="29">
        <v>155</v>
      </c>
      <c r="D25" s="29">
        <v>162</v>
      </c>
      <c r="E25" s="29">
        <v>155</v>
      </c>
      <c r="F25" s="29">
        <v>162</v>
      </c>
      <c r="G25" s="29">
        <v>152</v>
      </c>
      <c r="H25" s="29">
        <v>162</v>
      </c>
      <c r="I25" s="30">
        <f t="shared" si="0"/>
        <v>0.95541401273885351</v>
      </c>
      <c r="J25" s="29">
        <v>148</v>
      </c>
      <c r="K25" s="29">
        <v>155</v>
      </c>
      <c r="L25" s="31">
        <f t="shared" si="1"/>
        <v>4.6204620462046204</v>
      </c>
    </row>
    <row r="26" spans="1:12" ht="21.75">
      <c r="A26" s="69" t="s">
        <v>104</v>
      </c>
      <c r="B26" s="6" t="s">
        <v>28</v>
      </c>
      <c r="C26" s="29">
        <v>160</v>
      </c>
      <c r="D26" s="29">
        <v>165</v>
      </c>
      <c r="E26" s="29">
        <v>160</v>
      </c>
      <c r="F26" s="29">
        <v>165</v>
      </c>
      <c r="G26" s="29">
        <v>155</v>
      </c>
      <c r="H26" s="29">
        <v>165</v>
      </c>
      <c r="I26" s="30">
        <f t="shared" si="0"/>
        <v>1.5625</v>
      </c>
      <c r="J26" s="29">
        <v>155</v>
      </c>
      <c r="K26" s="29">
        <v>160</v>
      </c>
      <c r="L26" s="31">
        <f t="shared" si="1"/>
        <v>3.1746031746031744</v>
      </c>
    </row>
    <row r="27" spans="1:12" ht="21.75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1050</v>
      </c>
      <c r="K27" s="29">
        <v>1060</v>
      </c>
      <c r="L27" s="31">
        <f t="shared" si="1"/>
        <v>0</v>
      </c>
    </row>
    <row r="28" spans="1:12" ht="21.75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.75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80</v>
      </c>
      <c r="H29" s="29">
        <v>105</v>
      </c>
      <c r="I29" s="30">
        <f t="shared" ref="I29:I35" si="2">((C29+D29)/2-(G29+H29)/2)/((G29+H29)/2)*100</f>
        <v>0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.75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110</v>
      </c>
      <c r="H30" s="29">
        <v>130</v>
      </c>
      <c r="I30" s="30">
        <f t="shared" si="2"/>
        <v>-4.1666666666666661</v>
      </c>
      <c r="J30" s="29">
        <v>110</v>
      </c>
      <c r="K30" s="29">
        <v>120</v>
      </c>
      <c r="L30" s="31">
        <f t="shared" si="3"/>
        <v>0</v>
      </c>
    </row>
    <row r="31" spans="1:12" ht="21.75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150</v>
      </c>
      <c r="H31" s="29">
        <v>160</v>
      </c>
      <c r="I31" s="30">
        <f t="shared" si="2"/>
        <v>0</v>
      </c>
      <c r="J31" s="29">
        <v>130</v>
      </c>
      <c r="K31" s="29">
        <v>140</v>
      </c>
      <c r="L31" s="31">
        <f t="shared" si="3"/>
        <v>14.814814814814813</v>
      </c>
    </row>
    <row r="32" spans="1:12" ht="21.75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120</v>
      </c>
      <c r="H32" s="29">
        <v>180</v>
      </c>
      <c r="I32" s="30">
        <f t="shared" si="2"/>
        <v>0</v>
      </c>
      <c r="J32" s="29">
        <v>130</v>
      </c>
      <c r="K32" s="29">
        <v>180</v>
      </c>
      <c r="L32" s="31">
        <f t="shared" si="3"/>
        <v>-3.225806451612903</v>
      </c>
    </row>
    <row r="33" spans="1:12" ht="21.75">
      <c r="A33" s="69" t="s">
        <v>40</v>
      </c>
      <c r="B33" s="6" t="s">
        <v>18</v>
      </c>
      <c r="C33" s="29">
        <v>50</v>
      </c>
      <c r="D33" s="29">
        <v>75</v>
      </c>
      <c r="E33" s="29">
        <v>50</v>
      </c>
      <c r="F33" s="29">
        <v>65</v>
      </c>
      <c r="G33" s="29">
        <v>50</v>
      </c>
      <c r="H33" s="29">
        <v>65</v>
      </c>
      <c r="I33" s="30">
        <f t="shared" si="2"/>
        <v>8.695652173913043</v>
      </c>
      <c r="J33" s="29">
        <v>70</v>
      </c>
      <c r="K33" s="29">
        <v>85</v>
      </c>
      <c r="L33" s="31">
        <f t="shared" si="3"/>
        <v>-19.35483870967742</v>
      </c>
    </row>
    <row r="34" spans="1:12" ht="21.75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80</v>
      </c>
      <c r="H34" s="29">
        <v>95</v>
      </c>
      <c r="I34" s="30">
        <f t="shared" si="2"/>
        <v>0</v>
      </c>
      <c r="J34" s="29">
        <v>110</v>
      </c>
      <c r="K34" s="29">
        <v>120</v>
      </c>
      <c r="L34" s="31">
        <f t="shared" si="3"/>
        <v>-23.913043478260871</v>
      </c>
    </row>
    <row r="35" spans="1:12" ht="21.75">
      <c r="A35" s="69" t="s">
        <v>113</v>
      </c>
      <c r="B35" s="6" t="s">
        <v>18</v>
      </c>
      <c r="C35" s="29">
        <v>20</v>
      </c>
      <c r="D35" s="29">
        <v>25</v>
      </c>
      <c r="E35" s="29">
        <v>20</v>
      </c>
      <c r="F35" s="29">
        <v>30</v>
      </c>
      <c r="G35" s="29">
        <v>25</v>
      </c>
      <c r="H35" s="29">
        <v>35</v>
      </c>
      <c r="I35" s="30">
        <f t="shared" si="2"/>
        <v>-25</v>
      </c>
      <c r="J35" s="29">
        <v>20</v>
      </c>
      <c r="K35" s="29">
        <v>25</v>
      </c>
      <c r="L35" s="31">
        <f t="shared" si="3"/>
        <v>0</v>
      </c>
    </row>
    <row r="36" spans="1:12" ht="21.75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.75">
      <c r="A37" s="82" t="s">
        <v>114</v>
      </c>
      <c r="B37" s="6" t="s">
        <v>18</v>
      </c>
      <c r="C37" s="29">
        <v>50</v>
      </c>
      <c r="D37" s="29">
        <v>60</v>
      </c>
      <c r="E37" s="29">
        <v>45</v>
      </c>
      <c r="F37" s="29">
        <v>60</v>
      </c>
      <c r="G37" s="29">
        <v>60</v>
      </c>
      <c r="H37" s="29">
        <v>70</v>
      </c>
      <c r="I37" s="30">
        <f t="shared" ref="I37:I52" si="4">((C37+D37)/2-(G37+H37)/2)/((G37+H37)/2)*100</f>
        <v>-15.384615384615385</v>
      </c>
      <c r="J37" s="29">
        <v>40</v>
      </c>
      <c r="K37" s="29">
        <v>50</v>
      </c>
      <c r="L37" s="31">
        <f t="shared" ref="L37:L52" si="5">((C37+D37)/2-(J37+K37)/2)/((J37+K37)/2)*100</f>
        <v>22.222222222222221</v>
      </c>
    </row>
    <row r="38" spans="1:12" ht="21.75">
      <c r="A38" s="69" t="s">
        <v>43</v>
      </c>
      <c r="B38" s="6" t="s">
        <v>18</v>
      </c>
      <c r="C38" s="29">
        <v>60</v>
      </c>
      <c r="D38" s="29">
        <v>70</v>
      </c>
      <c r="E38" s="29">
        <v>60</v>
      </c>
      <c r="F38" s="29">
        <v>80</v>
      </c>
      <c r="G38" s="29">
        <v>70</v>
      </c>
      <c r="H38" s="29">
        <v>80</v>
      </c>
      <c r="I38" s="30">
        <f t="shared" si="4"/>
        <v>-13.333333333333334</v>
      </c>
      <c r="J38" s="29">
        <v>55</v>
      </c>
      <c r="K38" s="29">
        <v>65</v>
      </c>
      <c r="L38" s="31">
        <f t="shared" si="5"/>
        <v>8.3333333333333321</v>
      </c>
    </row>
    <row r="39" spans="1:12" ht="21.75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150</v>
      </c>
      <c r="K39" s="29">
        <v>240</v>
      </c>
      <c r="L39" s="31">
        <f t="shared" si="5"/>
        <v>-43.589743589743591</v>
      </c>
    </row>
    <row r="40" spans="1:12" ht="21.75">
      <c r="A40" s="69" t="s">
        <v>45</v>
      </c>
      <c r="B40" s="6" t="s">
        <v>18</v>
      </c>
      <c r="C40" s="29">
        <v>180</v>
      </c>
      <c r="D40" s="29">
        <v>200</v>
      </c>
      <c r="E40" s="29">
        <v>180</v>
      </c>
      <c r="F40" s="29">
        <v>200</v>
      </c>
      <c r="G40" s="29">
        <v>160</v>
      </c>
      <c r="H40" s="29">
        <v>200</v>
      </c>
      <c r="I40" s="30">
        <f t="shared" si="4"/>
        <v>5.5555555555555554</v>
      </c>
      <c r="J40" s="29">
        <v>210</v>
      </c>
      <c r="K40" s="29">
        <v>240</v>
      </c>
      <c r="L40" s="31">
        <f t="shared" si="5"/>
        <v>-15.555555555555555</v>
      </c>
    </row>
    <row r="41" spans="1:12" ht="21.75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.75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.75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.75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.75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150</v>
      </c>
      <c r="I45" s="30">
        <f t="shared" si="4"/>
        <v>36</v>
      </c>
      <c r="J45" s="29">
        <v>90</v>
      </c>
      <c r="K45" s="29">
        <v>150</v>
      </c>
      <c r="L45" s="31">
        <f t="shared" si="5"/>
        <v>41.666666666666671</v>
      </c>
    </row>
    <row r="46" spans="1:12" ht="21.75">
      <c r="A46" s="69" t="s">
        <v>51</v>
      </c>
      <c r="B46" s="6" t="s">
        <v>18</v>
      </c>
      <c r="C46" s="29">
        <v>140</v>
      </c>
      <c r="D46" s="29">
        <v>220</v>
      </c>
      <c r="E46" s="29">
        <v>140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.75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720</v>
      </c>
      <c r="I47" s="30">
        <f t="shared" si="4"/>
        <v>0</v>
      </c>
      <c r="J47" s="29">
        <v>650</v>
      </c>
      <c r="K47" s="29">
        <v>750</v>
      </c>
      <c r="L47" s="31">
        <f t="shared" si="5"/>
        <v>-7.1428571428571423</v>
      </c>
    </row>
    <row r="48" spans="1:12" ht="21.75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.75">
      <c r="A49" s="69" t="s">
        <v>54</v>
      </c>
      <c r="B49" s="6" t="s">
        <v>18</v>
      </c>
      <c r="C49" s="29">
        <v>1300</v>
      </c>
      <c r="D49" s="29">
        <v>1600</v>
      </c>
      <c r="E49" s="29">
        <v>1300</v>
      </c>
      <c r="F49" s="29">
        <v>1600</v>
      </c>
      <c r="G49" s="29">
        <v>1350</v>
      </c>
      <c r="H49" s="29">
        <v>1600</v>
      </c>
      <c r="I49" s="30">
        <f t="shared" si="4"/>
        <v>-1.6949152542372881</v>
      </c>
      <c r="J49" s="29">
        <v>1400</v>
      </c>
      <c r="K49" s="29">
        <v>1600</v>
      </c>
      <c r="L49" s="31">
        <f t="shared" si="5"/>
        <v>-3.3333333333333335</v>
      </c>
    </row>
    <row r="50" spans="1:12" ht="21.75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.75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.75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220</v>
      </c>
      <c r="I52" s="30">
        <f t="shared" si="4"/>
        <v>0</v>
      </c>
      <c r="J52" s="29">
        <v>140</v>
      </c>
      <c r="K52" s="29">
        <v>220</v>
      </c>
      <c r="L52" s="31">
        <f t="shared" si="5"/>
        <v>5.5555555555555554</v>
      </c>
    </row>
    <row r="53" spans="1:12" ht="21.75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.75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.75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.75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.75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.75">
      <c r="A58" s="69" t="s">
        <v>61</v>
      </c>
      <c r="B58" s="6" t="s">
        <v>18</v>
      </c>
      <c r="C58" s="29">
        <v>170</v>
      </c>
      <c r="D58" s="29">
        <v>190</v>
      </c>
      <c r="E58" s="29">
        <v>170</v>
      </c>
      <c r="F58" s="29">
        <v>185</v>
      </c>
      <c r="G58" s="29">
        <v>150</v>
      </c>
      <c r="H58" s="29">
        <v>170</v>
      </c>
      <c r="I58" s="30">
        <f t="shared" si="6"/>
        <v>12.5</v>
      </c>
      <c r="J58" s="29">
        <v>180</v>
      </c>
      <c r="K58" s="29">
        <v>210</v>
      </c>
      <c r="L58" s="31">
        <f t="shared" si="7"/>
        <v>-7.6923076923076925</v>
      </c>
    </row>
    <row r="59" spans="1:12" ht="21.75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.75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.75">
      <c r="A68" s="69" t="s">
        <v>4</v>
      </c>
      <c r="B68" s="6" t="s">
        <v>5</v>
      </c>
      <c r="C68" s="86" t="s">
        <v>6</v>
      </c>
      <c r="D68" s="87"/>
      <c r="E68" s="86" t="s">
        <v>7</v>
      </c>
      <c r="F68" s="87"/>
      <c r="G68" s="86" t="s">
        <v>8</v>
      </c>
      <c r="H68" s="87"/>
      <c r="I68" s="26" t="s">
        <v>9</v>
      </c>
      <c r="J68" s="86" t="s">
        <v>10</v>
      </c>
      <c r="K68" s="87"/>
      <c r="L68" s="26" t="s">
        <v>11</v>
      </c>
    </row>
    <row r="69" spans="1:12" ht="18" customHeight="1">
      <c r="A69" s="73"/>
      <c r="B69" s="64"/>
      <c r="C69" s="88">
        <v>46063</v>
      </c>
      <c r="D69" s="87"/>
      <c r="E69" s="88">
        <v>46056</v>
      </c>
      <c r="F69" s="87"/>
      <c r="G69" s="88">
        <v>46032</v>
      </c>
      <c r="H69" s="87"/>
      <c r="I69" s="26" t="s">
        <v>12</v>
      </c>
      <c r="J69" s="88">
        <v>45698</v>
      </c>
      <c r="K69" s="87"/>
      <c r="L69" s="26" t="s">
        <v>12</v>
      </c>
    </row>
    <row r="70" spans="1:12" ht="21.7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>
      <c r="A71" s="69" t="s">
        <v>70</v>
      </c>
      <c r="B71" s="6" t="s">
        <v>18</v>
      </c>
      <c r="C71" s="29">
        <v>100</v>
      </c>
      <c r="D71" s="29">
        <v>105</v>
      </c>
      <c r="E71" s="29">
        <v>98</v>
      </c>
      <c r="F71" s="29">
        <v>105</v>
      </c>
      <c r="G71" s="29">
        <v>100</v>
      </c>
      <c r="H71" s="29">
        <v>115</v>
      </c>
      <c r="I71" s="30">
        <f>((C71+D71)/2-(G71+H71)/2)/((G71+H71)/2)*100</f>
        <v>-4.6511627906976747</v>
      </c>
      <c r="J71" s="29">
        <v>120</v>
      </c>
      <c r="K71" s="29">
        <v>125</v>
      </c>
      <c r="L71" s="31">
        <f t="shared" ref="L71:L77" si="8">((C71+D71)/2-(J71+K71)/2)/((J71+K71)/2)*100</f>
        <v>-16.326530612244898</v>
      </c>
    </row>
    <row r="72" spans="1:12" ht="21.75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.75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40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46</v>
      </c>
      <c r="L74" s="31">
        <f t="shared" si="8"/>
        <v>-17.777777777777779</v>
      </c>
    </row>
    <row r="75" spans="1:12" ht="21.75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.75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80500</v>
      </c>
      <c r="H76" s="29">
        <v>85000</v>
      </c>
      <c r="I76" s="30">
        <f t="shared" si="9"/>
        <v>0</v>
      </c>
      <c r="J76" s="29">
        <v>91000</v>
      </c>
      <c r="K76" s="29">
        <v>92000</v>
      </c>
      <c r="L76" s="31">
        <f t="shared" si="8"/>
        <v>-9.5628415300546443</v>
      </c>
    </row>
    <row r="77" spans="1:12" ht="21.75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>
      <c r="A78" s="89" t="s">
        <v>123</v>
      </c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</row>
    <row r="79" spans="1:12" ht="21.7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127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6"/>
      <c r="B81" s="1" t="s">
        <v>126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.7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.7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.75">
      <c r="A84" s="5" t="s">
        <v>80</v>
      </c>
      <c r="B84" s="6" t="s">
        <v>81</v>
      </c>
      <c r="C84" s="91" t="s">
        <v>6</v>
      </c>
      <c r="D84" s="92"/>
      <c r="E84" s="93" t="s">
        <v>82</v>
      </c>
      <c r="F84" s="94"/>
      <c r="G84" s="77" t="s">
        <v>12</v>
      </c>
      <c r="H84" s="91" t="s">
        <v>83</v>
      </c>
      <c r="I84" s="95"/>
      <c r="J84" s="92"/>
      <c r="K84" s="50"/>
      <c r="L84" s="17"/>
    </row>
    <row r="85" spans="1:12" ht="21.75">
      <c r="A85" s="69" t="s">
        <v>113</v>
      </c>
      <c r="B85" s="6" t="s">
        <v>18</v>
      </c>
      <c r="C85" s="29">
        <v>20</v>
      </c>
      <c r="D85" s="29">
        <v>25</v>
      </c>
      <c r="E85" s="29">
        <v>20</v>
      </c>
      <c r="F85" s="29">
        <v>30</v>
      </c>
      <c r="G85" s="7">
        <f>((C85+D85)/2-(E85+F85)/2)/((E85+F85)/2)*100</f>
        <v>-10</v>
      </c>
      <c r="H85" s="5" t="s">
        <v>119</v>
      </c>
      <c r="I85" s="6"/>
      <c r="J85" s="6"/>
      <c r="K85" s="50"/>
      <c r="L85" s="17"/>
    </row>
    <row r="86" spans="1:12" ht="21.75">
      <c r="A86" s="82" t="s">
        <v>114</v>
      </c>
      <c r="B86" s="6" t="s">
        <v>18</v>
      </c>
      <c r="C86" s="29">
        <v>50</v>
      </c>
      <c r="D86" s="29">
        <v>60</v>
      </c>
      <c r="E86" s="29">
        <v>45</v>
      </c>
      <c r="F86" s="29">
        <v>60</v>
      </c>
      <c r="G86" s="7">
        <f t="shared" ref="G86" si="10">((C86+D86)/2-(E86+F86)/2)/((E86+F86)/2)*100</f>
        <v>4.7619047619047619</v>
      </c>
      <c r="H86" s="5" t="s">
        <v>125</v>
      </c>
      <c r="I86" s="6"/>
      <c r="J86" s="6"/>
      <c r="K86" s="50"/>
      <c r="L86" s="17"/>
    </row>
    <row r="87" spans="1:12" ht="21.75">
      <c r="A87" s="69" t="s">
        <v>43</v>
      </c>
      <c r="B87" s="6" t="s">
        <v>18</v>
      </c>
      <c r="C87" s="29">
        <v>60</v>
      </c>
      <c r="D87" s="29">
        <v>70</v>
      </c>
      <c r="E87" s="29">
        <v>60</v>
      </c>
      <c r="F87" s="29">
        <v>80</v>
      </c>
      <c r="G87" s="7">
        <f>((C87+D87)/2-(E87+F87)/2)/((E87+F87)/2)*100</f>
        <v>-7.1428571428571423</v>
      </c>
      <c r="H87" s="5" t="s">
        <v>124</v>
      </c>
      <c r="I87" s="6"/>
      <c r="J87" s="6"/>
      <c r="K87" s="50"/>
      <c r="L87" s="17"/>
    </row>
    <row r="88" spans="1:12" ht="21.75">
      <c r="A88" s="69" t="s">
        <v>61</v>
      </c>
      <c r="B88" s="6" t="s">
        <v>18</v>
      </c>
      <c r="C88" s="29">
        <v>170</v>
      </c>
      <c r="D88" s="29">
        <v>190</v>
      </c>
      <c r="E88" s="29">
        <v>170</v>
      </c>
      <c r="F88" s="29">
        <v>185</v>
      </c>
      <c r="G88" s="7">
        <f>((C88+D88)/2-(E88+F88)/2)/((E88+F88)/2)*100</f>
        <v>1.4084507042253522</v>
      </c>
      <c r="H88" s="5" t="s">
        <v>125</v>
      </c>
      <c r="I88" s="6"/>
      <c r="J88" s="6"/>
      <c r="K88" s="50"/>
      <c r="L88" s="17"/>
    </row>
    <row r="89" spans="1:12" ht="24.75">
      <c r="A89" s="69" t="s">
        <v>70</v>
      </c>
      <c r="B89" s="6" t="s">
        <v>18</v>
      </c>
      <c r="C89" s="29">
        <v>100</v>
      </c>
      <c r="D89" s="29">
        <v>105</v>
      </c>
      <c r="E89" s="29">
        <v>98</v>
      </c>
      <c r="F89" s="29">
        <v>105</v>
      </c>
      <c r="G89" s="7">
        <f>((C89+D89)/2-(E89+F89)/2)/((E89+F89)/2)*100</f>
        <v>0.98522167487684731</v>
      </c>
      <c r="H89" s="5" t="s">
        <v>125</v>
      </c>
      <c r="I89" s="6"/>
      <c r="J89" s="6"/>
      <c r="K89" s="40"/>
      <c r="L89" s="11"/>
    </row>
    <row r="90" spans="1:12" ht="24.75">
      <c r="A90" s="72"/>
      <c r="B90" s="3"/>
      <c r="C90" s="78"/>
      <c r="D90" s="78"/>
      <c r="E90" s="78"/>
      <c r="F90" s="78"/>
      <c r="G90" s="38"/>
      <c r="H90" s="39"/>
      <c r="I90" s="40"/>
      <c r="J90" s="40"/>
      <c r="K90" s="40"/>
      <c r="L90" s="11"/>
    </row>
    <row r="91" spans="1:12" ht="24.75">
      <c r="A91" s="1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4.75">
      <c r="A92" s="41"/>
      <c r="B92" s="42" t="s">
        <v>115</v>
      </c>
      <c r="C92" s="10"/>
      <c r="E92" s="83"/>
      <c r="F92" s="84"/>
      <c r="G92" s="85"/>
      <c r="I92" s="12"/>
      <c r="J92" s="13" t="s">
        <v>117</v>
      </c>
      <c r="K92" s="10"/>
    </row>
    <row r="93" spans="1:12" ht="24.75">
      <c r="A93" s="43"/>
      <c r="B93" s="42" t="s">
        <v>116</v>
      </c>
      <c r="C93" s="13"/>
      <c r="E93" s="43"/>
      <c r="F93" s="84"/>
      <c r="G93" s="85"/>
      <c r="I93" s="76"/>
      <c r="J93" s="13" t="s">
        <v>118</v>
      </c>
    </row>
    <row r="94" spans="1:12" ht="24.75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9.5">
      <c r="A95" s="55" t="s">
        <v>91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9.5">
      <c r="A96" s="54" t="s">
        <v>97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9.5">
      <c r="A97" s="54" t="s">
        <v>96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9.5">
      <c r="A98" s="54" t="s">
        <v>84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9.5">
      <c r="A99" s="54" t="s">
        <v>95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9.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105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93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92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85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99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98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86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5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110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109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  <mergeCell ref="J9:K9"/>
    <mergeCell ref="C10:D10"/>
    <mergeCell ref="E10:F10"/>
    <mergeCell ref="G10:H10"/>
    <mergeCell ref="J10:K10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2026-02-01T07:48:31Z</cp:lastPrinted>
  <dcterms:created xsi:type="dcterms:W3CDTF">2021-06-05T07:13:00Z</dcterms:created>
  <dcterms:modified xsi:type="dcterms:W3CDTF">2026-02-10T08:48:40Z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