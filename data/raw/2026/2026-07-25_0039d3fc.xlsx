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8_{A187E350-C17E-4CBB-A802-86DD852A3DD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97" i="4"/>
  <c r="G91" i="4"/>
  <c r="G94" i="4"/>
  <c r="G89" i="4"/>
  <c r="G87" i="4"/>
  <c r="G90" i="4"/>
  <c r="G93" i="4"/>
  <c r="G88" i="4"/>
  <c r="G92" i="4"/>
  <c r="G95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<sst xmlns="http://schemas.openxmlformats.org/spreadsheetml/2006/main" count="250" uniqueCount="135">
  <si>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</si>
  <si>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</si>
  <si>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</si>
  <si>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</si>
  <si>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</si>
  <si>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</si>
  <si>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</si>
  <si>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</si>
  <si>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</si>
  <si>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</si>
  <si>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</si>
  <si>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</si>
  <si>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</si>
  <si>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</si>
  <si>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</si>
  <si>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</si>
  <si>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</si>
  <si>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</si>
  <si>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</si>
  <si>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</si>
  <si>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</si>
  <si>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</si>
  <si>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</si>
  <si>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</si>
  <si>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</si>
  <si>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</si>
  <si>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</si>
  <si>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</si>
  <si>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</si>
  <si>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</si>
  <si>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</si>
  <si>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</si>
  <si>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</si>
  <si>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</si>
  <si>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</si>
  <si>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</si>
  <si>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</si>
  <si>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</si>
  <si>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</si>
  <si>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</si>
  <si>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</si>
  <si>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</si>
  <si>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</si>
  <si>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</si>
  <si>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</si>
  <si>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</si>
  <si>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</si>
  <si>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</si>
  <si>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</si>
  <si>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</si>
  <si>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</si>
  <si>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</si>
  <si>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</si>
  <si>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</si>
  <si>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</si>
  <si>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</si>
  <si>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</si>
  <si>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</si>
  <si>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</si>
  <si>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</si>
  <si>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</si>
  <si>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</si>
  <si>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</si>
  <si>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</si>
  <si>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</si>
  <si>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</si>
  <si>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</si>
  <si>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</si>
  <si>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</si>
  <si>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</si>
  <si>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</si>
  <si>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</si>
  <si>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</si>
  <si>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</si>
  <si>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</si>
  <si>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</si>
  <si>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</si>
  <si>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</si>
  <si>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</si>
  <si>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</si>
  <si>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</si>
  <si>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</si>
  <si>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</si>
  <si>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</si>
  <si>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</si>
  <si>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</si>
  <si>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</si>
  <si>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</si>
  <si>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</si>
  <si>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</si>
  <si>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</si>
  <si>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</si>
  <si>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</si>
  <si>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</si>
  <si>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</si>
  <si>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</si>
  <si>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</si>
  <si>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</si>
  <si>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</si>
  <si>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</si>
  <si>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</si>
  <si>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</si>
  <si>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</si>
  <si>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</si>
  <si>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</si>
  <si>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</si>
  <si>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</si>
  <si>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</si>
  <si>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</si>
  <si>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</si>
  <si>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</si>
  <si>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</si>
  <si>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</si>
  <si>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</si>
  <si>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</si>
  <si>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</si>
  <si>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</si>
  <si>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</si>
  <si>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</si>
  <si>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</si>
  <si>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</si>
  <si>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</si>
  <si>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১৯-০৭-২০২৬ তারিখে মূল্য বৃদ্ধি পেয়েছে।</t>
  </si>
  <si>
    <t>২০-০৭-২০২৬ তারিখে মূল্য বৃদ্ধি পেয়েছে।</t>
  </si>
  <si>
    <t>২০-০৭-২০২৬ তারিখে মূল্য হ্রাস পেয়েছে।</t>
  </si>
  <si>
    <t>২১-০৭-২০২৬ তারিখে মূল্য হ্রাস পেয়েছে।</t>
  </si>
  <si>
    <t>২১-০৭-২০২৬ তারিখে মূল্য বৃদ্ধি পেয়েছে।</t>
  </si>
  <si>
    <t>২২-০৭-২০২৬ তারিখে মূল্য বৃদ্ধি পেয়েছে।</t>
  </si>
  <si>
    <t>২৩-০৭-২০২৬ তারিখে মূল্য বৃদ্ধি পেয়েছে।</t>
  </si>
  <si>
    <t xml:space="preserve">নং-২৬.০৫.০০০০.০১৭.৩১.০১.২৬-৫৮৮                                                                                                           তারিখঃ ২৫-০৭-২০২৬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</si>
  <si>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১৮১</t>
  </si>
  <si>
    <t xml:space="preserve">শনিবার ২৫ জুলাই ২০২৬ খ্রিঃ, ১০ শ্রাবণ ১৪৩৩ বাংলা, ১০ সফর ১৪৪৮ হিজরি </t>
  </si>
  <si>
    <t>(২)     মসুর ডাল (বড়), রশুন (দেশী), জিরা   এর মূল্য হ্রাস পেয়েছে।</t>
  </si>
  <si>
    <t>(১)    আটা (খোলা), ময়দা (খোলা), সয়াবিন তেল লুজ, পেঁয়াজ (দেশী), রশুন (আম), আদা (আম), কাঁচামরিচ, শসা, ডিম   এর মূল্য বৃদ্ধি পেয়েছে।</t>
  </si>
  <si>
    <t>২৪-০৭-২০২৬ তারিখে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</si>
</sst>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zoomScale="93" zoomScaleNormal="93" workbookViewId="0">
      <selection activeCell="H88" sqref="H88:J88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1" t="s">
        <v>119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1:18">
      <c r="A2" s="82" t="s">
        <v>120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8">
      <c r="A3" s="83" t="s">
        <v>130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>
      <c r="A4" s="84" t="s">
        <v>131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P4" s="54"/>
      <c r="Q4" s="54"/>
      <c r="R4" s="54"/>
    </row>
    <row r="5" spans="1:18">
      <c r="A5" s="85" t="s">
        <v>129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P5" s="55"/>
      <c r="Q5" s="56"/>
    </row>
    <row r="6" spans="1:18" s="28" customFormat="1">
      <c r="A6" s="75" t="s">
        <v>1</v>
      </c>
      <c r="B6" s="75" t="s">
        <v>2</v>
      </c>
      <c r="C6" s="69" t="s">
        <v>3</v>
      </c>
      <c r="D6" s="71"/>
      <c r="E6" s="69" t="s">
        <v>4</v>
      </c>
      <c r="F6" s="71"/>
      <c r="G6" s="69" t="s">
        <v>5</v>
      </c>
      <c r="H6" s="71"/>
      <c r="I6" s="25" t="s">
        <v>6</v>
      </c>
      <c r="J6" s="69" t="s">
        <v>7</v>
      </c>
      <c r="K6" s="71"/>
      <c r="L6" s="27" t="s">
        <v>8</v>
      </c>
      <c r="M6" s="52"/>
    </row>
    <row r="7" spans="1:18" s="28" customFormat="1">
      <c r="A7" s="76"/>
      <c r="B7" s="76"/>
      <c r="C7" s="77">
        <v>46228</v>
      </c>
      <c r="D7" s="78"/>
      <c r="E7" s="77">
        <v>46221</v>
      </c>
      <c r="F7" s="78"/>
      <c r="G7" s="77">
        <v>46198</v>
      </c>
      <c r="H7" s="78"/>
      <c r="I7" s="25" t="s">
        <v>9</v>
      </c>
      <c r="J7" s="79">
        <v>45863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0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8">
        <v>50</v>
      </c>
      <c r="K15" s="58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185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0.26315789473684209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48</v>
      </c>
      <c r="D34" s="42">
        <v>60</v>
      </c>
      <c r="E34" s="42">
        <v>40</v>
      </c>
      <c r="F34" s="42">
        <v>45</v>
      </c>
      <c r="G34" s="42">
        <v>40</v>
      </c>
      <c r="H34" s="42">
        <v>45</v>
      </c>
      <c r="I34" s="49">
        <f t="shared" ref="I34:I49" si="5">((C34+D34)/2-(G34+H34)/2)/((G34+H34)/2)*100</f>
        <v>27.058823529411764</v>
      </c>
      <c r="J34" s="58">
        <v>55</v>
      </c>
      <c r="K34" s="58">
        <v>65</v>
      </c>
      <c r="L34" s="50">
        <f t="shared" ref="L34:L49" si="6">((C34+D34)/2-(J34+K34)/2)/((J34+K34)/2)*100</f>
        <v>-10</v>
      </c>
      <c r="M34" s="52">
        <f>((C34+D34)/2-(E34+F34)/2)/((E34+F34)/2)*100</f>
        <v>27.058823529411764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70</v>
      </c>
      <c r="H36" s="40">
        <v>140</v>
      </c>
      <c r="I36" s="49">
        <f t="shared" si="5"/>
        <v>9.5238095238095237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220</v>
      </c>
      <c r="E37" s="42">
        <v>140</v>
      </c>
      <c r="F37" s="40">
        <v>220</v>
      </c>
      <c r="G37" s="42">
        <v>120</v>
      </c>
      <c r="H37" s="40">
        <v>220</v>
      </c>
      <c r="I37" s="49">
        <f t="shared" si="5"/>
        <v>14.705882352941178</v>
      </c>
      <c r="J37" s="58">
        <v>160</v>
      </c>
      <c r="K37" s="58">
        <v>200</v>
      </c>
      <c r="L37" s="50">
        <f t="shared" si="6"/>
        <v>8.3333333333333321</v>
      </c>
      <c r="M37" s="52">
        <f t="shared" si="0"/>
        <v>8.3333333333333321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240</v>
      </c>
      <c r="K38" s="58">
        <v>350</v>
      </c>
      <c r="L38" s="50">
        <f t="shared" si="6"/>
        <v>15.254237288135593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150</v>
      </c>
      <c r="D43" s="40">
        <v>200</v>
      </c>
      <c r="E43" s="40">
        <v>120</v>
      </c>
      <c r="F43" s="40">
        <v>200</v>
      </c>
      <c r="G43" s="40">
        <v>120</v>
      </c>
      <c r="H43" s="40">
        <v>180</v>
      </c>
      <c r="I43" s="49">
        <f t="shared" si="5"/>
        <v>16.666666666666664</v>
      </c>
      <c r="J43" s="58">
        <v>120</v>
      </c>
      <c r="K43" s="58">
        <v>180</v>
      </c>
      <c r="L43" s="50">
        <f t="shared" si="6"/>
        <v>16.666666666666664</v>
      </c>
      <c r="M43" s="52">
        <f t="shared" si="0"/>
        <v>9.375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500</v>
      </c>
      <c r="K45" s="58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890</v>
      </c>
      <c r="H58" s="40">
        <v>940</v>
      </c>
      <c r="I58" s="49">
        <f>((C58+D58)/2-(G59+H59)/2)/((G59+H59)/2)*100</f>
        <v>-5.9782608695652177</v>
      </c>
      <c r="J58" s="58">
        <v>720</v>
      </c>
      <c r="K58" s="58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890</v>
      </c>
      <c r="H59" s="40">
        <v>950</v>
      </c>
      <c r="I59" s="49">
        <f>((C59+D59)/2-(G60+H60)/2)/((G60+H60)/2)*100</f>
        <v>-0.5617977528089888</v>
      </c>
      <c r="J59" s="58">
        <v>840</v>
      </c>
      <c r="K59" s="58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850</v>
      </c>
      <c r="H60" s="40">
        <v>930</v>
      </c>
      <c r="I60" s="49">
        <f>((C60+D60)/2-(G61+H61)/2)/((G61+H61)/2)*100</f>
        <v>-5.4945054945054945</v>
      </c>
      <c r="J60" s="58">
        <v>830</v>
      </c>
      <c r="K60" s="58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890</v>
      </c>
      <c r="H61" s="40">
        <v>930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5" t="s">
        <v>1</v>
      </c>
      <c r="B65" s="75" t="s">
        <v>2</v>
      </c>
      <c r="C65" s="69" t="s">
        <v>3</v>
      </c>
      <c r="D65" s="71"/>
      <c r="E65" s="69" t="s">
        <v>4</v>
      </c>
      <c r="F65" s="71"/>
      <c r="G65" s="69" t="s">
        <v>5</v>
      </c>
      <c r="H65" s="71"/>
      <c r="I65" s="25" t="s">
        <v>6</v>
      </c>
      <c r="J65" s="69" t="s">
        <v>7</v>
      </c>
      <c r="K65" s="71"/>
      <c r="L65" s="25" t="s">
        <v>8</v>
      </c>
    </row>
    <row r="66" spans="1:13" ht="18" customHeight="1">
      <c r="A66" s="76"/>
      <c r="B66" s="76"/>
      <c r="C66" s="77">
        <v>46228</v>
      </c>
      <c r="D66" s="78"/>
      <c r="E66" s="77">
        <v>46221</v>
      </c>
      <c r="F66" s="78"/>
      <c r="G66" s="77">
        <v>46198</v>
      </c>
      <c r="H66" s="78"/>
      <c r="I66" s="25" t="s">
        <v>9</v>
      </c>
      <c r="J66" s="79">
        <v>45863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-60</v>
      </c>
      <c r="J70" s="58">
        <v>38</v>
      </c>
      <c r="K70" s="58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160</v>
      </c>
      <c r="D72" s="40">
        <v>250</v>
      </c>
      <c r="E72" s="40">
        <v>120</v>
      </c>
      <c r="F72" s="40">
        <v>200</v>
      </c>
      <c r="G72" s="40">
        <v>80</v>
      </c>
      <c r="H72" s="40">
        <v>120</v>
      </c>
      <c r="I72" s="49">
        <f t="shared" si="11"/>
        <v>105</v>
      </c>
      <c r="J72" s="48">
        <v>0</v>
      </c>
      <c r="K72" s="48">
        <v>0</v>
      </c>
      <c r="L72" s="50" t="e">
        <f t="shared" si="9"/>
        <v>#DIV/0!</v>
      </c>
      <c r="M72" s="52">
        <f t="shared" si="12"/>
        <v>28.125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120</v>
      </c>
      <c r="E73" s="40">
        <v>80</v>
      </c>
      <c r="F73" s="40">
        <v>120</v>
      </c>
      <c r="G73" s="40">
        <v>60</v>
      </c>
      <c r="H73" s="40">
        <v>80</v>
      </c>
      <c r="I73" s="49">
        <f t="shared" si="11"/>
        <v>42.857142857142854</v>
      </c>
      <c r="J73" s="48">
        <v>40</v>
      </c>
      <c r="K73" s="48">
        <v>120</v>
      </c>
      <c r="L73" s="50">
        <f t="shared" si="9"/>
        <v>25</v>
      </c>
      <c r="M73" s="52">
        <f t="shared" si="12"/>
        <v>0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120</v>
      </c>
      <c r="E74" s="40">
        <v>70</v>
      </c>
      <c r="F74" s="40">
        <v>90</v>
      </c>
      <c r="G74" s="40">
        <v>60</v>
      </c>
      <c r="H74" s="40">
        <v>80</v>
      </c>
      <c r="I74" s="49">
        <f t="shared" si="11"/>
        <v>42.857142857142854</v>
      </c>
      <c r="J74" s="48">
        <v>50</v>
      </c>
      <c r="K74" s="48">
        <v>100</v>
      </c>
      <c r="L74" s="50">
        <f t="shared" si="9"/>
        <v>33.333333333333329</v>
      </c>
      <c r="M74" s="52">
        <f t="shared" si="12"/>
        <v>25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42</v>
      </c>
      <c r="F75" s="45">
        <v>45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9.1954022988505741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4" t="s">
        <v>133</v>
      </c>
      <c r="C81" s="74"/>
      <c r="D81" s="74"/>
      <c r="E81" s="74"/>
      <c r="F81" s="74"/>
      <c r="G81" s="74"/>
      <c r="H81" s="74"/>
      <c r="I81" s="74"/>
      <c r="J81" s="74"/>
      <c r="K81" s="74"/>
      <c r="L81" s="74"/>
    </row>
    <row r="82" spans="1:12">
      <c r="A82" s="7"/>
      <c r="B82" s="74" t="s">
        <v>132</v>
      </c>
      <c r="C82" s="74"/>
      <c r="D82" s="74"/>
      <c r="E82" s="74"/>
      <c r="F82" s="74"/>
      <c r="G82" s="74"/>
      <c r="H82" s="74"/>
      <c r="I82" s="74"/>
      <c r="J82" s="74"/>
      <c r="K82" s="74"/>
      <c r="L82" s="74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69" t="s">
        <v>3</v>
      </c>
      <c r="D85" s="71"/>
      <c r="E85" s="72" t="s">
        <v>78</v>
      </c>
      <c r="F85" s="73"/>
      <c r="G85" s="26" t="s">
        <v>9</v>
      </c>
      <c r="H85" s="69" t="s">
        <v>79</v>
      </c>
      <c r="I85" s="70"/>
      <c r="J85" s="71"/>
      <c r="K85" s="10"/>
      <c r="L85" s="2"/>
    </row>
    <row r="86" spans="1:12">
      <c r="A86" s="46" t="s">
        <v>17</v>
      </c>
      <c r="B86" s="47" t="s">
        <v>14</v>
      </c>
      <c r="C86" s="40">
        <v>45</v>
      </c>
      <c r="D86" s="40">
        <v>50</v>
      </c>
      <c r="E86" s="40">
        <v>40</v>
      </c>
      <c r="F86" s="40">
        <v>45</v>
      </c>
      <c r="G86" s="31">
        <f t="shared" ref="G86:G94" si="13">((C86+D86)/2-(E86+F86)/2)/((E86+F86)/2)*100</f>
        <v>11.76470588235294</v>
      </c>
      <c r="H86" s="69" t="s">
        <v>128</v>
      </c>
      <c r="I86" s="70"/>
      <c r="J86" s="71"/>
      <c r="K86" s="10"/>
      <c r="L86" s="2"/>
    </row>
    <row r="87" spans="1:12">
      <c r="A87" s="46" t="s">
        <v>20</v>
      </c>
      <c r="B87" s="47" t="s">
        <v>14</v>
      </c>
      <c r="C87" s="40">
        <v>58</v>
      </c>
      <c r="D87" s="40">
        <v>60</v>
      </c>
      <c r="E87" s="40">
        <v>55</v>
      </c>
      <c r="F87" s="40">
        <v>60</v>
      </c>
      <c r="G87" s="31">
        <f t="shared" si="13"/>
        <v>2.6086956521739131</v>
      </c>
      <c r="H87" s="69" t="s">
        <v>122</v>
      </c>
      <c r="I87" s="70"/>
      <c r="J87" s="71"/>
      <c r="K87" s="10"/>
      <c r="L87" s="2"/>
    </row>
    <row r="88" spans="1:12">
      <c r="A88" s="46" t="s">
        <v>23</v>
      </c>
      <c r="B88" s="47" t="s">
        <v>24</v>
      </c>
      <c r="C88" s="42">
        <v>186</v>
      </c>
      <c r="D88" s="40">
        <v>195</v>
      </c>
      <c r="E88" s="42">
        <v>185</v>
      </c>
      <c r="F88" s="40">
        <v>195</v>
      </c>
      <c r="G88" s="31">
        <f t="shared" si="13"/>
        <v>0.26315789473684209</v>
      </c>
      <c r="H88" s="69" t="s">
        <v>134</v>
      </c>
      <c r="I88" s="70"/>
      <c r="J88" s="71"/>
      <c r="K88" s="10"/>
      <c r="L88" s="2"/>
    </row>
    <row r="89" spans="1:12">
      <c r="A89" s="46" t="s">
        <v>33</v>
      </c>
      <c r="B89" s="47" t="s">
        <v>14</v>
      </c>
      <c r="C89" s="40">
        <v>90</v>
      </c>
      <c r="D89" s="40">
        <v>100</v>
      </c>
      <c r="E89" s="40">
        <v>90</v>
      </c>
      <c r="F89" s="40">
        <v>105</v>
      </c>
      <c r="G89" s="31">
        <f t="shared" si="13"/>
        <v>-2.5641025641025639</v>
      </c>
      <c r="H89" s="69" t="s">
        <v>124</v>
      </c>
      <c r="I89" s="70"/>
      <c r="J89" s="71"/>
      <c r="K89" s="10"/>
      <c r="L89" s="2"/>
    </row>
    <row r="90" spans="1:12">
      <c r="A90" s="46" t="s">
        <v>101</v>
      </c>
      <c r="B90" s="47" t="s">
        <v>14</v>
      </c>
      <c r="C90" s="42">
        <v>48</v>
      </c>
      <c r="D90" s="42">
        <v>60</v>
      </c>
      <c r="E90" s="42">
        <v>40</v>
      </c>
      <c r="F90" s="42">
        <v>45</v>
      </c>
      <c r="G90" s="31">
        <f t="shared" si="13"/>
        <v>27.058823529411764</v>
      </c>
      <c r="H90" s="69" t="s">
        <v>123</v>
      </c>
      <c r="I90" s="70"/>
      <c r="J90" s="71"/>
      <c r="K90" s="10"/>
      <c r="L90" s="2"/>
    </row>
    <row r="91" spans="1:12">
      <c r="A91" s="46" t="s">
        <v>40</v>
      </c>
      <c r="B91" s="47" t="s">
        <v>14</v>
      </c>
      <c r="C91" s="40">
        <v>100</v>
      </c>
      <c r="D91" s="40">
        <v>130</v>
      </c>
      <c r="E91" s="40">
        <v>100</v>
      </c>
      <c r="F91" s="40">
        <v>140</v>
      </c>
      <c r="G91" s="31">
        <f t="shared" ref="G91:G97" si="14">((C91+D91)/2-(E91+F91)/2)/((E91+F91)/2)*100</f>
        <v>-4.1666666666666661</v>
      </c>
      <c r="H91" s="69" t="s">
        <v>125</v>
      </c>
      <c r="I91" s="70"/>
      <c r="J91" s="71"/>
      <c r="K91" s="10"/>
      <c r="L91" s="2"/>
    </row>
    <row r="92" spans="1:12">
      <c r="A92" s="46" t="s">
        <v>41</v>
      </c>
      <c r="B92" s="47" t="s">
        <v>14</v>
      </c>
      <c r="C92" s="42">
        <v>170</v>
      </c>
      <c r="D92" s="40">
        <v>220</v>
      </c>
      <c r="E92" s="42">
        <v>140</v>
      </c>
      <c r="F92" s="40">
        <v>220</v>
      </c>
      <c r="G92" s="31">
        <f t="shared" si="14"/>
        <v>8.3333333333333321</v>
      </c>
      <c r="H92" s="69" t="s">
        <v>126</v>
      </c>
      <c r="I92" s="70"/>
      <c r="J92" s="71"/>
      <c r="K92" s="10"/>
      <c r="L92" s="2"/>
    </row>
    <row r="93" spans="1:12">
      <c r="A93" s="46" t="s">
        <v>47</v>
      </c>
      <c r="B93" s="47" t="s">
        <v>14</v>
      </c>
      <c r="C93" s="40">
        <v>150</v>
      </c>
      <c r="D93" s="40">
        <v>200</v>
      </c>
      <c r="E93" s="40">
        <v>120</v>
      </c>
      <c r="F93" s="40">
        <v>200</v>
      </c>
      <c r="G93" s="31">
        <f t="shared" si="13"/>
        <v>9.375</v>
      </c>
      <c r="H93" s="69" t="s">
        <v>126</v>
      </c>
      <c r="I93" s="70"/>
      <c r="J93" s="71"/>
      <c r="K93" s="10"/>
      <c r="L93" s="2"/>
    </row>
    <row r="94" spans="1:12">
      <c r="A94" s="46" t="s">
        <v>48</v>
      </c>
      <c r="B94" s="47" t="s">
        <v>14</v>
      </c>
      <c r="C94" s="42">
        <v>600</v>
      </c>
      <c r="D94" s="40">
        <v>650</v>
      </c>
      <c r="E94" s="42">
        <v>600</v>
      </c>
      <c r="F94" s="40">
        <v>700</v>
      </c>
      <c r="G94" s="31">
        <f t="shared" si="13"/>
        <v>-3.8461538461538463</v>
      </c>
      <c r="H94" s="69" t="s">
        <v>124</v>
      </c>
      <c r="I94" s="70"/>
      <c r="J94" s="71"/>
      <c r="K94" s="10"/>
      <c r="L94" s="2"/>
    </row>
    <row r="95" spans="1:12">
      <c r="A95" s="46" t="s">
        <v>105</v>
      </c>
      <c r="B95" s="53" t="s">
        <v>14</v>
      </c>
      <c r="C95" s="40">
        <v>160</v>
      </c>
      <c r="D95" s="40">
        <v>250</v>
      </c>
      <c r="E95" s="40">
        <v>120</v>
      </c>
      <c r="F95" s="40">
        <v>200</v>
      </c>
      <c r="G95" s="31">
        <f t="shared" si="14"/>
        <v>28.125</v>
      </c>
      <c r="H95" s="69" t="s">
        <v>134</v>
      </c>
      <c r="I95" s="70"/>
      <c r="J95" s="71"/>
      <c r="K95" s="10"/>
      <c r="L95" s="2"/>
    </row>
    <row r="96" spans="1:12">
      <c r="A96" s="46" t="s">
        <v>107</v>
      </c>
      <c r="B96" s="53" t="s">
        <v>14</v>
      </c>
      <c r="C96" s="40">
        <v>80</v>
      </c>
      <c r="D96" s="40">
        <v>120</v>
      </c>
      <c r="E96" s="40">
        <v>70</v>
      </c>
      <c r="F96" s="40">
        <v>90</v>
      </c>
      <c r="G96" s="31">
        <f t="shared" si="14"/>
        <v>25</v>
      </c>
      <c r="H96" s="69" t="s">
        <v>127</v>
      </c>
      <c r="I96" s="70"/>
      <c r="J96" s="71"/>
      <c r="K96" s="10"/>
      <c r="L96" s="2"/>
    </row>
    <row r="97" spans="1:12">
      <c r="A97" s="46" t="s">
        <v>68</v>
      </c>
      <c r="B97" s="47" t="s">
        <v>69</v>
      </c>
      <c r="C97" s="45">
        <v>45</v>
      </c>
      <c r="D97" s="45">
        <v>50</v>
      </c>
      <c r="E97" s="45">
        <v>42</v>
      </c>
      <c r="F97" s="45">
        <v>45</v>
      </c>
      <c r="G97" s="31">
        <f t="shared" si="14"/>
        <v>9.1954022988505741</v>
      </c>
      <c r="H97" s="69" t="s">
        <v>127</v>
      </c>
      <c r="I97" s="70"/>
      <c r="J97" s="71"/>
      <c r="K97" s="10"/>
      <c r="L97" s="12"/>
    </row>
    <row r="98" spans="1:12">
      <c r="A98" s="64"/>
      <c r="B98" s="65"/>
      <c r="C98" s="66"/>
      <c r="D98" s="67"/>
      <c r="E98" s="66"/>
      <c r="F98" s="67"/>
      <c r="G98" s="68"/>
      <c r="H98" s="7"/>
      <c r="I98" s="1"/>
      <c r="J98" s="1"/>
      <c r="K98" s="10"/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4" t="s">
        <v>114</v>
      </c>
      <c r="C100" s="2"/>
      <c r="E100" s="7"/>
      <c r="F100" s="14" t="s">
        <v>102</v>
      </c>
      <c r="G100" s="2"/>
      <c r="I100" s="15"/>
      <c r="J100" s="1"/>
      <c r="K100" s="2"/>
      <c r="L100" s="12"/>
    </row>
    <row r="101" spans="1:12">
      <c r="A101" s="16"/>
      <c r="B101" s="14" t="s">
        <v>113</v>
      </c>
      <c r="C101" s="1"/>
      <c r="E101" s="16"/>
      <c r="F101" s="14" t="s">
        <v>103</v>
      </c>
      <c r="G101" s="1"/>
      <c r="I101" s="2"/>
      <c r="J101" s="1"/>
      <c r="L101" s="12"/>
    </row>
    <row r="102" spans="1:12">
      <c r="A102" s="7"/>
      <c r="B102" s="13"/>
      <c r="C102" s="3"/>
      <c r="D102" s="3"/>
      <c r="E102" s="3"/>
      <c r="F102" s="3"/>
      <c r="G102" s="4"/>
      <c r="H102" s="7"/>
      <c r="I102" s="1"/>
      <c r="J102" s="1"/>
      <c r="K102" s="12"/>
      <c r="L102" s="12"/>
    </row>
    <row r="103" spans="1:12">
      <c r="A103" s="7"/>
      <c r="B103" s="1"/>
      <c r="C103" s="3"/>
      <c r="D103" s="3"/>
      <c r="E103" s="3"/>
      <c r="F103" s="3"/>
      <c r="G103" s="4"/>
      <c r="H103" s="17"/>
      <c r="I103" s="12"/>
      <c r="J103" s="12"/>
      <c r="K103" s="12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115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116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117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118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112</v>
      </c>
    </row>
  </sheetData>
  <mergeCells count="42">
    <mergeCell ref="H86:J8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97:J97"/>
    <mergeCell ref="E85:F85"/>
    <mergeCell ref="H85:J85"/>
    <mergeCell ref="B81:L81"/>
    <mergeCell ref="B82:L82"/>
    <mergeCell ref="C85:D85"/>
    <mergeCell ref="H96:J96"/>
    <mergeCell ref="H95:J95"/>
    <mergeCell ref="H92:J92"/>
    <mergeCell ref="H93:J93"/>
    <mergeCell ref="H88:J88"/>
    <mergeCell ref="H90:J90"/>
    <mergeCell ref="H87:J87"/>
    <mergeCell ref="H89:J89"/>
    <mergeCell ref="H94:J94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2026-07-26T05:45:52Z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