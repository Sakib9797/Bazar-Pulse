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8_{42E54DF9-2BC3-444D-8432-ECAC8B07EC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90" i="4"/>
  <c r="G86" i="4"/>
  <c r="G85" i="4"/>
  <c r="G88" i="4"/>
  <c r="G89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<sst xmlns="http://schemas.openxmlformats.org/spreadsheetml/2006/main" count="229" uniqueCount="130">
  <si>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</si>
  <si>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</si>
  <si>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</si>
  <si>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</si>
  <si>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</si>
  <si>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</si>
  <si>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</si>
  <si>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</si>
  <si>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</si>
  <si>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</si>
  <si>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</si>
  <si>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</si>
  <si>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</si>
  <si>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</si>
  <si>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</si>
  <si>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</si>
  <si>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</si>
  <si>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</si>
  <si>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</si>
  <si>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</si>
  <si>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</si>
  <si>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</si>
  <si>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</si>
  <si>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</si>
  <si>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</si>
  <si>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</si>
  <si>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</si>
  <si>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</si>
  <si>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</si>
  <si>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</si>
  <si>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</si>
  <si>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</si>
  <si>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</si>
  <si>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</si>
  <si>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</si>
  <si>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</si>
  <si>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</si>
  <si>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</si>
  <si>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</si>
  <si>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</si>
  <si>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</si>
  <si>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</si>
  <si>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</si>
  <si>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</si>
  <si>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</si>
  <si>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</si>
  <si>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</si>
  <si>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</si>
  <si>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</si>
  <si>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</si>
  <si>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</si>
  <si>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</si>
  <si>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</si>
  <si>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</si>
  <si>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</si>
  <si>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</si>
  <si>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</si>
  <si>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</si>
  <si>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</si>
  <si>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</si>
  <si>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</si>
  <si>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</si>
  <si>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</si>
  <si>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</si>
  <si>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</si>
  <si>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</si>
  <si>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</si>
  <si>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</si>
  <si>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</si>
  <si>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</si>
  <si>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</si>
  <si>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</si>
  <si>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</si>
  <si>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</si>
  <si>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</si>
  <si>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</si>
  <si>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</si>
  <si>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</si>
  <si>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</si>
  <si>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</si>
  <si>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</si>
  <si>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</si>
  <si>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</si>
  <si>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</si>
  <si>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</si>
  <si>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</si>
  <si>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</si>
  <si>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</si>
  <si>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</si>
  <si>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</si>
  <si>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</si>
  <si>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</si>
  <si>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</si>
  <si>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</si>
  <si>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</si>
  <si>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</si>
  <si>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</si>
  <si>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</si>
  <si>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</si>
  <si>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</si>
  <si>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</si>
  <si>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</si>
  <si>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</si>
  <si>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</si>
  <si>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</si>
  <si>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</si>
  <si>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</si>
  <si>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</si>
  <si>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</si>
  <si>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</si>
  <si>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</si>
  <si>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</si>
  <si>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</si>
  <si>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</si>
  <si>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</si>
  <si>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</si>
  <si>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</si>
  <si>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</si>
  <si>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</si>
  <si>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০২-০২-২০২৬ তারিখে মূল্য বৃদ্ধি পেয়েছে।</t>
  </si>
  <si>
    <t>০৩-০২-২০২৬ তারিখে মূল্য বৃদ্ধি পেয়েছে।</t>
  </si>
  <si>
    <t>০৩-০২-২০২৬ তারিখে মূল্য হ্রাস পেয়েছে।</t>
  </si>
  <si>
    <t>(১)    পেঁয়াজ (দেশী, আম), লবঙ্গ    এর মূল্য হ্রাস পেয়েছে।</t>
  </si>
  <si>
    <t xml:space="preserve">যে সকল বাজার হতে তথ্য সংগ্রহ করা হয়েছেঃ- রামপুরা, নিউমার্কেট, মিরপুর-৬, মহাখালী  বাজার।   </t>
  </si>
  <si>
    <t>স্মারক নং-২৬.০৫.০০০০.০১৭.৩১.০১.২৬-১২১</t>
  </si>
  <si>
    <t xml:space="preserve">শনিবার ০৭ ফেব্রুয়ারী ২০২৬ খ্রিঃ, ২৪ মাঘ ১৪৩২ বাংলা, ১৮ শাবান ১৪৪৭ হিজরি </t>
  </si>
  <si>
    <t xml:space="preserve">   সিরিয়াল নংঃ     ০৩৭</t>
  </si>
  <si>
    <t>(২)   পাম অয়েল (লুজ, সুপার), রশুন (আম)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</si>
</sst>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6"/>
  <sheetViews>
    <sheetView tabSelected="1" topLeftCell="H1" zoomScale="112" zoomScaleNormal="112" workbookViewId="0">
      <selection activeCell="L8" sqref="L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126</v>
      </c>
      <c r="L6" s="88"/>
    </row>
    <row r="7" spans="1:12" ht="19.5" customHeight="1" x14ac:dyDescent="0.25">
      <c r="A7" s="17"/>
      <c r="B7" s="8"/>
      <c r="C7" s="8"/>
      <c r="D7" s="17"/>
      <c r="E7" s="8"/>
      <c r="F7" s="8" t="s">
        <v>125</v>
      </c>
      <c r="G7" s="8"/>
      <c r="H7" s="8"/>
      <c r="I7" s="8"/>
      <c r="J7" s="8"/>
      <c r="K7" s="8"/>
      <c r="L7" s="49"/>
    </row>
    <row r="8" spans="1:12" ht="21" x14ac:dyDescent="0.25">
      <c r="A8" s="20" t="s">
        <v>124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46060</v>
      </c>
    </row>
    <row r="9" spans="1:12" ht="21" x14ac:dyDescent="0.2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" x14ac:dyDescent="0.25">
      <c r="A10" s="25"/>
      <c r="B10" s="26"/>
      <c r="C10" s="89">
        <v>46060</v>
      </c>
      <c r="D10" s="88"/>
      <c r="E10" s="89">
        <v>46053</v>
      </c>
      <c r="F10" s="88"/>
      <c r="G10" s="89">
        <v>46029</v>
      </c>
      <c r="H10" s="88"/>
      <c r="I10" s="26" t="s">
        <v>12</v>
      </c>
      <c r="J10" s="89">
        <v>45695</v>
      </c>
      <c r="K10" s="88"/>
      <c r="L10" s="26" t="s">
        <v>12</v>
      </c>
    </row>
    <row r="11" spans="1:12" ht="21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" x14ac:dyDescent="0.3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52</v>
      </c>
      <c r="K14" s="29">
        <v>55</v>
      </c>
      <c r="L14" s="31">
        <f>((C14+D14)/2-(J14+K14)/2)/((J14+K14)/2)*100</f>
        <v>2.8037383177570092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" x14ac:dyDescent="0.3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" x14ac:dyDescent="0.3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180</v>
      </c>
      <c r="K21" s="29">
        <v>182</v>
      </c>
      <c r="L21" s="31">
        <f t="shared" ref="L21:L27" si="1">((C21+D21)/2-(J21+K21)/2)/((J21+K21)/2)*100</f>
        <v>-0.55248618784530379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348</v>
      </c>
      <c r="K23" s="29">
        <v>350</v>
      </c>
      <c r="L23" s="31">
        <f t="shared" si="1"/>
        <v>11.74785100286533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" x14ac:dyDescent="0.3">
      <c r="A25" s="69" t="s">
        <v>33</v>
      </c>
      <c r="B25" s="6" t="s">
        <v>28</v>
      </c>
      <c r="C25" s="29">
        <v>155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155</v>
      </c>
      <c r="L25" s="31">
        <f t="shared" si="1"/>
        <v>3.9344262295081971</v>
      </c>
    </row>
    <row r="26" spans="1:12" ht="21" x14ac:dyDescent="0.3">
      <c r="A26" s="69" t="s">
        <v>104</v>
      </c>
      <c r="B26" s="6" t="s">
        <v>28</v>
      </c>
      <c r="C26" s="29">
        <v>160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158</v>
      </c>
      <c r="K26" s="29">
        <v>160</v>
      </c>
      <c r="L26" s="31">
        <f t="shared" si="1"/>
        <v>2.2012578616352201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1040</v>
      </c>
      <c r="K27" s="29">
        <v>1060</v>
      </c>
      <c r="L27" s="31">
        <f t="shared" si="1"/>
        <v>0.47619047619047622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95</v>
      </c>
      <c r="H29" s="29">
        <v>105</v>
      </c>
      <c r="I29" s="30">
        <f t="shared" ref="I29:I35" si="2">((C29+D29)/2-(G29+H29)/2)/((G29+H29)/2)*100</f>
        <v>-7.5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8.695652173913043</v>
      </c>
      <c r="J33" s="29">
        <v>70</v>
      </c>
      <c r="K33" s="29">
        <v>85</v>
      </c>
      <c r="L33" s="31">
        <f t="shared" si="3"/>
        <v>-19.35483870967742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107</v>
      </c>
      <c r="K34" s="29">
        <v>120</v>
      </c>
      <c r="L34" s="31">
        <f t="shared" si="3"/>
        <v>-22.907488986784141</v>
      </c>
    </row>
    <row r="35" spans="1:12" ht="21" x14ac:dyDescent="0.3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25</v>
      </c>
      <c r="L35" s="31">
        <f t="shared" si="3"/>
        <v>11.111111111111111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3" t="s">
        <v>114</v>
      </c>
      <c r="B37" s="6" t="s">
        <v>18</v>
      </c>
      <c r="C37" s="29">
        <v>45</v>
      </c>
      <c r="D37" s="29">
        <v>60</v>
      </c>
      <c r="E37" s="29">
        <v>50</v>
      </c>
      <c r="F37" s="29">
        <v>60</v>
      </c>
      <c r="G37" s="29">
        <v>60</v>
      </c>
      <c r="H37" s="29">
        <v>75</v>
      </c>
      <c r="I37" s="30">
        <f t="shared" ref="I37:I52" si="4">((C37+D37)/2-(G37+H37)/2)/((G37+H37)/2)*100</f>
        <v>-22.222222222222221</v>
      </c>
      <c r="J37" s="29">
        <v>40</v>
      </c>
      <c r="K37" s="29">
        <v>50</v>
      </c>
      <c r="L37" s="31">
        <f t="shared" ref="L37:L52" si="5">((C37+D37)/2-(J37+K37)/2)/((J37+K37)/2)*100</f>
        <v>16.666666666666664</v>
      </c>
    </row>
    <row r="38" spans="1:12" ht="21" x14ac:dyDescent="0.3">
      <c r="A38" s="69" t="s">
        <v>43</v>
      </c>
      <c r="B38" s="6" t="s">
        <v>18</v>
      </c>
      <c r="C38" s="29">
        <v>60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-6.666666666666667</v>
      </c>
      <c r="J38" s="29">
        <v>50</v>
      </c>
      <c r="K38" s="29">
        <v>60</v>
      </c>
      <c r="L38" s="31">
        <f t="shared" si="5"/>
        <v>27.27272727272727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150</v>
      </c>
      <c r="K39" s="29">
        <v>220</v>
      </c>
      <c r="L39" s="31">
        <f t="shared" si="5"/>
        <v>-40.54054054054054</v>
      </c>
    </row>
    <row r="40" spans="1:12" ht="21" x14ac:dyDescent="0.3">
      <c r="A40" s="69" t="s">
        <v>45</v>
      </c>
      <c r="B40" s="6" t="s">
        <v>18</v>
      </c>
      <c r="C40" s="29">
        <v>180</v>
      </c>
      <c r="D40" s="29">
        <v>200</v>
      </c>
      <c r="E40" s="29">
        <v>150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" x14ac:dyDescent="0.3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" x14ac:dyDescent="0.3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" x14ac:dyDescent="0.3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" x14ac:dyDescent="0.3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90</v>
      </c>
      <c r="K45" s="29">
        <v>150</v>
      </c>
      <c r="L45" s="31">
        <f t="shared" si="5"/>
        <v>41.666666666666671</v>
      </c>
    </row>
    <row r="46" spans="1:12" ht="21" x14ac:dyDescent="0.3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220</v>
      </c>
      <c r="L46" s="31">
        <f t="shared" si="5"/>
        <v>12.5</v>
      </c>
    </row>
    <row r="47" spans="1:12" ht="21" x14ac:dyDescent="0.3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675</v>
      </c>
      <c r="K47" s="29">
        <v>750</v>
      </c>
      <c r="L47" s="31">
        <f t="shared" si="5"/>
        <v>-8.7719298245614024</v>
      </c>
    </row>
    <row r="48" spans="1:12" ht="21" x14ac:dyDescent="0.3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" x14ac:dyDescent="0.3">
      <c r="A49" s="69" t="s">
        <v>54</v>
      </c>
      <c r="B49" s="6" t="s">
        <v>18</v>
      </c>
      <c r="C49" s="29">
        <v>1300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" x14ac:dyDescent="0.3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" x14ac:dyDescent="0.3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" x14ac:dyDescent="0.3">
      <c r="A58" s="69" t="s">
        <v>61</v>
      </c>
      <c r="B58" s="6" t="s">
        <v>18</v>
      </c>
      <c r="C58" s="29">
        <v>175</v>
      </c>
      <c r="D58" s="29">
        <v>185</v>
      </c>
      <c r="E58" s="29">
        <v>175</v>
      </c>
      <c r="F58" s="29">
        <v>185</v>
      </c>
      <c r="G58" s="29">
        <v>150</v>
      </c>
      <c r="H58" s="29">
        <v>170</v>
      </c>
      <c r="I58" s="30">
        <f t="shared" si="6"/>
        <v>12.5</v>
      </c>
      <c r="J58" s="29">
        <v>180</v>
      </c>
      <c r="K58" s="29">
        <v>210</v>
      </c>
      <c r="L58" s="31">
        <f t="shared" si="7"/>
        <v>-7.6923076923076925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 x14ac:dyDescent="0.25">
      <c r="A69" s="73"/>
      <c r="B69" s="64"/>
      <c r="C69" s="89">
        <v>46060</v>
      </c>
      <c r="D69" s="88"/>
      <c r="E69" s="89">
        <v>46053</v>
      </c>
      <c r="F69" s="88"/>
      <c r="G69" s="89">
        <v>46029</v>
      </c>
      <c r="H69" s="88"/>
      <c r="I69" s="26" t="s">
        <v>12</v>
      </c>
      <c r="J69" s="89">
        <v>45695</v>
      </c>
      <c r="K69" s="88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" x14ac:dyDescent="0.3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" x14ac:dyDescent="0.3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 x14ac:dyDescent="0.3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46</v>
      </c>
      <c r="L74" s="31">
        <f t="shared" si="8"/>
        <v>-17.777777777777779</v>
      </c>
    </row>
    <row r="75" spans="1:12" ht="21" x14ac:dyDescent="0.3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" x14ac:dyDescent="0.3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92000</v>
      </c>
      <c r="L76" s="31">
        <f t="shared" si="8"/>
        <v>-9.5628415300546443</v>
      </c>
    </row>
    <row r="77" spans="1:12" ht="21" x14ac:dyDescent="0.3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 x14ac:dyDescent="0.25">
      <c r="A78" s="90" t="s">
        <v>123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" x14ac:dyDescent="0.2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122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127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" x14ac:dyDescent="0.2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" x14ac:dyDescent="0.2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" x14ac:dyDescent="0.2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" x14ac:dyDescent="0.3">
      <c r="A85" s="69" t="s">
        <v>33</v>
      </c>
      <c r="B85" s="6" t="s">
        <v>28</v>
      </c>
      <c r="C85" s="29">
        <v>155</v>
      </c>
      <c r="D85" s="29">
        <v>162</v>
      </c>
      <c r="E85" s="29">
        <v>148</v>
      </c>
      <c r="F85" s="29">
        <v>162</v>
      </c>
      <c r="G85" s="7">
        <f t="shared" ref="G85:G90" si="10">((C85+D85)/2-(E85+F85)/2)/((E85+F85)/2)*100</f>
        <v>2.258064516129032</v>
      </c>
      <c r="H85" s="5" t="s">
        <v>119</v>
      </c>
      <c r="I85" s="6"/>
      <c r="J85" s="6"/>
      <c r="K85" s="50"/>
      <c r="L85" s="17"/>
    </row>
    <row r="86" spans="1:12" ht="21" x14ac:dyDescent="0.3">
      <c r="A86" s="69" t="s">
        <v>104</v>
      </c>
      <c r="B86" s="6" t="s">
        <v>28</v>
      </c>
      <c r="C86" s="29">
        <v>160</v>
      </c>
      <c r="D86" s="29">
        <v>165</v>
      </c>
      <c r="E86" s="29">
        <v>155</v>
      </c>
      <c r="F86" s="29">
        <v>165</v>
      </c>
      <c r="G86" s="7">
        <f t="shared" si="10"/>
        <v>1.5625</v>
      </c>
      <c r="H86" s="5" t="s">
        <v>119</v>
      </c>
      <c r="I86" s="6"/>
      <c r="J86" s="6"/>
      <c r="K86" s="50"/>
      <c r="L86" s="17"/>
    </row>
    <row r="87" spans="1:12" ht="21" x14ac:dyDescent="0.3">
      <c r="A87" s="83" t="s">
        <v>114</v>
      </c>
      <c r="B87" s="6" t="s">
        <v>18</v>
      </c>
      <c r="C87" s="29">
        <v>45</v>
      </c>
      <c r="D87" s="29">
        <v>60</v>
      </c>
      <c r="E87" s="29">
        <v>50</v>
      </c>
      <c r="F87" s="29">
        <v>60</v>
      </c>
      <c r="G87" s="7">
        <f>((C87+D87)/2-(E87+F87)/2)/((E87+F87)/2)*100</f>
        <v>-4.5454545454545459</v>
      </c>
      <c r="H87" s="5" t="s">
        <v>121</v>
      </c>
      <c r="I87" s="6"/>
      <c r="J87" s="6"/>
      <c r="K87" s="50"/>
      <c r="L87" s="17"/>
    </row>
    <row r="88" spans="1:12" ht="21" x14ac:dyDescent="0.3">
      <c r="A88" s="69" t="s">
        <v>43</v>
      </c>
      <c r="B88" s="6" t="s">
        <v>18</v>
      </c>
      <c r="C88" s="29">
        <v>60</v>
      </c>
      <c r="D88" s="29">
        <v>80</v>
      </c>
      <c r="E88" s="29">
        <v>70</v>
      </c>
      <c r="F88" s="29">
        <v>80</v>
      </c>
      <c r="G88" s="7">
        <f t="shared" si="10"/>
        <v>-6.666666666666667</v>
      </c>
      <c r="H88" s="5" t="s">
        <v>121</v>
      </c>
      <c r="I88" s="6"/>
      <c r="J88" s="6"/>
      <c r="K88" s="50"/>
      <c r="L88" s="17"/>
    </row>
    <row r="89" spans="1:12" ht="21" x14ac:dyDescent="0.3">
      <c r="A89" s="69" t="s">
        <v>45</v>
      </c>
      <c r="B89" s="6" t="s">
        <v>18</v>
      </c>
      <c r="C89" s="29">
        <v>180</v>
      </c>
      <c r="D89" s="29">
        <v>200</v>
      </c>
      <c r="E89" s="29">
        <v>150</v>
      </c>
      <c r="F89" s="29">
        <v>200</v>
      </c>
      <c r="G89" s="7">
        <f t="shared" si="10"/>
        <v>8.5714285714285712</v>
      </c>
      <c r="H89" s="5" t="s">
        <v>120</v>
      </c>
      <c r="I89" s="6"/>
      <c r="J89" s="6"/>
      <c r="K89" s="50"/>
      <c r="L89" s="17"/>
    </row>
    <row r="90" spans="1:12" ht="21" x14ac:dyDescent="0.3">
      <c r="A90" s="69" t="s">
        <v>54</v>
      </c>
      <c r="B90" s="6" t="s">
        <v>18</v>
      </c>
      <c r="C90" s="29">
        <v>1300</v>
      </c>
      <c r="D90" s="29">
        <v>1600</v>
      </c>
      <c r="E90" s="29">
        <v>1350</v>
      </c>
      <c r="F90" s="29">
        <v>1600</v>
      </c>
      <c r="G90" s="7">
        <f t="shared" si="10"/>
        <v>-1.6949152542372881</v>
      </c>
      <c r="H90" s="5" t="s">
        <v>121</v>
      </c>
      <c r="I90" s="6"/>
      <c r="J90" s="6"/>
      <c r="K90" s="50"/>
      <c r="L90" s="17"/>
    </row>
    <row r="91" spans="1:12" ht="23.25" x14ac:dyDescent="0.3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3.25" x14ac:dyDescent="0.3">
      <c r="A92" s="1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3.25" x14ac:dyDescent="0.3">
      <c r="A93" s="41"/>
      <c r="B93" s="42" t="s">
        <v>115</v>
      </c>
      <c r="C93" s="10"/>
      <c r="E93" s="84"/>
      <c r="F93" s="85"/>
      <c r="G93" s="86"/>
      <c r="I93" s="12"/>
      <c r="J93" s="13" t="s">
        <v>117</v>
      </c>
      <c r="K93" s="10"/>
    </row>
    <row r="94" spans="1:12" ht="23.25" x14ac:dyDescent="0.3">
      <c r="A94" s="43"/>
      <c r="B94" s="42" t="s">
        <v>116</v>
      </c>
      <c r="C94" s="13"/>
      <c r="E94" s="43"/>
      <c r="F94" s="85"/>
      <c r="G94" s="86"/>
      <c r="I94" s="76"/>
      <c r="J94" s="13" t="s">
        <v>118</v>
      </c>
    </row>
    <row r="95" spans="1:12" ht="23.25" x14ac:dyDescent="0.3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8.75" x14ac:dyDescent="0.25">
      <c r="A96" s="55" t="s">
        <v>91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8.75" x14ac:dyDescent="0.25">
      <c r="A97" s="54" t="s">
        <v>97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8.75" x14ac:dyDescent="0.25">
      <c r="A98" s="54" t="s">
        <v>96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84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8.75" x14ac:dyDescent="0.25">
      <c r="A100" s="54" t="s">
        <v>95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105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93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85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99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98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86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5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111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110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109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2026-02-05T10:33:29Z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