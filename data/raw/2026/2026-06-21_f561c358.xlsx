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E:\Market Study folder\Daily market price-2026\6. June-2026\"/>
    </mc:Choice>
  </mc:AlternateContent>
  <xr:revisionPtr revIDLastSave="0" documentId="8_{D644B681-7AEE-4E47-92AA-80C211BC407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0" i="4" l="1"/>
  <c r="G89" i="4"/>
  <c r="G88" i="4"/>
  <c r="G87" i="4"/>
  <c r="G93" i="4"/>
  <c r="G92" i="4"/>
  <c r="G86" i="4"/>
  <c r="G91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<sst xmlns="http://schemas.openxmlformats.org/spreadsheetml/2006/main" count="240" uniqueCount="133">
  <si>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</si>
  <si>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</si>
  <si>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</si>
  <si>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</si>
  <si>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</si>
  <si>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</si>
  <si>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</si>
  <si>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</si>
  <si>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</si>
  <si>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</si>
  <si>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</si>
  <si>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</si>
  <si>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</si>
  <si>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</si>
  <si>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</si>
  <si>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</si>
  <si>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</si>
  <si>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</si>
  <si>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</si>
  <si>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</si>
  <si>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</si>
  <si>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</si>
  <si>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</si>
  <si>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</si>
  <si>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</si>
  <si>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</si>
  <si>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</si>
  <si>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</si>
  <si>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</si>
  <si>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</si>
  <si>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</si>
  <si>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</si>
  <si>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</si>
  <si>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</si>
  <si>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</si>
  <si>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</si>
  <si>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</si>
  <si>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</si>
  <si>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</si>
  <si>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</si>
  <si>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</si>
  <si>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</si>
  <si>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</si>
  <si>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</si>
  <si>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</si>
  <si>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</si>
  <si>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</si>
  <si>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</si>
  <si>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</si>
  <si>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</si>
  <si>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</si>
  <si>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</si>
  <si>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</si>
  <si>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</si>
  <si>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</si>
  <si>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</si>
  <si>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</si>
  <si>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</si>
  <si>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</si>
  <si>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</si>
  <si>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</si>
  <si>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</si>
  <si>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</si>
  <si>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</si>
  <si>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</si>
  <si>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</si>
  <si>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</si>
  <si>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</si>
  <si>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</si>
  <si>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</si>
  <si>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</si>
  <si>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</si>
  <si>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</si>
  <si>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</si>
  <si>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</si>
  <si>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</si>
  <si>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</si>
  <si>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</si>
  <si>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</si>
  <si>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</si>
  <si>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</si>
  <si>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</si>
  <si>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</si>
  <si>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</si>
  <si>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</si>
  <si>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</si>
  <si>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</si>
  <si>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</si>
  <si>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</si>
  <si>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</si>
  <si>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</si>
  <si>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</si>
  <si>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</si>
  <si>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</si>
  <si>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</si>
  <si>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</si>
  <si>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</si>
  <si>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</si>
  <si>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</si>
  <si>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</si>
  <si>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</si>
  <si>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</si>
  <si>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</si>
  <si>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</si>
  <si>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</si>
  <si>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</si>
  <si>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</si>
  <si>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</si>
  <si>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</si>
  <si>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</si>
  <si>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</si>
  <si>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</si>
  <si>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</si>
  <si>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</si>
  <si>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</si>
  <si>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</si>
  <si>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</si>
  <si>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</si>
  <si>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</si>
  <si>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</si>
  <si>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</si>
  <si>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</si>
  <si>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>১৫-০৬-২০২৬ তারিখে মূল্য বৃদ্ধি পেয়েছে।</t>
  </si>
  <si>
    <t>১৭-০৬-২০২৬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</si>
  <si>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</si>
  <si>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</si>
  <si>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১৪৮</t>
  </si>
  <si>
    <t xml:space="preserve">নং-২৬.০৫.০০০০.০১৭.৩১.০১.২৬-৪৮৬                                                                                                           তারিখঃ ২১-০৬-২০২৬ </t>
  </si>
  <si>
    <t xml:space="preserve">রবিবার ২১ জুন ২০২৬ খ্রিঃ, ০৭ আষাঢ় ১৪৩৩ বাংলা, ০৫ মহরম ১৪৪৮ হিজরি </t>
  </si>
  <si>
    <t>২১-০৬-২০২৬ তারিখে মূল্য বৃদ্ধি পেয়েছে।</t>
  </si>
  <si>
    <t>২১-০৬-২০২৬ তারিখে মূল্য হ্রাস পেয়েছে।</t>
  </si>
  <si>
    <t>(১)    চাল (মোটা), আদা (আম), মুরগী ব্রয়লার   এর মূল্য হ্রাস পেয়েছে।</t>
  </si>
  <si>
    <t>(২)   চাল (সরু), আলু, বেগুন, এম এস রড (৬০, ৪০ গ্রেড)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</si>
</sst>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91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167" fontId="1" fillId="6" borderId="1" xfId="1" applyNumberFormat="1" applyFont="1" applyFill="1" applyBorder="1" applyAlignment="1">
      <alignment horizont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7" fontId="13" fillId="0" borderId="0" xfId="1" applyNumberFormat="1" applyFont="1" applyFill="1" applyBorder="1" applyAlignment="1">
      <alignment horizontal="center"/>
    </xf>
    <xf numFmtId="167" fontId="13" fillId="0" borderId="0" xfId="1" applyNumberFormat="1" applyFont="1" applyBorder="1" applyAlignment="1">
      <alignment horizontal="right"/>
    </xf>
    <xf numFmtId="168" fontId="1" fillId="0" borderId="0" xfId="1" applyNumberFormat="1" applyFont="1" applyFill="1" applyBorder="1" applyAlignment="1">
      <alignment horizontal="center" vertical="center" shrinkToFit="1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8"/>
  <sheetViews>
    <sheetView tabSelected="1" zoomScale="90" zoomScaleNormal="90" workbookViewId="0">
      <selection activeCell="B82" sqref="B82:L82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80" t="s">
        <v>119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8" x14ac:dyDescent="0.3">
      <c r="A2" s="81" t="s">
        <v>120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8" x14ac:dyDescent="0.3">
      <c r="A3" s="82" t="s">
        <v>126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x14ac:dyDescent="0.3">
      <c r="A4" s="83" t="s">
        <v>128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P4" s="56"/>
      <c r="Q4" s="56"/>
      <c r="R4" s="56"/>
    </row>
    <row r="5" spans="1:18" x14ac:dyDescent="0.3">
      <c r="A5" s="84" t="s">
        <v>127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P5" s="57"/>
      <c r="Q5" s="58"/>
    </row>
    <row r="6" spans="1:18" s="29" customFormat="1" x14ac:dyDescent="0.3">
      <c r="A6" s="85" t="s">
        <v>1</v>
      </c>
      <c r="B6" s="85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6" t="s">
        <v>6</v>
      </c>
      <c r="J6" s="73" t="s">
        <v>7</v>
      </c>
      <c r="K6" s="75"/>
      <c r="L6" s="28" t="s">
        <v>8</v>
      </c>
      <c r="M6" s="53"/>
    </row>
    <row r="7" spans="1:18" s="29" customFormat="1" x14ac:dyDescent="0.3">
      <c r="A7" s="86"/>
      <c r="B7" s="86"/>
      <c r="C7" s="89">
        <v>46194</v>
      </c>
      <c r="D7" s="90"/>
      <c r="E7" s="89">
        <v>46187</v>
      </c>
      <c r="F7" s="90"/>
      <c r="G7" s="87">
        <v>46163</v>
      </c>
      <c r="H7" s="88"/>
      <c r="I7" s="26" t="s">
        <v>9</v>
      </c>
      <c r="J7" s="87">
        <v>45829</v>
      </c>
      <c r="K7" s="88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72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1.2903225806451613</v>
      </c>
      <c r="J9" s="60">
        <v>70</v>
      </c>
      <c r="K9" s="60">
        <v>82</v>
      </c>
      <c r="L9" s="51">
        <f>((C9+D9)/2-(J9+K9)/2)/((J9+K9)/2)*100</f>
        <v>3.2894736842105261</v>
      </c>
      <c r="M9" s="53">
        <f>((C9+D9)/2-(E9+F9)/2)/((E9+F9)/2)*100</f>
        <v>1.2903225806451613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60">
        <v>52</v>
      </c>
      <c r="H10" s="60">
        <v>68</v>
      </c>
      <c r="I10" s="50">
        <f>((C10+D10)/2-(G10+H10)/2)/((G10+H10)/2)*100</f>
        <v>2.5</v>
      </c>
      <c r="J10" s="60">
        <v>56</v>
      </c>
      <c r="K10" s="60">
        <v>65</v>
      </c>
      <c r="L10" s="51">
        <f>((C10+D10)/2-(J10+K10)/2)/((J10+K10)/2)*100</f>
        <v>1.6528925619834711</v>
      </c>
      <c r="M10" s="53">
        <f t="shared" ref="M10:M70" si="0">((C10+D10)/2-(E10+F10)/2)/((E10+F10)/2)*100</f>
        <v>0</v>
      </c>
    </row>
    <row r="11" spans="1:18" s="29" customFormat="1" x14ac:dyDescent="0.3">
      <c r="A11" s="47" t="s">
        <v>15</v>
      </c>
      <c r="B11" s="48" t="s">
        <v>14</v>
      </c>
      <c r="C11" s="41">
        <v>50</v>
      </c>
      <c r="D11" s="41">
        <v>60</v>
      </c>
      <c r="E11" s="41">
        <v>52</v>
      </c>
      <c r="F11" s="41">
        <v>60</v>
      </c>
      <c r="G11" s="60">
        <v>48</v>
      </c>
      <c r="H11" s="60">
        <v>60</v>
      </c>
      <c r="I11" s="50">
        <f>((C11+D11)/2-(G11+H11)/2)/((G11+H11)/2)*100</f>
        <v>1.8518518518518516</v>
      </c>
      <c r="J11" s="60">
        <v>52</v>
      </c>
      <c r="K11" s="60">
        <v>60</v>
      </c>
      <c r="L11" s="51">
        <f>((C11+D11)/2-(J11+K11)/2)/((J11+K11)/2)*100</f>
        <v>-1.7857142857142856</v>
      </c>
      <c r="M11" s="53">
        <f t="shared" si="0"/>
        <v>-1.7857142857142856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45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0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195</v>
      </c>
      <c r="E18" s="43">
        <v>186</v>
      </c>
      <c r="F18" s="41">
        <v>195</v>
      </c>
      <c r="G18" s="66">
        <v>185</v>
      </c>
      <c r="H18" s="60">
        <v>195</v>
      </c>
      <c r="I18" s="50">
        <f t="shared" ref="I18:I24" si="1">((C18+D18)/2-(G18+H18)/2)/((G18+H18)/2)*100</f>
        <v>0.26315789473684209</v>
      </c>
      <c r="J18" s="60">
        <v>157</v>
      </c>
      <c r="K18" s="60">
        <v>168</v>
      </c>
      <c r="L18" s="51">
        <f t="shared" ref="L18:L24" si="2">((C18+D18)/2-(J18+K18)/2)/((J18+K18)/2)*100</f>
        <v>17.23076923076923</v>
      </c>
      <c r="M18" s="53">
        <f t="shared" si="0"/>
        <v>0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970</v>
      </c>
      <c r="H19" s="60">
        <v>975</v>
      </c>
      <c r="I19" s="50">
        <f t="shared" si="1"/>
        <v>0.25706940874035988</v>
      </c>
      <c r="J19" s="60">
        <v>910</v>
      </c>
      <c r="K19" s="60">
        <v>920</v>
      </c>
      <c r="L19" s="51">
        <f t="shared" si="2"/>
        <v>6.557377049180328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398</v>
      </c>
      <c r="H20" s="60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199</v>
      </c>
      <c r="H21" s="60">
        <v>199</v>
      </c>
      <c r="I21" s="50">
        <f t="shared" si="1"/>
        <v>0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165</v>
      </c>
      <c r="H22" s="60">
        <v>170</v>
      </c>
      <c r="I22" s="50">
        <f t="shared" si="1"/>
        <v>0</v>
      </c>
      <c r="J22" s="60">
        <v>145</v>
      </c>
      <c r="K22" s="60">
        <v>154</v>
      </c>
      <c r="L22" s="51">
        <f t="shared" si="2"/>
        <v>12.040133779264215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175</v>
      </c>
      <c r="I23" s="50">
        <f t="shared" si="1"/>
        <v>0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100</v>
      </c>
      <c r="I26" s="50">
        <f t="shared" ref="I26:I32" si="3">((C26+D26)/2-(G26+H26)/2)/((G26+H26)/2)*100</f>
        <v>2.6315789473684208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140</v>
      </c>
      <c r="H29" s="60">
        <v>170</v>
      </c>
      <c r="I29" s="50">
        <f t="shared" si="3"/>
        <v>-3.225806451612903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50</v>
      </c>
      <c r="K30" s="60">
        <v>80</v>
      </c>
      <c r="L30" s="51">
        <f t="shared" si="4"/>
        <v>3.8461538461538463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110</v>
      </c>
      <c r="L31" s="51">
        <f t="shared" si="4"/>
        <v>-5</v>
      </c>
      <c r="M31" s="53">
        <f t="shared" si="0"/>
        <v>0</v>
      </c>
    </row>
    <row r="32" spans="1:13" s="52" customFormat="1" x14ac:dyDescent="0.3">
      <c r="A32" s="47" t="s">
        <v>100</v>
      </c>
      <c r="B32" s="48" t="s">
        <v>14</v>
      </c>
      <c r="C32" s="41">
        <v>25</v>
      </c>
      <c r="D32" s="41">
        <v>30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22.222222222222221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66">
        <v>40</v>
      </c>
      <c r="H34" s="66">
        <v>50</v>
      </c>
      <c r="I34" s="50">
        <f t="shared" ref="I34:I49" si="5">((C34+D34)/2-(G34+H34)/2)/((G34+H34)/2)*100</f>
        <v>-11.111111111111111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0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60</v>
      </c>
      <c r="D36" s="41">
        <v>140</v>
      </c>
      <c r="E36" s="41">
        <v>60</v>
      </c>
      <c r="F36" s="41">
        <v>140</v>
      </c>
      <c r="G36" s="60">
        <v>60</v>
      </c>
      <c r="H36" s="60">
        <v>130</v>
      </c>
      <c r="I36" s="50">
        <f t="shared" si="5"/>
        <v>5.2631578947368416</v>
      </c>
      <c r="J36" s="60">
        <v>90</v>
      </c>
      <c r="K36" s="60">
        <v>140</v>
      </c>
      <c r="L36" s="51">
        <f t="shared" si="6"/>
        <v>-13.043478260869565</v>
      </c>
      <c r="M36" s="53">
        <f t="shared" si="0"/>
        <v>0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130</v>
      </c>
      <c r="F37" s="41">
        <v>220</v>
      </c>
      <c r="G37" s="66">
        <v>130</v>
      </c>
      <c r="H37" s="60">
        <v>210</v>
      </c>
      <c r="I37" s="50">
        <f t="shared" si="5"/>
        <v>2.9411764705882351</v>
      </c>
      <c r="J37" s="60">
        <v>140</v>
      </c>
      <c r="K37" s="60">
        <v>220</v>
      </c>
      <c r="L37" s="51">
        <f t="shared" si="6"/>
        <v>-2.7777777777777777</v>
      </c>
      <c r="M37" s="53">
        <f t="shared" si="0"/>
        <v>0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370</v>
      </c>
      <c r="G38" s="60">
        <v>360</v>
      </c>
      <c r="H38" s="60">
        <v>380</v>
      </c>
      <c r="I38" s="50">
        <f t="shared" si="5"/>
        <v>-8.1081081081081088</v>
      </c>
      <c r="J38" s="60">
        <v>200</v>
      </c>
      <c r="K38" s="60">
        <v>350</v>
      </c>
      <c r="L38" s="51">
        <f t="shared" si="6"/>
        <v>23.636363636363637</v>
      </c>
      <c r="M38" s="53">
        <f t="shared" si="0"/>
        <v>1.4925373134328357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66">
        <v>440</v>
      </c>
      <c r="H39" s="66">
        <v>460</v>
      </c>
      <c r="I39" s="50">
        <f t="shared" si="5"/>
        <v>-7.7777777777777777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0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280</v>
      </c>
      <c r="K40" s="60">
        <v>400</v>
      </c>
      <c r="L40" s="51">
        <f t="shared" si="6"/>
        <v>-1.4705882352941175</v>
      </c>
      <c r="M40" s="53">
        <f t="shared" si="0"/>
        <v>0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400</v>
      </c>
      <c r="E41" s="41">
        <v>300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0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160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200</v>
      </c>
      <c r="E43" s="41">
        <v>130</v>
      </c>
      <c r="F43" s="41">
        <v>210</v>
      </c>
      <c r="G43" s="60">
        <v>150</v>
      </c>
      <c r="H43" s="60">
        <v>250</v>
      </c>
      <c r="I43" s="50">
        <f t="shared" si="5"/>
        <v>-17.5</v>
      </c>
      <c r="J43" s="60">
        <v>120</v>
      </c>
      <c r="K43" s="60">
        <v>200</v>
      </c>
      <c r="L43" s="51">
        <f t="shared" si="6"/>
        <v>3.125</v>
      </c>
      <c r="M43" s="53">
        <f t="shared" si="0"/>
        <v>-2.9411764705882351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6">
        <v>600</v>
      </c>
      <c r="H44" s="60">
        <v>700</v>
      </c>
      <c r="I44" s="50">
        <f t="shared" si="5"/>
        <v>0</v>
      </c>
      <c r="J44" s="60">
        <v>600</v>
      </c>
      <c r="K44" s="60">
        <v>750</v>
      </c>
      <c r="L44" s="51">
        <f t="shared" si="6"/>
        <v>-3.7037037037037033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500</v>
      </c>
      <c r="K45" s="60">
        <v>550</v>
      </c>
      <c r="L45" s="51">
        <f t="shared" si="6"/>
        <v>4.7619047619047619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1300</v>
      </c>
      <c r="K46" s="60">
        <v>1550</v>
      </c>
      <c r="L46" s="51">
        <f t="shared" si="6"/>
        <v>5.2631578947368416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6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180</v>
      </c>
      <c r="H48" s="60">
        <v>280</v>
      </c>
      <c r="I48" s="50">
        <f t="shared" si="5"/>
        <v>0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300</v>
      </c>
      <c r="H51" s="60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900</v>
      </c>
      <c r="K52" s="60">
        <v>2200</v>
      </c>
      <c r="L52" s="51">
        <f t="shared" si="8"/>
        <v>-16.129032258064516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1300</v>
      </c>
      <c r="G54" s="60">
        <v>1200</v>
      </c>
      <c r="H54" s="60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2</v>
      </c>
    </row>
    <row r="55" spans="1:13" s="52" customFormat="1" x14ac:dyDescent="0.3">
      <c r="A55" s="47" t="s">
        <v>57</v>
      </c>
      <c r="B55" s="48" t="s">
        <v>14</v>
      </c>
      <c r="C55" s="41">
        <v>160</v>
      </c>
      <c r="D55" s="41">
        <v>180</v>
      </c>
      <c r="E55" s="41">
        <v>170</v>
      </c>
      <c r="F55" s="41">
        <v>180</v>
      </c>
      <c r="G55" s="60">
        <v>180</v>
      </c>
      <c r="H55" s="60">
        <v>200</v>
      </c>
      <c r="I55" s="50">
        <f t="shared" si="7"/>
        <v>-10.526315789473683</v>
      </c>
      <c r="J55" s="60">
        <v>155</v>
      </c>
      <c r="K55" s="60">
        <v>180</v>
      </c>
      <c r="L55" s="51">
        <f t="shared" si="8"/>
        <v>1.4925373134328357</v>
      </c>
      <c r="M55" s="53">
        <f t="shared" si="0"/>
        <v>-2.8571428571428572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9"/>
      <c r="H64" s="79"/>
      <c r="I64" s="4"/>
      <c r="J64" s="3"/>
      <c r="K64" s="3"/>
      <c r="L64" s="5"/>
    </row>
    <row r="65" spans="1:13" x14ac:dyDescent="0.3">
      <c r="A65" s="85" t="s">
        <v>1</v>
      </c>
      <c r="B65" s="85" t="s">
        <v>2</v>
      </c>
      <c r="C65" s="73" t="s">
        <v>3</v>
      </c>
      <c r="D65" s="75"/>
      <c r="E65" s="73" t="s">
        <v>4</v>
      </c>
      <c r="F65" s="75"/>
      <c r="G65" s="73" t="s">
        <v>5</v>
      </c>
      <c r="H65" s="75"/>
      <c r="I65" s="26" t="s">
        <v>6</v>
      </c>
      <c r="J65" s="73" t="s">
        <v>7</v>
      </c>
      <c r="K65" s="75"/>
      <c r="L65" s="26" t="s">
        <v>8</v>
      </c>
    </row>
    <row r="66" spans="1:13" ht="18" customHeight="1" x14ac:dyDescent="0.3">
      <c r="A66" s="86"/>
      <c r="B66" s="86"/>
      <c r="C66" s="89">
        <v>46194</v>
      </c>
      <c r="D66" s="90"/>
      <c r="E66" s="89">
        <v>46187</v>
      </c>
      <c r="F66" s="90"/>
      <c r="G66" s="87">
        <v>46163</v>
      </c>
      <c r="H66" s="88"/>
      <c r="I66" s="26" t="s">
        <v>9</v>
      </c>
      <c r="J66" s="87">
        <v>45829</v>
      </c>
      <c r="K66" s="88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350</v>
      </c>
      <c r="H69" s="60">
        <v>550</v>
      </c>
      <c r="I69" s="50">
        <f>((C69+D69)/2-(G69+H69)/2)/((G69+H69)/2)*100</f>
        <v>0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-66.666666666666657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30</v>
      </c>
      <c r="E71" s="41">
        <v>20</v>
      </c>
      <c r="F71" s="41">
        <v>30</v>
      </c>
      <c r="G71" s="60">
        <v>20</v>
      </c>
      <c r="H71" s="60">
        <v>40</v>
      </c>
      <c r="I71" s="50">
        <f t="shared" ref="I71:I78" si="11">((C71+D71)/2-(G71+H71)/2)/((G71+H71)/2)*100</f>
        <v>-16.666666666666664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60</v>
      </c>
      <c r="D72" s="41">
        <v>120</v>
      </c>
      <c r="E72" s="41">
        <v>60</v>
      </c>
      <c r="F72" s="41">
        <v>120</v>
      </c>
      <c r="G72" s="60">
        <v>90</v>
      </c>
      <c r="H72" s="60">
        <v>150</v>
      </c>
      <c r="I72" s="50">
        <f t="shared" si="11"/>
        <v>-25</v>
      </c>
      <c r="J72" s="49">
        <v>60</v>
      </c>
      <c r="K72" s="49">
        <v>120</v>
      </c>
      <c r="L72" s="51">
        <f t="shared" si="9"/>
        <v>0</v>
      </c>
      <c r="M72" s="53">
        <f t="shared" si="12"/>
        <v>0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90</v>
      </c>
      <c r="E73" s="41">
        <v>70</v>
      </c>
      <c r="F73" s="41">
        <v>80</v>
      </c>
      <c r="G73" s="60">
        <v>80</v>
      </c>
      <c r="H73" s="60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6.666666666666667</v>
      </c>
    </row>
    <row r="74" spans="1:13" s="53" customFormat="1" x14ac:dyDescent="0.3">
      <c r="A74" s="47" t="s">
        <v>107</v>
      </c>
      <c r="B74" s="54" t="s">
        <v>14</v>
      </c>
      <c r="C74" s="41">
        <v>50</v>
      </c>
      <c r="D74" s="41">
        <v>80</v>
      </c>
      <c r="E74" s="41">
        <v>50</v>
      </c>
      <c r="F74" s="41">
        <v>80</v>
      </c>
      <c r="G74" s="60">
        <v>50</v>
      </c>
      <c r="H74" s="60">
        <v>100</v>
      </c>
      <c r="I74" s="50">
        <f t="shared" si="11"/>
        <v>-13.333333333333334</v>
      </c>
      <c r="J74" s="49">
        <v>50</v>
      </c>
      <c r="K74" s="49">
        <v>80</v>
      </c>
      <c r="L74" s="51">
        <f t="shared" si="9"/>
        <v>0</v>
      </c>
      <c r="M74" s="53">
        <f t="shared" si="12"/>
        <v>0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45</v>
      </c>
      <c r="H75" s="64">
        <v>55</v>
      </c>
      <c r="I75" s="50">
        <f t="shared" si="11"/>
        <v>-5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88000</v>
      </c>
      <c r="D77" s="41">
        <v>92000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2.8571428571428572</v>
      </c>
      <c r="J77" s="60">
        <v>87500</v>
      </c>
      <c r="K77" s="60">
        <v>91000</v>
      </c>
      <c r="L77" s="51">
        <f t="shared" si="9"/>
        <v>0.84033613445378152</v>
      </c>
      <c r="M77" s="53">
        <f t="shared" si="12"/>
        <v>2.8571428571428572</v>
      </c>
    </row>
    <row r="78" spans="1:13" s="53" customFormat="1" x14ac:dyDescent="0.3">
      <c r="A78" s="47" t="s">
        <v>74</v>
      </c>
      <c r="B78" s="48" t="s">
        <v>73</v>
      </c>
      <c r="C78" s="41">
        <v>83500</v>
      </c>
      <c r="D78" s="46">
        <v>84000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2.1341463414634148</v>
      </c>
      <c r="J78" s="60">
        <v>75000</v>
      </c>
      <c r="K78" s="64">
        <v>80000</v>
      </c>
      <c r="L78" s="51">
        <f t="shared" si="9"/>
        <v>8.064516129032258</v>
      </c>
      <c r="M78" s="53">
        <f t="shared" si="12"/>
        <v>2.1341463414634148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8" t="s">
        <v>131</v>
      </c>
      <c r="C81" s="78"/>
      <c r="D81" s="78"/>
      <c r="E81" s="78"/>
      <c r="F81" s="78"/>
      <c r="G81" s="78"/>
      <c r="H81" s="78"/>
      <c r="I81" s="78"/>
      <c r="J81" s="78"/>
      <c r="K81" s="78"/>
      <c r="L81" s="78"/>
    </row>
    <row r="82" spans="1:12" x14ac:dyDescent="0.3">
      <c r="A82" s="7"/>
      <c r="B82" s="78" t="s">
        <v>132</v>
      </c>
      <c r="C82" s="78"/>
      <c r="D82" s="78"/>
      <c r="E82" s="78"/>
      <c r="F82" s="78"/>
      <c r="G82" s="78"/>
      <c r="H82" s="78"/>
      <c r="I82" s="78"/>
      <c r="J82" s="78"/>
      <c r="K82" s="78"/>
      <c r="L82" s="78"/>
    </row>
    <row r="83" spans="1:12" x14ac:dyDescent="0.3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73" t="s">
        <v>3</v>
      </c>
      <c r="D85" s="75"/>
      <c r="E85" s="76" t="s">
        <v>78</v>
      </c>
      <c r="F85" s="77"/>
      <c r="G85" s="27" t="s">
        <v>9</v>
      </c>
      <c r="H85" s="73" t="s">
        <v>79</v>
      </c>
      <c r="I85" s="74"/>
      <c r="J85" s="75"/>
      <c r="K85" s="10"/>
      <c r="L85" s="2"/>
    </row>
    <row r="86" spans="1:12" x14ac:dyDescent="0.3">
      <c r="A86" s="47" t="s">
        <v>13</v>
      </c>
      <c r="B86" s="48" t="s">
        <v>14</v>
      </c>
      <c r="C86" s="41">
        <v>72</v>
      </c>
      <c r="D86" s="41">
        <v>85</v>
      </c>
      <c r="E86" s="41">
        <v>70</v>
      </c>
      <c r="F86" s="41">
        <v>85</v>
      </c>
      <c r="G86" s="32">
        <f t="shared" ref="G86:G93" si="13">((C86+D86)/2-(E86+F86)/2)/((E86+F86)/2)*100</f>
        <v>1.2903225806451613</v>
      </c>
      <c r="H86" s="73" t="s">
        <v>122</v>
      </c>
      <c r="I86" s="74"/>
      <c r="J86" s="75"/>
      <c r="K86" s="10"/>
      <c r="L86" s="2"/>
    </row>
    <row r="87" spans="1:12" x14ac:dyDescent="0.3">
      <c r="A87" s="47" t="s">
        <v>15</v>
      </c>
      <c r="B87" s="48" t="s">
        <v>14</v>
      </c>
      <c r="C87" s="41">
        <v>50</v>
      </c>
      <c r="D87" s="41">
        <v>60</v>
      </c>
      <c r="E87" s="41">
        <v>52</v>
      </c>
      <c r="F87" s="41">
        <v>60</v>
      </c>
      <c r="G87" s="32">
        <f t="shared" si="13"/>
        <v>-1.7857142857142856</v>
      </c>
      <c r="H87" s="73" t="s">
        <v>130</v>
      </c>
      <c r="I87" s="74"/>
      <c r="J87" s="75"/>
      <c r="K87" s="10"/>
      <c r="L87" s="72"/>
    </row>
    <row r="88" spans="1:12" x14ac:dyDescent="0.3">
      <c r="A88" s="47" t="s">
        <v>100</v>
      </c>
      <c r="B88" s="48" t="s">
        <v>14</v>
      </c>
      <c r="C88" s="41">
        <v>25</v>
      </c>
      <c r="D88" s="41">
        <v>30</v>
      </c>
      <c r="E88" s="41">
        <v>20</v>
      </c>
      <c r="F88" s="41">
        <v>25</v>
      </c>
      <c r="G88" s="32">
        <f t="shared" si="13"/>
        <v>22.222222222222221</v>
      </c>
      <c r="H88" s="73" t="s">
        <v>129</v>
      </c>
      <c r="I88" s="74"/>
      <c r="J88" s="75"/>
      <c r="K88" s="10"/>
      <c r="L88" s="72"/>
    </row>
    <row r="89" spans="1:12" x14ac:dyDescent="0.3">
      <c r="A89" s="47" t="s">
        <v>47</v>
      </c>
      <c r="B89" s="48" t="s">
        <v>14</v>
      </c>
      <c r="C89" s="41">
        <v>130</v>
      </c>
      <c r="D89" s="41">
        <v>200</v>
      </c>
      <c r="E89" s="41">
        <v>130</v>
      </c>
      <c r="F89" s="41">
        <v>210</v>
      </c>
      <c r="G89" s="32">
        <f t="shared" si="13"/>
        <v>-2.9411764705882351</v>
      </c>
      <c r="H89" s="73" t="s">
        <v>130</v>
      </c>
      <c r="I89" s="74"/>
      <c r="J89" s="75"/>
      <c r="K89" s="10"/>
      <c r="L89" s="72"/>
    </row>
    <row r="90" spans="1:12" x14ac:dyDescent="0.3">
      <c r="A90" s="47" t="s">
        <v>57</v>
      </c>
      <c r="B90" s="48" t="s">
        <v>14</v>
      </c>
      <c r="C90" s="41">
        <v>160</v>
      </c>
      <c r="D90" s="41">
        <v>180</v>
      </c>
      <c r="E90" s="41">
        <v>170</v>
      </c>
      <c r="F90" s="41">
        <v>180</v>
      </c>
      <c r="G90" s="32">
        <f t="shared" si="13"/>
        <v>-2.8571428571428572</v>
      </c>
      <c r="H90" s="73" t="s">
        <v>130</v>
      </c>
      <c r="I90" s="74"/>
      <c r="J90" s="75"/>
      <c r="K90" s="10"/>
      <c r="L90" s="72"/>
    </row>
    <row r="91" spans="1:12" x14ac:dyDescent="0.3">
      <c r="A91" s="47" t="s">
        <v>106</v>
      </c>
      <c r="B91" s="54" t="s">
        <v>14</v>
      </c>
      <c r="C91" s="41">
        <v>70</v>
      </c>
      <c r="D91" s="41">
        <v>90</v>
      </c>
      <c r="E91" s="41">
        <v>70</v>
      </c>
      <c r="F91" s="41">
        <v>80</v>
      </c>
      <c r="G91" s="32">
        <f t="shared" si="13"/>
        <v>6.666666666666667</v>
      </c>
      <c r="H91" s="73" t="s">
        <v>129</v>
      </c>
      <c r="I91" s="74"/>
      <c r="J91" s="75"/>
      <c r="K91" s="10"/>
      <c r="L91" s="55"/>
    </row>
    <row r="92" spans="1:12" x14ac:dyDescent="0.3">
      <c r="A92" s="47" t="s">
        <v>72</v>
      </c>
      <c r="B92" s="48" t="s">
        <v>73</v>
      </c>
      <c r="C92" s="41">
        <v>88000</v>
      </c>
      <c r="D92" s="41">
        <v>92000</v>
      </c>
      <c r="E92" s="41">
        <v>85000</v>
      </c>
      <c r="F92" s="41">
        <v>90000</v>
      </c>
      <c r="G92" s="32">
        <f t="shared" si="13"/>
        <v>2.8571428571428572</v>
      </c>
      <c r="H92" s="73" t="s">
        <v>123</v>
      </c>
      <c r="I92" s="74"/>
      <c r="J92" s="75"/>
      <c r="K92" s="10"/>
      <c r="L92" s="12"/>
    </row>
    <row r="93" spans="1:12" x14ac:dyDescent="0.3">
      <c r="A93" s="47" t="s">
        <v>74</v>
      </c>
      <c r="B93" s="48" t="s">
        <v>73</v>
      </c>
      <c r="C93" s="41">
        <v>83500</v>
      </c>
      <c r="D93" s="46">
        <v>84000</v>
      </c>
      <c r="E93" s="41">
        <v>81000</v>
      </c>
      <c r="F93" s="46">
        <v>83000</v>
      </c>
      <c r="G93" s="32">
        <f t="shared" si="13"/>
        <v>2.1341463414634148</v>
      </c>
      <c r="H93" s="73" t="s">
        <v>123</v>
      </c>
      <c r="I93" s="74"/>
      <c r="J93" s="75"/>
      <c r="K93" s="10"/>
      <c r="L93" s="12"/>
    </row>
    <row r="94" spans="1:12" x14ac:dyDescent="0.3">
      <c r="A94" s="67"/>
      <c r="B94" s="68"/>
      <c r="C94" s="69"/>
      <c r="D94" s="70"/>
      <c r="E94" s="69"/>
      <c r="F94" s="70"/>
      <c r="G94" s="71"/>
      <c r="H94" s="7"/>
      <c r="I94" s="1"/>
      <c r="J94" s="1"/>
      <c r="K94" s="10"/>
      <c r="L94" s="12"/>
    </row>
    <row r="95" spans="1:12" x14ac:dyDescent="0.3">
      <c r="A95" s="67"/>
      <c r="B95" s="68"/>
      <c r="C95" s="69"/>
      <c r="D95" s="70"/>
      <c r="E95" s="69"/>
      <c r="F95" s="70"/>
      <c r="G95" s="71"/>
      <c r="H95" s="7"/>
      <c r="I95" s="1"/>
      <c r="J95" s="1"/>
      <c r="K95" s="10"/>
      <c r="L95" s="12"/>
    </row>
    <row r="96" spans="1:12" x14ac:dyDescent="0.3">
      <c r="A96" s="7"/>
      <c r="B96" s="13"/>
      <c r="C96" s="3"/>
      <c r="D96" s="3"/>
      <c r="E96" s="3"/>
      <c r="F96" s="3"/>
      <c r="G96" s="4"/>
      <c r="H96" s="7"/>
      <c r="I96" s="1"/>
      <c r="J96" s="1"/>
      <c r="K96" s="12"/>
      <c r="L96" s="12"/>
    </row>
    <row r="97" spans="1:12" x14ac:dyDescent="0.3">
      <c r="A97" s="7"/>
      <c r="B97" s="14" t="s">
        <v>114</v>
      </c>
      <c r="C97" s="2"/>
      <c r="E97" s="7"/>
      <c r="F97" s="14" t="s">
        <v>102</v>
      </c>
      <c r="G97" s="2"/>
      <c r="I97" s="15"/>
      <c r="J97" s="1" t="s">
        <v>124</v>
      </c>
      <c r="K97" s="2"/>
      <c r="L97" s="12"/>
    </row>
    <row r="98" spans="1:12" x14ac:dyDescent="0.3">
      <c r="A98" s="16"/>
      <c r="B98" s="14" t="s">
        <v>113</v>
      </c>
      <c r="C98" s="1"/>
      <c r="E98" s="16"/>
      <c r="F98" s="14" t="s">
        <v>103</v>
      </c>
      <c r="G98" s="1"/>
      <c r="I98" s="17"/>
      <c r="J98" s="1" t="s">
        <v>125</v>
      </c>
      <c r="L98" s="12"/>
    </row>
    <row r="99" spans="1:12" x14ac:dyDescent="0.3">
      <c r="A99" s="7"/>
      <c r="B99" s="13"/>
      <c r="C99" s="3"/>
      <c r="D99" s="3"/>
      <c r="E99" s="3"/>
      <c r="F99" s="3"/>
      <c r="G99" s="4"/>
      <c r="H99" s="7"/>
      <c r="I99" s="1"/>
      <c r="J99" s="1"/>
      <c r="K99" s="12"/>
      <c r="L99" s="12"/>
    </row>
    <row r="100" spans="1:12" x14ac:dyDescent="0.3">
      <c r="A100" s="7"/>
      <c r="B100" s="1"/>
      <c r="C100" s="3"/>
      <c r="D100" s="3"/>
      <c r="E100" s="3"/>
      <c r="F100" s="3"/>
      <c r="G100" s="4"/>
      <c r="H100" s="18"/>
      <c r="I100" s="12"/>
      <c r="J100" s="12"/>
      <c r="K100" s="12"/>
      <c r="L100" s="12"/>
    </row>
    <row r="101" spans="1:12" x14ac:dyDescent="0.3">
      <c r="A101" s="7"/>
      <c r="C101" s="6"/>
      <c r="D101" s="6"/>
      <c r="E101" s="1"/>
      <c r="F101" s="6"/>
      <c r="G101" s="4"/>
      <c r="H101" s="18"/>
      <c r="I101" s="12"/>
      <c r="J101" s="12"/>
      <c r="K101" s="12"/>
      <c r="L101" s="12"/>
    </row>
    <row r="102" spans="1:12" x14ac:dyDescent="0.3">
      <c r="A102" s="19" t="s">
        <v>86</v>
      </c>
      <c r="B102" s="20"/>
      <c r="C102" s="21"/>
      <c r="D102" s="20"/>
      <c r="E102" s="21"/>
      <c r="F102" s="21"/>
      <c r="G102" s="21"/>
      <c r="H102" s="22"/>
      <c r="I102" s="2"/>
      <c r="J102" s="2"/>
      <c r="K102" s="2"/>
      <c r="L102" s="2"/>
    </row>
    <row r="103" spans="1:12" x14ac:dyDescent="0.3">
      <c r="A103" s="23" t="s">
        <v>115</v>
      </c>
      <c r="B103" s="20"/>
      <c r="C103" s="21"/>
      <c r="D103" s="20"/>
      <c r="E103" s="21"/>
      <c r="F103" s="21"/>
      <c r="G103" s="20"/>
      <c r="H103" s="22"/>
      <c r="I103" s="2"/>
      <c r="J103" s="2"/>
      <c r="K103" s="2"/>
      <c r="L103" s="2"/>
    </row>
    <row r="104" spans="1:12" x14ac:dyDescent="0.3">
      <c r="A104" s="23" t="s">
        <v>108</v>
      </c>
      <c r="B104" s="20"/>
      <c r="C104" s="20"/>
      <c r="D104" s="20"/>
      <c r="E104" s="20"/>
      <c r="F104" s="21"/>
      <c r="G104" s="20"/>
      <c r="H104" s="22"/>
      <c r="I104" s="2"/>
      <c r="J104" s="2"/>
      <c r="K104" s="2"/>
      <c r="L104" s="2"/>
    </row>
    <row r="105" spans="1:12" x14ac:dyDescent="0.3">
      <c r="A105" s="23" t="s">
        <v>80</v>
      </c>
      <c r="B105" s="20"/>
      <c r="C105" s="20"/>
      <c r="D105" s="20"/>
      <c r="E105" s="20"/>
      <c r="F105" s="22"/>
      <c r="G105" s="22"/>
      <c r="H105" s="22"/>
      <c r="I105" s="2"/>
      <c r="J105" s="2"/>
      <c r="K105" s="2"/>
      <c r="L105" s="2"/>
    </row>
    <row r="106" spans="1:12" x14ac:dyDescent="0.3">
      <c r="A106" s="23" t="s">
        <v>109</v>
      </c>
      <c r="B106" s="20"/>
      <c r="C106" s="20"/>
      <c r="D106" s="20"/>
      <c r="E106" s="20"/>
      <c r="F106" s="20"/>
      <c r="G106" s="22"/>
      <c r="H106" s="22"/>
      <c r="I106" s="2"/>
      <c r="J106" s="2"/>
      <c r="K106" s="2"/>
      <c r="L106" s="2"/>
    </row>
    <row r="107" spans="1:12" x14ac:dyDescent="0.3">
      <c r="A107" s="23" t="s">
        <v>89</v>
      </c>
      <c r="B107" s="20"/>
      <c r="C107" s="20"/>
      <c r="D107" s="20"/>
      <c r="E107" s="20"/>
      <c r="F107" s="20"/>
      <c r="G107" s="20"/>
      <c r="H107" s="22"/>
      <c r="I107" s="2"/>
      <c r="J107" s="2"/>
      <c r="K107" s="2"/>
      <c r="L107" s="2"/>
    </row>
    <row r="108" spans="1:12" x14ac:dyDescent="0.3">
      <c r="A108" s="23" t="s">
        <v>95</v>
      </c>
      <c r="B108" s="20"/>
      <c r="C108" s="20"/>
      <c r="D108" s="20"/>
      <c r="E108" s="20"/>
      <c r="F108" s="20"/>
      <c r="G108" s="20"/>
      <c r="H108" s="22"/>
      <c r="I108" s="2"/>
      <c r="J108" s="2"/>
      <c r="K108" s="2"/>
      <c r="L108" s="2"/>
    </row>
    <row r="109" spans="1:12" x14ac:dyDescent="0.3">
      <c r="A109" s="23" t="s">
        <v>88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 x14ac:dyDescent="0.3">
      <c r="A110" s="23" t="s">
        <v>87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 x14ac:dyDescent="0.3">
      <c r="A111" s="23" t="s">
        <v>81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 x14ac:dyDescent="0.3">
      <c r="A112" s="23" t="s">
        <v>90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 x14ac:dyDescent="0.3">
      <c r="A113" s="23" t="s">
        <v>116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 x14ac:dyDescent="0.3">
      <c r="A114" s="23" t="s">
        <v>91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 x14ac:dyDescent="0.3">
      <c r="A115" s="23" t="s">
        <v>92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 x14ac:dyDescent="0.3">
      <c r="A116" s="23" t="s">
        <v>110</v>
      </c>
      <c r="B116" s="20"/>
      <c r="C116" s="20"/>
      <c r="D116" s="20"/>
      <c r="E116" s="20"/>
      <c r="F116" s="20"/>
      <c r="G116" s="20"/>
      <c r="H116" s="24"/>
      <c r="I116" s="12"/>
      <c r="J116" s="12"/>
      <c r="K116" s="12"/>
      <c r="L116" s="12"/>
    </row>
    <row r="117" spans="1:12" x14ac:dyDescent="0.3">
      <c r="A117" s="23"/>
      <c r="B117" s="20"/>
      <c r="C117" s="20"/>
      <c r="D117" s="20"/>
      <c r="E117" s="20"/>
      <c r="F117" s="20"/>
      <c r="G117" s="20"/>
      <c r="H117" s="24"/>
      <c r="I117" s="12"/>
      <c r="J117" s="12"/>
      <c r="K117" s="12"/>
      <c r="L117" s="12"/>
    </row>
    <row r="118" spans="1:12" x14ac:dyDescent="0.3">
      <c r="A118" s="19" t="s">
        <v>82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 x14ac:dyDescent="0.3">
      <c r="A119" s="23" t="s">
        <v>83</v>
      </c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 x14ac:dyDescent="0.3">
      <c r="A120" s="23" t="s">
        <v>117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 x14ac:dyDescent="0.3">
      <c r="A121" s="23" t="s">
        <v>118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 x14ac:dyDescent="0.3">
      <c r="A122" s="23" t="s">
        <v>99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438" spans="2:2" x14ac:dyDescent="0.3">
      <c r="B438" s="11" t="s">
        <v>112</v>
      </c>
    </row>
  </sheetData>
  <mergeCells count="39">
    <mergeCell ref="H92:J92"/>
    <mergeCell ref="H93:J93"/>
    <mergeCell ref="H91:J91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G64:H64"/>
    <mergeCell ref="C65:D65"/>
    <mergeCell ref="E65:F65"/>
    <mergeCell ref="G65:H65"/>
    <mergeCell ref="B81:L81"/>
    <mergeCell ref="H88:J88"/>
    <mergeCell ref="H90:J90"/>
    <mergeCell ref="H89:J89"/>
    <mergeCell ref="H87:J87"/>
    <mergeCell ref="H86:J86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TCB</cp:lastModifiedBy>
  <cp:lastPrinted>2026-06-21T08:41:47Z</cp:lastPrinted>
  <dcterms:created xsi:type="dcterms:W3CDTF">2021-06-05T07:13:00Z</dcterms:created>
  <dcterms:modified xsi:type="dcterms:W3CDTF">2026-06-21T08:41:53Z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