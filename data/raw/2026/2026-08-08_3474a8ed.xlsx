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AFA1B653-8308-4768-8652-4355C5B736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</workbook>
</file>

<file path=xl/calcChain.xml><?xml version="1.0" encoding="utf-8"?>
<calcChain xmlns="http://schemas.openxmlformats.org/spreadsheetml/2006/main">
  <c r="L63" i="4" l="1"/>
  <c r="L62" i="4"/>
  <c r="L61" i="4"/>
  <c r="L60" i="4"/>
  <c r="I63" i="4"/>
  <c r="I62" i="4"/>
  <c r="I61" i="4"/>
  <c r="I60" i="4"/>
  <c r="G92" i="4"/>
  <c r="G90" i="4"/>
  <c r="G89" i="4"/>
  <c r="G95" i="4"/>
  <c r="G94" i="4"/>
  <c r="G93" i="4"/>
  <c r="G91" i="4"/>
  <c r="G88" i="4"/>
  <c r="L11" i="4"/>
  <c r="L12" i="4"/>
  <c r="L10" i="4"/>
  <c r="I10" i="4"/>
  <c r="I11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3" i="4"/>
  <c r="L76" i="4"/>
  <c r="L75" i="4"/>
  <c r="L74" i="4"/>
  <c r="L80" i="4"/>
  <c r="L79" i="4"/>
  <c r="L78" i="4"/>
  <c r="L77" i="4"/>
  <c r="L72" i="4"/>
  <c r="L71" i="4"/>
  <c r="L7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I12" i="4"/>
  <c r="L9" i="4"/>
</calcChain>
</file>

<file path=xl/sharedStrings.xml><?xml version="1.0" encoding="utf-8"?>
<sst xmlns="http://schemas.openxmlformats.org/spreadsheetml/2006/main" count="243" uniqueCount="134">
  <si>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</si>
  <si>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</si>
  <si>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</si>
  <si>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</si>
  <si>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</si>
  <si>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</si>
  <si>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</si>
  <si>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</si>
  <si>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</si>
  <si>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</si>
  <si>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</si>
  <si>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</si>
  <si>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</si>
  <si>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</si>
  <si>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</si>
  <si>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</si>
  <si>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</si>
  <si>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</si>
  <si>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</si>
  <si>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</si>
  <si>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</si>
  <si>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</si>
  <si>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</si>
  <si>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</si>
  <si>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</si>
  <si>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</si>
  <si>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</si>
  <si>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</si>
  <si>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</si>
  <si>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</si>
  <si>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</si>
  <si>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</si>
  <si>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</si>
  <si>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</si>
  <si>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</si>
  <si>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</si>
  <si>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</si>
  <si>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</si>
  <si>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</si>
  <si>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</si>
  <si>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</si>
  <si>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</si>
  <si>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</si>
  <si>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</si>
  <si>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</si>
  <si>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</si>
  <si>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</si>
  <si>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</si>
  <si>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</si>
  <si>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</si>
  <si>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</si>
  <si>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</si>
  <si>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</si>
  <si>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</si>
  <si>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</si>
  <si>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</si>
  <si>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</si>
  <si>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</si>
  <si>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</si>
  <si>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</si>
  <si>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</si>
  <si>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</si>
  <si>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</si>
  <si>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</si>
  <si>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</si>
  <si>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</si>
  <si>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</si>
  <si>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</si>
  <si>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</si>
  <si>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</si>
  <si>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</si>
  <si>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</si>
  <si>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</si>
  <si>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</si>
  <si>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</si>
  <si>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</si>
  <si>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</si>
  <si>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</si>
  <si>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</si>
  <si>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</si>
  <si>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</si>
  <si>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</si>
  <si>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</si>
  <si>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</si>
  <si>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</si>
  <si>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</si>
  <si>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</si>
  <si>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</si>
  <si>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</si>
  <si>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</si>
  <si>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</si>
  <si>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</si>
  <si>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</si>
  <si>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</si>
  <si>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</si>
  <si>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</si>
  <si>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</si>
  <si>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</si>
  <si>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</si>
  <si>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</si>
  <si>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</si>
  <si>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</si>
  <si>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</si>
  <si>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</si>
  <si>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</si>
  <si>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</si>
  <si>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</si>
  <si>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</si>
  <si>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</si>
  <si>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</si>
  <si>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</si>
  <si>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</si>
  <si>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</si>
  <si>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</si>
  <si>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</si>
  <si>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</si>
  <si>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</si>
  <si>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</si>
  <si>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</si>
  <si>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</si>
  <si>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</si>
  <si>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</si>
  <si>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</si>
  <si>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</si>
  <si>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বৃদ্ধি পেয়েছে।</t>
  </si>
  <si>
    <t>০৩-০৮-২০২৬ তারিখে মূল্য হ্রাস পেয়েছে।</t>
  </si>
  <si>
    <t>০৪-০৮-২০২৬ তারিখে মূল্য বৃদ্ধি পেয়েছে।</t>
  </si>
  <si>
    <t xml:space="preserve">শনিবার ০৮ আগষ্ট ২০২৬ খ্রিঃ, ২৪ শ্রাবণ ১৪৩৩ বাংলা, ২৪ সফর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</si>
  <si>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১৯৪</t>
  </si>
  <si>
    <t xml:space="preserve">নং-২৬.০৫.০০০০.০১৭.৩১.০১.২৬-৬২০                                                                                                           তারিখঃ ০৮-০৮-২০২৬ </t>
  </si>
  <si>
    <t>০৭-০৭-২০২৬ তারিখে মূল্য বৃদ্ধি পেয়েছে।</t>
  </si>
  <si>
    <t>০৮-০৮-২০২৬ তারিখে মূল্য হ্রাস পেয়েছে।</t>
  </si>
  <si>
    <t>(১)    ময়দা (খোলা), রশুন (আম), মুরগী ব্রয়লার, এম এস রড (৬০, ৪০ গ্রেড)  এর মূল্য বৃদ্ধি পেয়েছে।</t>
  </si>
  <si>
    <t>(২)     আদা (আম), ধনে,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</si>
</sst>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A52" zoomScale="95" zoomScaleNormal="95" workbookViewId="0">
      <selection activeCell="L60" sqref="L60:L6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128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127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129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46242</v>
      </c>
      <c r="D7" s="77"/>
      <c r="E7" s="76">
        <v>46235</v>
      </c>
      <c r="F7" s="77"/>
      <c r="G7" s="76">
        <v>46211</v>
      </c>
      <c r="H7" s="77"/>
      <c r="I7" s="25" t="s">
        <v>9</v>
      </c>
      <c r="J7" s="80">
        <v>45877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123</v>
      </c>
      <c r="B9" s="45" t="s">
        <v>14</v>
      </c>
      <c r="C9" s="38">
        <v>160</v>
      </c>
      <c r="D9" s="38">
        <v>200</v>
      </c>
      <c r="E9" s="38">
        <v>0</v>
      </c>
      <c r="F9" s="38">
        <v>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 t="e">
        <f>((C9+D9)/2-(E9+F9)/2)/((E9+F9)/2)*100</f>
        <v>#DIV/0!</v>
      </c>
    </row>
    <row r="10" spans="1:18" s="28" customFormat="1">
      <c r="A10" s="44" t="s">
        <v>123</v>
      </c>
      <c r="B10" s="45" t="s">
        <v>19</v>
      </c>
      <c r="C10" s="38">
        <v>200</v>
      </c>
      <c r="D10" s="38">
        <v>230</v>
      </c>
      <c r="E10" s="38">
        <v>0</v>
      </c>
      <c r="F10" s="38">
        <v>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7" t="e">
        <f>((F10+G10)/2-(J10+K10)/2)/((J10+K10)/2)*100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55</v>
      </c>
      <c r="K17" s="56">
        <v>65</v>
      </c>
      <c r="L17" s="48">
        <f>((C17+D17)/2-(J17+K17)/2)/((J17+K17)/2)*100</f>
        <v>4.1666666666666661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70</v>
      </c>
      <c r="L18" s="48">
        <f>((C18+D18)/2-(J18+K18)/2)/((J18+K18)/2)*100</f>
        <v>3.7037037037037033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188</v>
      </c>
      <c r="H20" s="38">
        <v>195</v>
      </c>
      <c r="I20" s="47">
        <f t="shared" ref="I20:I26" si="1">((C20+D20)/2-(G20+H20)/2)/((G20+H20)/2)*100</f>
        <v>-0.52219321148825071</v>
      </c>
      <c r="J20" s="56">
        <v>162</v>
      </c>
      <c r="K20" s="56">
        <v>172</v>
      </c>
      <c r="L20" s="48">
        <f t="shared" ref="L20:L26" si="2">((C20+D20)/2-(J20+K20)/2)/((J20+K20)/2)*100</f>
        <v>14.071856287425149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si="2"/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 t="shared" si="2"/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22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22</v>
      </c>
      <c r="K34" s="56">
        <v>30</v>
      </c>
      <c r="L34" s="48">
        <f t="shared" si="4"/>
        <v>5.7692307692307692</v>
      </c>
      <c r="M34" s="50">
        <f t="shared" si="0"/>
        <v>5.7692307692307692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55</v>
      </c>
      <c r="D36" s="40">
        <v>60</v>
      </c>
      <c r="E36" s="40">
        <v>55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35.294117647058826</v>
      </c>
      <c r="J36" s="56">
        <v>75</v>
      </c>
      <c r="K36" s="56">
        <v>85</v>
      </c>
      <c r="L36" s="48">
        <f t="shared" ref="L36:L51" si="6">((C36+D36)/2-(J36+K36)/2)/((J36+K36)/2)*100</f>
        <v>-28.125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220</v>
      </c>
      <c r="L39" s="48">
        <f t="shared" si="6"/>
        <v>2.6315789473684208</v>
      </c>
      <c r="M39" s="50">
        <f t="shared" si="0"/>
        <v>5.4054054054054053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 t="shared" si="6"/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16.666666666666664</v>
      </c>
      <c r="J45" s="56">
        <v>180</v>
      </c>
      <c r="K45" s="56">
        <v>280</v>
      </c>
      <c r="L45" s="48">
        <f t="shared" si="6"/>
        <v>-23.913043478260871</v>
      </c>
      <c r="M45" s="50">
        <f t="shared" si="0"/>
        <v>-2.7777777777777777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280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-4.3478260869565215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 t="shared" si="6"/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63" si="7">((C53+D53)/2-(G53+H53)/2)/((G53+H53)/2)*100</f>
        <v>0</v>
      </c>
      <c r="J53" s="56">
        <v>300</v>
      </c>
      <c r="K53" s="56">
        <v>450</v>
      </c>
      <c r="L53" s="48">
        <f t="shared" ref="L53:L63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190</v>
      </c>
      <c r="D57" s="38">
        <v>200</v>
      </c>
      <c r="E57" s="38">
        <v>180</v>
      </c>
      <c r="F57" s="38">
        <v>200</v>
      </c>
      <c r="G57" s="38">
        <v>180</v>
      </c>
      <c r="H57" s="38">
        <v>190</v>
      </c>
      <c r="I57" s="47">
        <f t="shared" si="7"/>
        <v>5.4054054054054053</v>
      </c>
      <c r="J57" s="56">
        <v>160</v>
      </c>
      <c r="K57" s="56">
        <v>170</v>
      </c>
      <c r="L57" s="48">
        <f t="shared" si="8"/>
        <v>18.181818181818183</v>
      </c>
      <c r="M57" s="50">
        <f t="shared" si="0"/>
        <v>2.6315789473684208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si="7"/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7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7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7"/>
        <v>8.6705202312138727</v>
      </c>
      <c r="J63" s="56">
        <v>830</v>
      </c>
      <c r="K63" s="56">
        <v>900</v>
      </c>
      <c r="L63" s="48">
        <f t="shared" si="8"/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71" t="s">
        <v>7</v>
      </c>
      <c r="K67" s="72"/>
      <c r="L67" s="25" t="s">
        <v>8</v>
      </c>
    </row>
    <row r="68" spans="1:13" ht="18" customHeight="1">
      <c r="A68" s="79"/>
      <c r="B68" s="79"/>
      <c r="C68" s="76">
        <v>46242</v>
      </c>
      <c r="D68" s="77"/>
      <c r="E68" s="76">
        <v>46235</v>
      </c>
      <c r="F68" s="77"/>
      <c r="G68" s="76">
        <v>46211</v>
      </c>
      <c r="H68" s="77"/>
      <c r="I68" s="25" t="s">
        <v>9</v>
      </c>
      <c r="J68" s="80">
        <v>45877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9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9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9"/>
        <v>2.5</v>
      </c>
      <c r="M72" s="50">
        <f t="shared" si="0"/>
        <v>0</v>
      </c>
    </row>
    <row r="73" spans="1:13" s="50" customFormat="1" ht="19.5">
      <c r="A73" s="44" t="s">
        <v>104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0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105</v>
      </c>
      <c r="B74" s="51" t="s">
        <v>14</v>
      </c>
      <c r="C74" s="38">
        <v>160</v>
      </c>
      <c r="D74" s="38">
        <v>300</v>
      </c>
      <c r="E74" s="38">
        <v>300</v>
      </c>
      <c r="F74" s="38">
        <v>400</v>
      </c>
      <c r="G74" s="38">
        <v>80</v>
      </c>
      <c r="H74" s="38">
        <v>140</v>
      </c>
      <c r="I74" s="47">
        <f t="shared" si="10"/>
        <v>109.09090909090908</v>
      </c>
      <c r="J74" s="46">
        <v>0</v>
      </c>
      <c r="K74" s="46">
        <v>0</v>
      </c>
      <c r="L74" s="48" t="e">
        <f t="shared" si="9"/>
        <v>#DIV/0!</v>
      </c>
      <c r="M74" s="50">
        <f t="shared" si="11"/>
        <v>-34.285714285714285</v>
      </c>
    </row>
    <row r="75" spans="1:13" s="50" customFormat="1">
      <c r="A75" s="44" t="s">
        <v>106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60</v>
      </c>
      <c r="H75" s="38">
        <v>90</v>
      </c>
      <c r="I75" s="47">
        <f t="shared" si="10"/>
        <v>46.666666666666664</v>
      </c>
      <c r="J75" s="67">
        <v>40</v>
      </c>
      <c r="K75" s="67">
        <v>120</v>
      </c>
      <c r="L75" s="48">
        <f t="shared" si="9"/>
        <v>37.5</v>
      </c>
      <c r="M75" s="50">
        <f t="shared" si="11"/>
        <v>0</v>
      </c>
    </row>
    <row r="76" spans="1:13" s="50" customFormat="1">
      <c r="A76" s="44" t="s">
        <v>107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60</v>
      </c>
      <c r="H76" s="38">
        <v>80</v>
      </c>
      <c r="I76" s="47">
        <f t="shared" si="10"/>
        <v>28.571428571428569</v>
      </c>
      <c r="J76" s="67">
        <v>50</v>
      </c>
      <c r="K76" s="67">
        <v>100</v>
      </c>
      <c r="L76" s="48">
        <f t="shared" si="9"/>
        <v>20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0"/>
        <v>0</v>
      </c>
      <c r="J77" s="60">
        <v>40</v>
      </c>
      <c r="K77" s="60">
        <v>48</v>
      </c>
      <c r="L77" s="48">
        <f>((C77+D77)/2-(J77+K77)/2)/((J77+K77)/2)*100</f>
        <v>7.9545454545454541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0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88000</v>
      </c>
      <c r="F79" s="38">
        <v>92000</v>
      </c>
      <c r="G79" s="38">
        <v>88000</v>
      </c>
      <c r="H79" s="38">
        <v>92000</v>
      </c>
      <c r="I79" s="47">
        <f t="shared" si="10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3.8888888888888888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83500</v>
      </c>
      <c r="F80" s="43">
        <v>84000</v>
      </c>
      <c r="G80" s="38">
        <v>83500</v>
      </c>
      <c r="H80" s="43">
        <v>84000</v>
      </c>
      <c r="I80" s="47">
        <f t="shared" si="10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7.4626865671641784</v>
      </c>
    </row>
    <row r="81" spans="1:12" ht="42" customHeight="1">
      <c r="A81" s="83" t="s">
        <v>121</v>
      </c>
      <c r="B81" s="84"/>
      <c r="C81" s="82" t="s">
        <v>122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132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0" t="s">
        <v>133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 spans="1:12">
      <c r="A85" s="7"/>
      <c r="B85" s="7" t="s">
        <v>120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2"/>
      <c r="E87" s="74" t="s">
        <v>78</v>
      </c>
      <c r="F87" s="75"/>
      <c r="G87" s="26" t="s">
        <v>9</v>
      </c>
      <c r="H87" s="71" t="s">
        <v>79</v>
      </c>
      <c r="I87" s="73"/>
      <c r="J87" s="72"/>
      <c r="K87" s="10"/>
      <c r="L87" s="2"/>
    </row>
    <row r="88" spans="1:12">
      <c r="A88" s="44" t="s">
        <v>20</v>
      </c>
      <c r="B88" s="45" t="s">
        <v>14</v>
      </c>
      <c r="C88" s="38">
        <v>60</v>
      </c>
      <c r="D88" s="38">
        <v>65</v>
      </c>
      <c r="E88" s="38">
        <v>60</v>
      </c>
      <c r="F88" s="38">
        <v>60</v>
      </c>
      <c r="G88" s="31">
        <f t="shared" ref="G88:G95" si="12">((C88+D88)/2-(E88+F88)/2)/((E88+F88)/2)*100</f>
        <v>4.1666666666666661</v>
      </c>
      <c r="H88" s="71" t="s">
        <v>130</v>
      </c>
      <c r="I88" s="73"/>
      <c r="J88" s="72"/>
      <c r="K88" s="10"/>
      <c r="L88" s="2"/>
    </row>
    <row r="89" spans="1:12">
      <c r="A89" s="44" t="s">
        <v>41</v>
      </c>
      <c r="B89" s="45" t="s">
        <v>14</v>
      </c>
      <c r="C89" s="40">
        <v>170</v>
      </c>
      <c r="D89" s="38">
        <v>220</v>
      </c>
      <c r="E89" s="40">
        <v>170</v>
      </c>
      <c r="F89" s="38">
        <v>200</v>
      </c>
      <c r="G89" s="31">
        <f t="shared" si="12"/>
        <v>5.4054054054054053</v>
      </c>
      <c r="H89" s="71" t="s">
        <v>126</v>
      </c>
      <c r="I89" s="73"/>
      <c r="J89" s="72"/>
      <c r="K89" s="10"/>
      <c r="L89" s="2"/>
    </row>
    <row r="90" spans="1:12">
      <c r="A90" s="44" t="s">
        <v>47</v>
      </c>
      <c r="B90" s="45" t="s">
        <v>14</v>
      </c>
      <c r="C90" s="38">
        <v>150</v>
      </c>
      <c r="D90" s="38">
        <v>200</v>
      </c>
      <c r="E90" s="38">
        <v>160</v>
      </c>
      <c r="F90" s="38">
        <v>200</v>
      </c>
      <c r="G90" s="31">
        <f t="shared" si="12"/>
        <v>-2.7777777777777777</v>
      </c>
      <c r="H90" s="71" t="s">
        <v>125</v>
      </c>
      <c r="I90" s="73"/>
      <c r="J90" s="72"/>
      <c r="K90" s="10"/>
      <c r="L90" s="2"/>
    </row>
    <row r="91" spans="1:12">
      <c r="A91" s="44" t="s">
        <v>52</v>
      </c>
      <c r="B91" s="45" t="s">
        <v>14</v>
      </c>
      <c r="C91" s="38">
        <v>180</v>
      </c>
      <c r="D91" s="38">
        <v>260</v>
      </c>
      <c r="E91" s="38">
        <v>180</v>
      </c>
      <c r="F91" s="38">
        <v>280</v>
      </c>
      <c r="G91" s="31">
        <f t="shared" si="12"/>
        <v>-4.3478260869565215</v>
      </c>
      <c r="H91" s="71" t="s">
        <v>125</v>
      </c>
      <c r="I91" s="73"/>
      <c r="J91" s="72"/>
      <c r="K91" s="10"/>
      <c r="L91" s="2"/>
    </row>
    <row r="92" spans="1:12">
      <c r="A92" s="44" t="s">
        <v>57</v>
      </c>
      <c r="B92" s="45" t="s">
        <v>14</v>
      </c>
      <c r="C92" s="38">
        <v>190</v>
      </c>
      <c r="D92" s="38">
        <v>200</v>
      </c>
      <c r="E92" s="38">
        <v>180</v>
      </c>
      <c r="F92" s="38">
        <v>200</v>
      </c>
      <c r="G92" s="31">
        <f t="shared" si="12"/>
        <v>2.6315789473684208</v>
      </c>
      <c r="H92" s="71" t="s">
        <v>130</v>
      </c>
      <c r="I92" s="73"/>
      <c r="J92" s="72"/>
      <c r="K92" s="10"/>
      <c r="L92" s="2"/>
    </row>
    <row r="93" spans="1:12">
      <c r="A93" s="44" t="s">
        <v>105</v>
      </c>
      <c r="B93" s="51" t="s">
        <v>14</v>
      </c>
      <c r="C93" s="38">
        <v>160</v>
      </c>
      <c r="D93" s="38">
        <v>300</v>
      </c>
      <c r="E93" s="38">
        <v>300</v>
      </c>
      <c r="F93" s="38">
        <v>400</v>
      </c>
      <c r="G93" s="31">
        <f t="shared" si="12"/>
        <v>-34.285714285714285</v>
      </c>
      <c r="H93" s="71" t="s">
        <v>131</v>
      </c>
      <c r="I93" s="73"/>
      <c r="J93" s="72"/>
      <c r="K93" s="10"/>
      <c r="L93" s="2"/>
    </row>
    <row r="94" spans="1:12">
      <c r="A94" s="44" t="s">
        <v>72</v>
      </c>
      <c r="B94" s="45" t="s">
        <v>73</v>
      </c>
      <c r="C94" s="38">
        <v>92500</v>
      </c>
      <c r="D94" s="38">
        <v>94500</v>
      </c>
      <c r="E94" s="38">
        <v>88000</v>
      </c>
      <c r="F94" s="38">
        <v>92000</v>
      </c>
      <c r="G94" s="31">
        <f t="shared" si="12"/>
        <v>3.8888888888888888</v>
      </c>
      <c r="H94" s="71" t="s">
        <v>124</v>
      </c>
      <c r="I94" s="73"/>
      <c r="J94" s="72"/>
      <c r="K94" s="10"/>
      <c r="L94" s="2"/>
    </row>
    <row r="95" spans="1:12">
      <c r="A95" s="44" t="s">
        <v>74</v>
      </c>
      <c r="B95" s="45" t="s">
        <v>73</v>
      </c>
      <c r="C95" s="38">
        <v>89000</v>
      </c>
      <c r="D95" s="43">
        <v>91000</v>
      </c>
      <c r="E95" s="38">
        <v>83500</v>
      </c>
      <c r="F95" s="43">
        <v>84000</v>
      </c>
      <c r="G95" s="31">
        <f t="shared" si="12"/>
        <v>7.4626865671641784</v>
      </c>
      <c r="H95" s="71" t="s">
        <v>124</v>
      </c>
      <c r="I95" s="73"/>
      <c r="J95" s="72"/>
      <c r="K95" s="10"/>
      <c r="L95" s="2"/>
    </row>
    <row r="96" spans="1:12">
      <c r="A96" s="62"/>
      <c r="B96" s="68"/>
      <c r="C96" s="64"/>
      <c r="D96" s="64"/>
      <c r="E96" s="64"/>
      <c r="F96" s="64"/>
      <c r="G96" s="66"/>
      <c r="H96" s="69"/>
      <c r="I96" s="69"/>
      <c r="J96" s="69"/>
      <c r="K96" s="10"/>
      <c r="L96" s="2"/>
    </row>
    <row r="97" spans="1:12">
      <c r="A97" s="62"/>
      <c r="B97" s="68"/>
      <c r="C97" s="64"/>
      <c r="D97" s="64"/>
      <c r="E97" s="64"/>
      <c r="F97" s="64"/>
      <c r="G97" s="66"/>
      <c r="H97" s="69"/>
      <c r="I97" s="69"/>
      <c r="J97" s="69"/>
      <c r="K97" s="10"/>
      <c r="L97" s="2"/>
    </row>
    <row r="98" spans="1:12">
      <c r="A98" s="62"/>
      <c r="B98" s="63"/>
      <c r="C98" s="64"/>
      <c r="D98" s="65"/>
      <c r="E98" s="64"/>
      <c r="F98" s="65"/>
      <c r="G98" s="66"/>
      <c r="H98" s="7"/>
      <c r="I98" s="1"/>
      <c r="J98" s="1"/>
      <c r="K98" s="10"/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4" t="s">
        <v>113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>
      <c r="A101" s="16"/>
      <c r="B101" s="14" t="s">
        <v>112</v>
      </c>
      <c r="C101" s="1"/>
      <c r="E101" s="16"/>
      <c r="F101" s="14" t="s">
        <v>103</v>
      </c>
      <c r="G101" s="1"/>
      <c r="I101" s="2"/>
      <c r="J101" s="1"/>
      <c r="L101" s="12"/>
    </row>
    <row r="102" spans="1:12">
      <c r="A102" s="7"/>
      <c r="C102" s="6"/>
      <c r="D102" s="6"/>
      <c r="E102" s="1"/>
      <c r="F102" s="6"/>
      <c r="G102" s="4"/>
      <c r="H102" s="17"/>
      <c r="I102" s="12"/>
      <c r="J102" s="12"/>
      <c r="K102" s="12"/>
      <c r="L102" s="12"/>
    </row>
    <row r="103" spans="1:12">
      <c r="A103" s="18" t="s">
        <v>86</v>
      </c>
      <c r="B103" s="19"/>
      <c r="C103" s="20"/>
      <c r="D103" s="19"/>
      <c r="E103" s="20"/>
      <c r="F103" s="20"/>
      <c r="G103" s="20"/>
      <c r="H103" s="21"/>
      <c r="I103" s="2"/>
      <c r="J103" s="2"/>
      <c r="K103" s="2"/>
      <c r="L103" s="2"/>
    </row>
    <row r="104" spans="1:12">
      <c r="A104" s="22" t="s">
        <v>114</v>
      </c>
      <c r="B104" s="19"/>
      <c r="C104" s="20"/>
      <c r="D104" s="19"/>
      <c r="E104" s="20"/>
      <c r="F104" s="20"/>
      <c r="G104" s="19"/>
      <c r="H104" s="21"/>
      <c r="I104" s="2"/>
      <c r="J104" s="2"/>
      <c r="K104" s="2"/>
      <c r="L104" s="2"/>
    </row>
    <row r="105" spans="1:12">
      <c r="A105" s="22" t="s">
        <v>108</v>
      </c>
      <c r="B105" s="19"/>
      <c r="C105" s="19"/>
      <c r="D105" s="19"/>
      <c r="E105" s="19"/>
      <c r="F105" s="20"/>
      <c r="G105" s="19"/>
      <c r="H105" s="21"/>
      <c r="I105" s="2"/>
      <c r="J105" s="2"/>
      <c r="K105" s="2"/>
      <c r="L105" s="2"/>
    </row>
    <row r="106" spans="1:12">
      <c r="A106" s="22" t="s">
        <v>80</v>
      </c>
      <c r="B106" s="19"/>
      <c r="C106" s="19"/>
      <c r="D106" s="19"/>
      <c r="E106" s="19"/>
      <c r="F106" s="21"/>
      <c r="G106" s="21"/>
      <c r="H106" s="21"/>
      <c r="I106" s="2"/>
      <c r="J106" s="2"/>
      <c r="K106" s="2"/>
      <c r="L106" s="2"/>
    </row>
    <row r="107" spans="1:12">
      <c r="A107" s="22" t="s">
        <v>109</v>
      </c>
      <c r="B107" s="19"/>
      <c r="C107" s="19"/>
      <c r="D107" s="19"/>
      <c r="E107" s="19"/>
      <c r="F107" s="19"/>
      <c r="G107" s="21"/>
      <c r="H107" s="21"/>
      <c r="I107" s="2"/>
      <c r="J107" s="2"/>
      <c r="K107" s="2"/>
      <c r="L107" s="2"/>
    </row>
    <row r="108" spans="1:12">
      <c r="A108" s="22" t="s">
        <v>89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95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88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87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90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115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110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/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18" t="s">
        <v>82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83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116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99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439" spans="2:2">
      <c r="B439" s="11" t="s">
        <v>111</v>
      </c>
    </row>
  </sheetData>
  <mergeCells count="40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B83:L83"/>
    <mergeCell ref="B84:L84"/>
    <mergeCell ref="C87:D87"/>
    <mergeCell ref="H88:J88"/>
    <mergeCell ref="H95:J95"/>
    <mergeCell ref="H91:J91"/>
    <mergeCell ref="H93:J93"/>
    <mergeCell ref="H89:J89"/>
    <mergeCell ref="H94:J94"/>
    <mergeCell ref="E87:F87"/>
    <mergeCell ref="H87:J87"/>
    <mergeCell ref="H92:J92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2026-08-09T08:59:24Z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