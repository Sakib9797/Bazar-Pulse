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2A58BF65-C9FF-4D43-95AA-759E7A07039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price'!$A$1:$L$124</definedName>
  </definedNames>
  <calcPr calcId="191028"/>
</workbook>
</file>

<file path=xl/calcChain.xml><?xml version="1.0" encoding="utf-8"?>
<calcChain xmlns="http://schemas.openxmlformats.org/spreadsheetml/2006/main">
  <c r="G90" i="4" l="1"/>
  <c r="G94" i="4"/>
  <c r="G89" i="4"/>
  <c r="G91" i="4"/>
  <c r="G88" i="4"/>
  <c r="G92" i="4"/>
  <c r="G93" i="4"/>
  <c r="I76" i="4"/>
  <c r="I51" i="4"/>
  <c r="I22" i="4"/>
  <c r="I26" i="4"/>
  <c r="I11" i="4"/>
  <c r="I12" i="4"/>
  <c r="I13" i="4"/>
  <c r="G95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<sst xmlns="http://schemas.openxmlformats.org/spreadsheetml/2006/main" count="243" uniqueCount="135">
  <si>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</si>
  <si>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</si>
  <si>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</si>
  <si>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</si>
  <si>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</si>
  <si>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</si>
  <si>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</si>
  <si>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</si>
  <si>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</si>
  <si>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</si>
  <si>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</si>
  <si>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</si>
  <si>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</si>
  <si>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</si>
  <si>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</si>
  <si>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</si>
  <si>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</si>
  <si>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</si>
  <si>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</si>
  <si>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</si>
  <si>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</si>
  <si>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</si>
  <si>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</si>
  <si>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</si>
  <si>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</si>
  <si>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</si>
  <si>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</si>
  <si>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</si>
  <si>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</si>
  <si>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</si>
  <si>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</si>
  <si>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</si>
  <si>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</si>
  <si>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</si>
  <si>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</si>
  <si>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</si>
  <si>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</si>
  <si>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</si>
  <si>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</si>
  <si>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</si>
  <si>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</si>
  <si>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</si>
  <si>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</si>
  <si>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</si>
  <si>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</si>
  <si>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</si>
  <si>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</si>
  <si>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</si>
  <si>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</si>
  <si>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</si>
  <si>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</si>
  <si>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</si>
  <si>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</si>
  <si>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</si>
  <si>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</si>
  <si>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</si>
  <si>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</si>
  <si>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</si>
  <si>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</si>
  <si>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</si>
  <si>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</si>
  <si>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</si>
  <si>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</si>
  <si>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</si>
  <si>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</si>
  <si>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</si>
  <si>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</si>
  <si>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</si>
  <si>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</si>
  <si>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</si>
  <si>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</si>
  <si>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</si>
  <si>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</si>
  <si>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</si>
  <si>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</si>
  <si>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</si>
  <si>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</si>
  <si>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</si>
  <si>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</si>
  <si>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</si>
  <si>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</si>
  <si>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</si>
  <si>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</si>
  <si>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</si>
  <si>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</si>
  <si>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</si>
  <si>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</si>
  <si>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</si>
  <si>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</si>
  <si>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</si>
  <si>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</si>
  <si>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</si>
  <si>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</si>
  <si>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</si>
  <si>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</si>
  <si>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</si>
  <si>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</si>
  <si>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</si>
  <si>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</si>
  <si>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</si>
  <si>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</si>
  <si>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</si>
  <si>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</si>
  <si>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</si>
  <si>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</si>
  <si>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</si>
  <si>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</si>
  <si>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</si>
  <si>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</si>
  <si>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</si>
  <si>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</si>
  <si>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</si>
  <si>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</si>
  <si>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</si>
  <si>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</si>
  <si>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</si>
  <si>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</si>
  <si>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</si>
  <si>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</si>
  <si>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</si>
  <si>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</si>
  <si>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</si>
  <si>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</si>
  <si>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</si>
  <si>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০২-০৯-২০২৬ তারিখে মূল্য হ্রাস পেয়েছে।</t>
  </si>
  <si>
    <t>০২-০৯-২০২৬ তারিখে মূল্য বৃদ্ধি পেয়েছে।</t>
  </si>
  <si>
    <t>০৬-০৯-২০২৬ তারিখে মূল্য হ্রাস পেয়েছে।</t>
  </si>
  <si>
    <t>০৭-০৯-২০২৬ তারিখে মূল্য বৃদ্ধি পেয়েছে।</t>
  </si>
  <si>
    <t xml:space="preserve">নং-২৬.০৫.০০০০.০১৭.৩১.০১.২৬-৬৯৮                                                                                                           তারিখঃ ০৮-০৯-২০২৬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</si>
  <si>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২২৩</t>
  </si>
  <si>
    <t xml:space="preserve">মঙ্গলবার ০৮ সেপ্টেম্বর ২০২৬ খ্রিঃ, ২৪ ভাদ্র ১৪৩৩ বাংলা, ২৫ রবিউল আউয়াল ১৪৪৮ হিজরি </t>
  </si>
  <si>
    <t>০৮-০৯-২০২৬ তারিখে মূল্য হ্রাস পেয়েছে।</t>
  </si>
  <si>
    <t>(২)    চাল সুগন্ধী (পোলাও) (প্যাঃ), আদা (দেশী), চিনি, কাঁচামরিচ   এর মূল্য হ্রাস পেয়েছে।</t>
  </si>
  <si>
    <t>০৮-০৯-২০২৬ তারিখে মূল্য বৃদ্ধি পেয়েছে।</t>
  </si>
  <si>
    <t>(১)   ময়দা (প্যাঃ), পাম অয়েল লুজ, ছোলা, ধনে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</si>
</sst>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179782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topLeftCell="A82" zoomScale="112" zoomScaleNormal="112" workbookViewId="0">
      <selection activeCell="B83" sqref="B83:L8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6" t="s">
        <v>115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116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129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130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2"/>
      <c r="Q4" s="52"/>
      <c r="R4" s="52"/>
    </row>
    <row r="5" spans="1:18">
      <c r="A5" s="80" t="s">
        <v>128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3"/>
      <c r="Q5" s="54"/>
    </row>
    <row r="6" spans="1:18" s="28" customFormat="1">
      <c r="A6" s="68" t="s">
        <v>1</v>
      </c>
      <c r="B6" s="68" t="s">
        <v>2</v>
      </c>
      <c r="C6" s="70" t="s">
        <v>3</v>
      </c>
      <c r="D6" s="71"/>
      <c r="E6" s="70" t="s">
        <v>4</v>
      </c>
      <c r="F6" s="71"/>
      <c r="G6" s="70" t="s">
        <v>5</v>
      </c>
      <c r="H6" s="71"/>
      <c r="I6" s="25" t="s">
        <v>6</v>
      </c>
      <c r="J6" s="70" t="s">
        <v>7</v>
      </c>
      <c r="K6" s="71"/>
      <c r="L6" s="27" t="s">
        <v>8</v>
      </c>
      <c r="M6" s="50"/>
    </row>
    <row r="7" spans="1:18" s="28" customFormat="1">
      <c r="A7" s="69"/>
      <c r="B7" s="69"/>
      <c r="C7" s="72">
        <v>46273</v>
      </c>
      <c r="D7" s="73"/>
      <c r="E7" s="72">
        <v>46266</v>
      </c>
      <c r="F7" s="73"/>
      <c r="G7" s="72">
        <v>46242</v>
      </c>
      <c r="H7" s="73"/>
      <c r="I7" s="25" t="s">
        <v>9</v>
      </c>
      <c r="J7" s="74">
        <v>45908</v>
      </c>
      <c r="K7" s="75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160</v>
      </c>
      <c r="H9" s="38">
        <v>200</v>
      </c>
      <c r="I9" s="47">
        <f>((C9+D9)/2-(G9+H9)/2)/((G9+H9)/2)*100</f>
        <v>6.9444444444444446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240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65</v>
      </c>
      <c r="I17" s="47">
        <f>((C17+D17)/2-(G17+H17)/2)/((G17+H17)/2)*100</f>
        <v>8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85</v>
      </c>
      <c r="E18" s="38">
        <v>70</v>
      </c>
      <c r="F18" s="38">
        <v>80</v>
      </c>
      <c r="G18" s="38">
        <v>65</v>
      </c>
      <c r="H18" s="38">
        <v>75</v>
      </c>
      <c r="I18" s="47">
        <f>((C18+D18)/2-(G18+H18)/2)/((G18+H18)/2)*100</f>
        <v>10.714285714285714</v>
      </c>
      <c r="J18" s="38">
        <v>65</v>
      </c>
      <c r="K18" s="38">
        <v>75</v>
      </c>
      <c r="L18" s="48">
        <f>((C18+D18)/2-(J18+K18)/2)/((J18+K18)/2)*100</f>
        <v>10.714285714285714</v>
      </c>
      <c r="M18" s="50">
        <f t="shared" si="0"/>
        <v>3.3333333333333335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168</v>
      </c>
      <c r="K20" s="38">
        <v>172</v>
      </c>
      <c r="L20" s="48">
        <f>((C20+D20)/2-(J20+K20)/2)/((J20+K20)/2)*100</f>
        <v>12.058823529411764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172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0.59701492537313439</v>
      </c>
      <c r="J24" s="38">
        <v>153</v>
      </c>
      <c r="K24" s="38">
        <v>157</v>
      </c>
      <c r="L24" s="48">
        <f t="shared" si="2"/>
        <v>8.7096774193548381</v>
      </c>
      <c r="M24" s="50">
        <f t="shared" si="0"/>
        <v>0.59701492537313439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10.526315789473683</v>
      </c>
      <c r="J33" s="38">
        <v>95</v>
      </c>
      <c r="K33" s="38">
        <v>110</v>
      </c>
      <c r="L33" s="48">
        <f t="shared" si="4"/>
        <v>2.4390243902439024</v>
      </c>
      <c r="M33" s="50">
        <f t="shared" si="0"/>
        <v>10.526315789473683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25</v>
      </c>
      <c r="K34" s="38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38">
        <v>75</v>
      </c>
      <c r="K36" s="38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140</v>
      </c>
      <c r="L38" s="48">
        <f t="shared" si="6"/>
        <v>-20.833333333333336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130</v>
      </c>
      <c r="F39" s="38">
        <v>200</v>
      </c>
      <c r="G39" s="40">
        <v>170</v>
      </c>
      <c r="H39" s="38">
        <v>220</v>
      </c>
      <c r="I39" s="47">
        <f t="shared" si="5"/>
        <v>-15.384615384615385</v>
      </c>
      <c r="J39" s="38">
        <v>130</v>
      </c>
      <c r="K39" s="38">
        <v>200</v>
      </c>
      <c r="L39" s="48">
        <f t="shared" si="6"/>
        <v>0</v>
      </c>
      <c r="M39" s="50">
        <f t="shared" si="0"/>
        <v>0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250</v>
      </c>
      <c r="K40" s="38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130</v>
      </c>
      <c r="D44" s="38">
        <v>140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-6.8965517241379306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-3.5714285714285712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38">
        <v>140</v>
      </c>
      <c r="K45" s="38">
        <v>260</v>
      </c>
      <c r="L45" s="48">
        <f t="shared" si="6"/>
        <v>-27.500000000000004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260</v>
      </c>
      <c r="E50" s="38">
        <v>180</v>
      </c>
      <c r="F50" s="38">
        <v>260</v>
      </c>
      <c r="G50" s="38">
        <v>180</v>
      </c>
      <c r="H50" s="38">
        <v>260</v>
      </c>
      <c r="I50" s="47">
        <f t="shared" si="5"/>
        <v>4.5454545454545459</v>
      </c>
      <c r="J50" s="38">
        <v>220</v>
      </c>
      <c r="K50" s="38">
        <v>280</v>
      </c>
      <c r="L50" s="48">
        <f t="shared" si="6"/>
        <v>-8</v>
      </c>
      <c r="M50" s="50">
        <f t="shared" si="0"/>
        <v>4.5454545454545459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200</v>
      </c>
      <c r="K51" s="38">
        <v>225</v>
      </c>
      <c r="L51" s="48">
        <f>((C51+D51)/2-(J51+K51)/2)/((J51+K51)/2)*100</f>
        <v>1.1764705882352942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190</v>
      </c>
      <c r="H57" s="38">
        <v>200</v>
      </c>
      <c r="I57" s="47">
        <f t="shared" si="7"/>
        <v>-2.5641025641025639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>
      <c r="A67" s="68" t="s">
        <v>1</v>
      </c>
      <c r="B67" s="68" t="s">
        <v>2</v>
      </c>
      <c r="C67" s="70" t="s">
        <v>3</v>
      </c>
      <c r="D67" s="71"/>
      <c r="E67" s="70" t="s">
        <v>4</v>
      </c>
      <c r="F67" s="71"/>
      <c r="G67" s="70" t="s">
        <v>5</v>
      </c>
      <c r="H67" s="71"/>
      <c r="I67" s="25" t="s">
        <v>6</v>
      </c>
      <c r="J67" s="70" t="s">
        <v>7</v>
      </c>
      <c r="K67" s="71"/>
      <c r="L67" s="25" t="s">
        <v>8</v>
      </c>
    </row>
    <row r="68" spans="1:13" ht="18" customHeight="1">
      <c r="A68" s="69"/>
      <c r="B68" s="69"/>
      <c r="C68" s="72">
        <v>46273</v>
      </c>
      <c r="D68" s="73"/>
      <c r="E68" s="72">
        <v>46266</v>
      </c>
      <c r="F68" s="73"/>
      <c r="G68" s="72">
        <v>46242</v>
      </c>
      <c r="H68" s="73"/>
      <c r="I68" s="25" t="s">
        <v>9</v>
      </c>
      <c r="J68" s="74">
        <v>45908</v>
      </c>
      <c r="K68" s="75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3" t="s">
        <v>10</v>
      </c>
      <c r="K69" s="63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115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4.6511627906976747</v>
      </c>
      <c r="J70" s="38">
        <v>105</v>
      </c>
      <c r="K70" s="38">
        <v>115</v>
      </c>
      <c r="L70" s="48">
        <f t="shared" ref="L70:L76" si="10">((C70+D70)/2-(J70+K70)/2)/((J70+K70)/2)*100</f>
        <v>2.2727272727272729</v>
      </c>
      <c r="M70" s="50">
        <f t="shared" si="0"/>
        <v>-2.1739130434782608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30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100</v>
      </c>
      <c r="D74" s="38">
        <v>120</v>
      </c>
      <c r="E74" s="38">
        <v>120</v>
      </c>
      <c r="F74" s="38">
        <v>140</v>
      </c>
      <c r="G74" s="38">
        <v>160</v>
      </c>
      <c r="H74" s="38">
        <v>300</v>
      </c>
      <c r="I74" s="47">
        <f t="shared" si="9"/>
        <v>-52.173913043478258</v>
      </c>
      <c r="J74" s="46">
        <v>180</v>
      </c>
      <c r="K74" s="46">
        <v>240</v>
      </c>
      <c r="L74" s="48">
        <f t="shared" si="10"/>
        <v>-47.619047619047613</v>
      </c>
      <c r="M74" s="50">
        <f t="shared" si="11"/>
        <v>-15.384615384615385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110</v>
      </c>
      <c r="L75" s="48">
        <f t="shared" si="10"/>
        <v>5.8823529411764701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65" t="s">
        <v>118</v>
      </c>
      <c r="B81" s="66"/>
      <c r="C81" s="64" t="s">
        <v>119</v>
      </c>
      <c r="D81" s="64"/>
      <c r="E81" s="64"/>
      <c r="F81" s="64"/>
      <c r="G81" s="64"/>
      <c r="H81" s="64"/>
      <c r="I81" s="64"/>
      <c r="J81" s="64"/>
      <c r="K81" s="64"/>
      <c r="L81" s="64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7" t="s">
        <v>134</v>
      </c>
      <c r="C83" s="67"/>
      <c r="D83" s="67"/>
      <c r="E83" s="67"/>
      <c r="F83" s="67"/>
      <c r="G83" s="67"/>
      <c r="H83" s="67"/>
      <c r="I83" s="67"/>
      <c r="J83" s="67"/>
      <c r="K83" s="67"/>
      <c r="L83" s="67"/>
    </row>
    <row r="84" spans="1:12">
      <c r="A84" s="7"/>
      <c r="B84" s="67" t="s">
        <v>132</v>
      </c>
      <c r="C84" s="67"/>
      <c r="D84" s="67"/>
      <c r="E84" s="67"/>
      <c r="F84" s="67"/>
      <c r="G84" s="67"/>
      <c r="H84" s="67"/>
      <c r="I84" s="67"/>
      <c r="J84" s="67"/>
      <c r="K84" s="67"/>
      <c r="L84" s="67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0" t="s">
        <v>3</v>
      </c>
      <c r="D87" s="71"/>
      <c r="E87" s="82" t="s">
        <v>78</v>
      </c>
      <c r="F87" s="83"/>
      <c r="G87" s="26" t="s">
        <v>9</v>
      </c>
      <c r="H87" s="70" t="s">
        <v>79</v>
      </c>
      <c r="I87" s="81"/>
      <c r="J87" s="71"/>
      <c r="K87" s="10"/>
      <c r="L87" s="2"/>
    </row>
    <row r="88" spans="1:12">
      <c r="A88" s="44" t="s">
        <v>120</v>
      </c>
      <c r="B88" s="45" t="s">
        <v>19</v>
      </c>
      <c r="C88" s="38">
        <v>200</v>
      </c>
      <c r="D88" s="38">
        <v>230</v>
      </c>
      <c r="E88" s="38">
        <v>200</v>
      </c>
      <c r="F88" s="38">
        <v>240</v>
      </c>
      <c r="G88" s="31">
        <f t="shared" ref="G88:G95" si="12">((C88+D88)/2-(E88+F88)/2)/((E88+F88)/2)*100</f>
        <v>-2.2727272727272729</v>
      </c>
      <c r="H88" s="70" t="s">
        <v>124</v>
      </c>
      <c r="I88" s="81"/>
      <c r="J88" s="71"/>
      <c r="K88" s="10"/>
      <c r="L88" s="2"/>
    </row>
    <row r="89" spans="1:12">
      <c r="A89" s="44" t="s">
        <v>21</v>
      </c>
      <c r="B89" s="45" t="s">
        <v>19</v>
      </c>
      <c r="C89" s="38">
        <v>70</v>
      </c>
      <c r="D89" s="38">
        <v>85</v>
      </c>
      <c r="E89" s="38">
        <v>70</v>
      </c>
      <c r="F89" s="38">
        <v>80</v>
      </c>
      <c r="G89" s="31">
        <f t="shared" si="12"/>
        <v>3.3333333333333335</v>
      </c>
      <c r="H89" s="70" t="s">
        <v>127</v>
      </c>
      <c r="I89" s="81"/>
      <c r="J89" s="71"/>
      <c r="K89" s="10"/>
      <c r="L89" s="2"/>
    </row>
    <row r="90" spans="1:12">
      <c r="A90" s="44" t="s">
        <v>29</v>
      </c>
      <c r="B90" s="45" t="s">
        <v>24</v>
      </c>
      <c r="C90" s="38">
        <v>165</v>
      </c>
      <c r="D90" s="38">
        <v>172</v>
      </c>
      <c r="E90" s="38">
        <v>165</v>
      </c>
      <c r="F90" s="38">
        <v>170</v>
      </c>
      <c r="G90" s="31">
        <f t="shared" si="12"/>
        <v>0.59701492537313439</v>
      </c>
      <c r="H90" s="70" t="s">
        <v>133</v>
      </c>
      <c r="I90" s="81"/>
      <c r="J90" s="71"/>
      <c r="K90" s="10"/>
      <c r="L90" s="2"/>
    </row>
    <row r="91" spans="1:12">
      <c r="A91" s="44" t="s">
        <v>37</v>
      </c>
      <c r="B91" s="45" t="s">
        <v>14</v>
      </c>
      <c r="C91" s="38">
        <v>100</v>
      </c>
      <c r="D91" s="38">
        <v>110</v>
      </c>
      <c r="E91" s="38">
        <v>90</v>
      </c>
      <c r="F91" s="38">
        <v>100</v>
      </c>
      <c r="G91" s="31">
        <f t="shared" si="12"/>
        <v>10.526315789473683</v>
      </c>
      <c r="H91" s="70" t="s">
        <v>127</v>
      </c>
      <c r="I91" s="81"/>
      <c r="J91" s="71"/>
      <c r="K91" s="10"/>
      <c r="L91" s="2"/>
    </row>
    <row r="92" spans="1:12">
      <c r="A92" s="44" t="s">
        <v>46</v>
      </c>
      <c r="B92" s="45" t="s">
        <v>14</v>
      </c>
      <c r="C92" s="38">
        <v>130</v>
      </c>
      <c r="D92" s="38">
        <v>140</v>
      </c>
      <c r="E92" s="38">
        <v>130</v>
      </c>
      <c r="F92" s="38">
        <v>150</v>
      </c>
      <c r="G92" s="31">
        <f t="shared" si="12"/>
        <v>-3.5714285714285712</v>
      </c>
      <c r="H92" s="70" t="s">
        <v>124</v>
      </c>
      <c r="I92" s="81"/>
      <c r="J92" s="71"/>
      <c r="K92" s="10"/>
      <c r="L92" s="2"/>
    </row>
    <row r="93" spans="1:12">
      <c r="A93" s="44" t="s">
        <v>52</v>
      </c>
      <c r="B93" s="45" t="s">
        <v>14</v>
      </c>
      <c r="C93" s="38">
        <v>200</v>
      </c>
      <c r="D93" s="38">
        <v>260</v>
      </c>
      <c r="E93" s="38">
        <v>180</v>
      </c>
      <c r="F93" s="38">
        <v>260</v>
      </c>
      <c r="G93" s="31">
        <f t="shared" si="12"/>
        <v>4.5454545454545459</v>
      </c>
      <c r="H93" s="70" t="s">
        <v>125</v>
      </c>
      <c r="I93" s="81"/>
      <c r="J93" s="71"/>
      <c r="K93" s="10"/>
      <c r="L93" s="2"/>
    </row>
    <row r="94" spans="1:12">
      <c r="A94" s="44" t="s">
        <v>66</v>
      </c>
      <c r="B94" s="45" t="s">
        <v>14</v>
      </c>
      <c r="C94" s="38">
        <v>110</v>
      </c>
      <c r="D94" s="38">
        <v>115</v>
      </c>
      <c r="E94" s="38">
        <v>110</v>
      </c>
      <c r="F94" s="38">
        <v>120</v>
      </c>
      <c r="G94" s="31">
        <f t="shared" si="12"/>
        <v>-2.1739130434782608</v>
      </c>
      <c r="H94" s="70" t="s">
        <v>131</v>
      </c>
      <c r="I94" s="81"/>
      <c r="J94" s="71"/>
      <c r="K94" s="10"/>
      <c r="L94" s="2"/>
    </row>
    <row r="95" spans="1:12">
      <c r="A95" s="44" t="s">
        <v>102</v>
      </c>
      <c r="B95" s="51" t="s">
        <v>14</v>
      </c>
      <c r="C95" s="38">
        <v>100</v>
      </c>
      <c r="D95" s="38">
        <v>120</v>
      </c>
      <c r="E95" s="38">
        <v>120</v>
      </c>
      <c r="F95" s="38">
        <v>140</v>
      </c>
      <c r="G95" s="31">
        <f t="shared" si="12"/>
        <v>-15.384615384615385</v>
      </c>
      <c r="H95" s="70" t="s">
        <v>126</v>
      </c>
      <c r="I95" s="81"/>
      <c r="J95" s="71"/>
      <c r="K95" s="10"/>
      <c r="L95" s="2"/>
    </row>
    <row r="96" spans="1:12">
      <c r="A96" s="62"/>
      <c r="B96" s="56"/>
      <c r="C96" s="57"/>
      <c r="D96" s="57"/>
      <c r="E96" s="57"/>
      <c r="F96" s="57"/>
      <c r="G96" s="59"/>
      <c r="H96" s="61"/>
      <c r="I96" s="61"/>
      <c r="J96" s="61"/>
      <c r="K96" s="10"/>
      <c r="L96" s="2"/>
    </row>
    <row r="97" spans="1:12">
      <c r="A97" s="55"/>
      <c r="B97" s="60"/>
      <c r="C97" s="57"/>
      <c r="D97" s="57"/>
      <c r="E97" s="57"/>
      <c r="F97" s="57"/>
      <c r="G97" s="59"/>
      <c r="H97" s="61"/>
      <c r="I97" s="61"/>
      <c r="J97" s="61"/>
      <c r="K97" s="10"/>
      <c r="L97" s="2"/>
    </row>
    <row r="98" spans="1:12">
      <c r="A98" s="55"/>
      <c r="B98" s="56"/>
      <c r="C98" s="57"/>
      <c r="D98" s="58"/>
      <c r="E98" s="57"/>
      <c r="F98" s="58"/>
      <c r="G98" s="59"/>
      <c r="H98" s="7"/>
      <c r="I98" s="1"/>
      <c r="J98" s="1"/>
      <c r="K98" s="10"/>
      <c r="L98" s="12"/>
    </row>
    <row r="99" spans="1:12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>
      <c r="A100" s="7"/>
      <c r="B100" s="14" t="s">
        <v>110</v>
      </c>
      <c r="C100" s="2"/>
      <c r="E100" s="7"/>
      <c r="F100" s="14" t="s">
        <v>121</v>
      </c>
      <c r="G100" s="2"/>
      <c r="I100" s="15"/>
      <c r="J100" s="1"/>
      <c r="K100" s="2"/>
      <c r="L100" s="12"/>
    </row>
    <row r="101" spans="1:12">
      <c r="A101" s="16"/>
      <c r="B101" s="14" t="s">
        <v>109</v>
      </c>
      <c r="C101" s="1"/>
      <c r="E101" s="16"/>
      <c r="F101" s="14" t="s">
        <v>122</v>
      </c>
      <c r="G101" s="1"/>
      <c r="I101" s="2"/>
      <c r="J101" s="1"/>
      <c r="L101" s="12"/>
    </row>
    <row r="102" spans="1:12">
      <c r="A102" s="7"/>
      <c r="C102" s="6"/>
      <c r="D102" s="6"/>
      <c r="E102" s="1"/>
      <c r="F102" s="6"/>
      <c r="G102" s="4"/>
      <c r="H102" s="17"/>
      <c r="I102" s="12"/>
      <c r="J102" s="12"/>
      <c r="K102" s="12"/>
      <c r="L102" s="12"/>
    </row>
    <row r="103" spans="1:12">
      <c r="A103" s="18" t="s">
        <v>86</v>
      </c>
      <c r="B103" s="19"/>
      <c r="C103" s="20"/>
      <c r="D103" s="19"/>
      <c r="E103" s="20"/>
      <c r="F103" s="20"/>
      <c r="G103" s="20"/>
      <c r="H103" s="21"/>
      <c r="I103" s="2"/>
      <c r="J103" s="2"/>
      <c r="K103" s="2"/>
      <c r="L103" s="2"/>
    </row>
    <row r="104" spans="1:12">
      <c r="A104" s="22" t="s">
        <v>111</v>
      </c>
      <c r="B104" s="19"/>
      <c r="C104" s="20"/>
      <c r="D104" s="19"/>
      <c r="E104" s="20"/>
      <c r="F104" s="20"/>
      <c r="G104" s="19"/>
      <c r="H104" s="21"/>
      <c r="I104" s="2"/>
      <c r="J104" s="2"/>
      <c r="K104" s="2"/>
      <c r="L104" s="2"/>
    </row>
    <row r="105" spans="1:12">
      <c r="A105" s="22" t="s">
        <v>105</v>
      </c>
      <c r="B105" s="19"/>
      <c r="C105" s="19"/>
      <c r="D105" s="19"/>
      <c r="E105" s="19"/>
      <c r="F105" s="20"/>
      <c r="G105" s="19"/>
      <c r="H105" s="21"/>
      <c r="I105" s="2"/>
      <c r="J105" s="2"/>
      <c r="K105" s="2"/>
      <c r="L105" s="2"/>
    </row>
    <row r="106" spans="1:12">
      <c r="A106" s="22" t="s">
        <v>80</v>
      </c>
      <c r="B106" s="19"/>
      <c r="C106" s="19"/>
      <c r="D106" s="19"/>
      <c r="E106" s="19"/>
      <c r="F106" s="21"/>
      <c r="G106" s="21"/>
      <c r="H106" s="21"/>
      <c r="I106" s="2"/>
      <c r="J106" s="2"/>
      <c r="K106" s="2"/>
      <c r="L106" s="2"/>
    </row>
    <row r="107" spans="1:12">
      <c r="A107" s="22" t="s">
        <v>106</v>
      </c>
      <c r="B107" s="19"/>
      <c r="C107" s="19"/>
      <c r="D107" s="19"/>
      <c r="E107" s="19"/>
      <c r="F107" s="19"/>
      <c r="G107" s="21"/>
      <c r="H107" s="21"/>
      <c r="I107" s="2"/>
      <c r="J107" s="2"/>
      <c r="K107" s="2"/>
      <c r="L107" s="2"/>
    </row>
    <row r="108" spans="1:12">
      <c r="A108" s="22" t="s">
        <v>89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95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88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87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81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90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112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92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107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/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18" t="s">
        <v>82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83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113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114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99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439" spans="2:2">
      <c r="B439" s="11" t="s">
        <v>108</v>
      </c>
    </row>
  </sheetData>
  <mergeCells count="40">
    <mergeCell ref="H95:J95"/>
    <mergeCell ref="B84:L84"/>
    <mergeCell ref="C87:D87"/>
    <mergeCell ref="E87:F87"/>
    <mergeCell ref="H87:J87"/>
    <mergeCell ref="H91:J91"/>
    <mergeCell ref="H92:J92"/>
    <mergeCell ref="H88:J88"/>
    <mergeCell ref="H93:J93"/>
    <mergeCell ref="H89:J89"/>
    <mergeCell ref="H94:J94"/>
    <mergeCell ref="H90:J90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2026-09-08T08:29:05Z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