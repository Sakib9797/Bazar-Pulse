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8_{A829F41F-BCE9-DA4F-B749-6401C10D46B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4" l="1"/>
  <c r="G90" i="4"/>
  <c r="G86" i="4"/>
  <c r="G85" i="4"/>
  <c r="G88" i="4"/>
  <c r="G89" i="4"/>
  <c r="G91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<sst xmlns="http://schemas.openxmlformats.org/spreadsheetml/2006/main" count="232" uniqueCount="129">
  <si>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</si>
  <si>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</si>
  <si>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</si>
  <si>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</si>
  <si>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</si>
  <si>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</si>
  <si>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</si>
  <si>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</si>
  <si>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</si>
  <si>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</si>
  <si>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</si>
  <si>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</si>
  <si>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</si>
  <si>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</si>
  <si>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</si>
  <si>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</si>
  <si>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</si>
  <si>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</si>
  <si>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</si>
  <si>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</si>
  <si>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</si>
  <si>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</si>
  <si>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</si>
  <si>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</si>
  <si>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</si>
  <si>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</si>
  <si>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</si>
  <si>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</si>
  <si>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</si>
  <si>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</si>
  <si>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</si>
  <si>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</si>
  <si>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</si>
  <si>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</si>
  <si>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</si>
  <si>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</si>
  <si>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</si>
  <si>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</si>
  <si>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</si>
  <si>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</si>
  <si>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</si>
  <si>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</si>
  <si>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</si>
  <si>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</si>
  <si>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</si>
  <si>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</si>
  <si>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</si>
  <si>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</si>
  <si>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</si>
  <si>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</si>
  <si>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</si>
  <si>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</si>
  <si>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</si>
  <si>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</si>
  <si>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</si>
  <si>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</si>
  <si>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</si>
  <si>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</si>
  <si>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</si>
  <si>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</si>
  <si>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</si>
  <si>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</si>
  <si>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</si>
  <si>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</si>
  <si>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</si>
  <si>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</si>
  <si>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</si>
  <si>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</si>
  <si>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</si>
  <si>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</si>
  <si>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</si>
  <si>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</si>
  <si>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</si>
  <si>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</si>
  <si>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</si>
  <si>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</si>
  <si>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</si>
  <si>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</si>
  <si>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</si>
  <si>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</si>
  <si>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</si>
  <si>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</si>
  <si>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</si>
  <si>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</si>
  <si>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</si>
  <si>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</si>
  <si>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</si>
  <si>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</si>
  <si>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</si>
  <si>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</si>
  <si>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</si>
  <si>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</si>
  <si>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</si>
  <si>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</si>
  <si>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</si>
  <si>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</si>
  <si>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</si>
  <si>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</si>
  <si>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</si>
  <si>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</si>
  <si>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</si>
  <si>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</si>
  <si>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</si>
  <si>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</si>
  <si>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</si>
  <si>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</si>
  <si>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</si>
  <si>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</si>
  <si>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</si>
  <si>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</si>
  <si>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</si>
  <si>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</si>
  <si>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</si>
  <si>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</si>
  <si>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</si>
  <si>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</si>
  <si>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</si>
  <si>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</si>
  <si>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</si>
  <si>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০২-০২-২০২৬ তারিখে মূল্য বৃদ্ধি পেয়েছে।</t>
  </si>
  <si>
    <t>০৩-০২-২০২৬ তারিখে মূল্য বৃদ্ধি পেয়েছে।</t>
  </si>
  <si>
    <t>০৩-০২-২০২৬ তারিখে মূল্য হ্রাস পেয়েছে।</t>
  </si>
  <si>
    <t>স্মারক নং-২৬.০৫.০০০০.০১৭.৩১.০১.২৬-১২০</t>
  </si>
  <si>
    <t xml:space="preserve">শুক্রবার ০৬ ফেব্রুয়ারী ২০২৬ খ্রিঃ, ২৩ মাঘ ১৪৩২ বাংলা, ১৭ শাবান ১৪৪৭ হিজরি </t>
  </si>
  <si>
    <t xml:space="preserve">   সিরিয়াল নংঃ     ০৩৬</t>
  </si>
  <si>
    <t>০৬-০২-২০২৬ তারিখে মূল্য হ্রাস পেয়েছে।</t>
  </si>
  <si>
    <t>(২)   পাম অয়েল (লুজ, সুপার), রশুন (আম)   এর মূল্য বৃদ্ধি পেয়েছে।</t>
  </si>
  <si>
    <t>(১)    পেঁয়াজ (দেশী, আম), লবঙ্গ, মুরগী ব্রয়লার    এর মূল্য হ্রাস পেয়েছে।</t>
  </si>
  <si>
    <t xml:space="preserve">যে সকল বাজার হতে তথ্য সংগ্রহ করা হয়েছেঃ- রামপুরা, মোহাম্মদপুর টাউন হল বাজার, মহাখালী  বাজার।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</si>
</sst>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9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7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7"/>
  <sheetViews>
    <sheetView tabSelected="1" topLeftCell="H1" zoomScale="112" zoomScaleNormal="112" workbookViewId="0">
      <selection activeCell="L8" sqref="L8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10.8125" customWidth="1"/>
    <col min="11" max="11" width="9.4140625" customWidth="1"/>
    <col min="12" max="12" width="9.765625" customWidth="1"/>
  </cols>
  <sheetData>
    <row r="4" spans="1:12" ht="21" x14ac:dyDescent="0.2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" x14ac:dyDescent="0.2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" x14ac:dyDescent="0.2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7" t="s">
        <v>124</v>
      </c>
      <c r="L6" s="88"/>
    </row>
    <row r="7" spans="1:12" ht="19.5" customHeight="1" x14ac:dyDescent="0.25">
      <c r="A7" s="17"/>
      <c r="B7" s="8"/>
      <c r="C7" s="8"/>
      <c r="D7" s="17"/>
      <c r="E7" s="8"/>
      <c r="F7" s="8" t="s">
        <v>123</v>
      </c>
      <c r="G7" s="8"/>
      <c r="H7" s="8"/>
      <c r="I7" s="8"/>
      <c r="J7" s="8"/>
      <c r="K7" s="8"/>
      <c r="L7" s="49"/>
    </row>
    <row r="8" spans="1:12" ht="21" x14ac:dyDescent="0.25">
      <c r="A8" s="20" t="s">
        <v>122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46059</v>
      </c>
    </row>
    <row r="9" spans="1:12" ht="21" x14ac:dyDescent="0.25">
      <c r="A9" s="25" t="s">
        <v>4</v>
      </c>
      <c r="B9" s="26" t="s">
        <v>5</v>
      </c>
      <c r="C9" s="87" t="s">
        <v>6</v>
      </c>
      <c r="D9" s="88"/>
      <c r="E9" s="87" t="s">
        <v>7</v>
      </c>
      <c r="F9" s="88"/>
      <c r="G9" s="87" t="s">
        <v>8</v>
      </c>
      <c r="H9" s="88"/>
      <c r="I9" s="26" t="s">
        <v>9</v>
      </c>
      <c r="J9" s="87" t="s">
        <v>10</v>
      </c>
      <c r="K9" s="88"/>
      <c r="L9" s="27" t="s">
        <v>11</v>
      </c>
    </row>
    <row r="10" spans="1:12" ht="21" x14ac:dyDescent="0.25">
      <c r="A10" s="25"/>
      <c r="B10" s="26"/>
      <c r="C10" s="89">
        <v>46059</v>
      </c>
      <c r="D10" s="88"/>
      <c r="E10" s="89">
        <v>46052</v>
      </c>
      <c r="F10" s="88"/>
      <c r="G10" s="89">
        <v>46028</v>
      </c>
      <c r="H10" s="88"/>
      <c r="I10" s="26" t="s">
        <v>12</v>
      </c>
      <c r="J10" s="89">
        <v>45694</v>
      </c>
      <c r="K10" s="88"/>
      <c r="L10" s="26" t="s">
        <v>12</v>
      </c>
    </row>
    <row r="11" spans="1:12" ht="21" x14ac:dyDescent="0.2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" x14ac:dyDescent="0.3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70</v>
      </c>
      <c r="K12" s="29">
        <v>85</v>
      </c>
      <c r="L12" s="31">
        <f>((C12+D12)/2-(J12+K12)/2)/((J12+K12)/2)*100</f>
        <v>0</v>
      </c>
    </row>
    <row r="13" spans="1:12" ht="21" x14ac:dyDescent="0.3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64</v>
      </c>
      <c r="L13" s="31">
        <f>((C13+D13)/2-(J13+K13)/2)/((J13+K13)/2)*100</f>
        <v>3.278688524590164</v>
      </c>
    </row>
    <row r="14" spans="1:12" ht="21" x14ac:dyDescent="0.3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54</v>
      </c>
      <c r="H14" s="29">
        <v>60</v>
      </c>
      <c r="I14" s="30">
        <f>((C14+D14)/2-(G14+H14)/2)/((G14+H14)/2)*100</f>
        <v>-3.5087719298245612</v>
      </c>
      <c r="J14" s="29">
        <v>52</v>
      </c>
      <c r="K14" s="29">
        <v>55</v>
      </c>
      <c r="L14" s="31">
        <f>((C14+D14)/2-(J14+K14)/2)/((J14+K14)/2)*100</f>
        <v>2.8037383177570092</v>
      </c>
    </row>
    <row r="15" spans="1:12" ht="18" customHeight="1" x14ac:dyDescent="0.3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" x14ac:dyDescent="0.3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45</v>
      </c>
      <c r="H16" s="29">
        <v>50</v>
      </c>
      <c r="I16" s="30">
        <f>((C16+D16)/2-(G16+H16)/2)/((G16+H16)/2)*100</f>
        <v>-1.0526315789473684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" x14ac:dyDescent="0.3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" x14ac:dyDescent="0.3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55</v>
      </c>
      <c r="H18" s="29">
        <v>65</v>
      </c>
      <c r="I18" s="30">
        <f>((C18+D18)/2-(G18+H18)/2)/((G18+H18)/2)*100</f>
        <v>-2.5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" x14ac:dyDescent="0.3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 x14ac:dyDescent="0.3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" x14ac:dyDescent="0.3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172</v>
      </c>
      <c r="H21" s="29">
        <v>185</v>
      </c>
      <c r="I21" s="30">
        <f t="shared" ref="I21:I27" si="0">((C21+D21)/2-(G21+H21)/2)/((G21+H21)/2)*100</f>
        <v>0.84033613445378152</v>
      </c>
      <c r="J21" s="29">
        <v>180</v>
      </c>
      <c r="K21" s="29">
        <v>182</v>
      </c>
      <c r="L21" s="31">
        <f t="shared" ref="L21:L27" si="1">((C21+D21)/2-(J21+K21)/2)/((J21+K21)/2)*100</f>
        <v>-0.55248618784530379</v>
      </c>
    </row>
    <row r="22" spans="1:12" ht="21" x14ac:dyDescent="0.3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" x14ac:dyDescent="0.3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378</v>
      </c>
      <c r="H23" s="29">
        <v>395</v>
      </c>
      <c r="I23" s="30">
        <f t="shared" si="0"/>
        <v>0.90556274256144886</v>
      </c>
      <c r="J23" s="29">
        <v>348</v>
      </c>
      <c r="K23" s="29">
        <v>350</v>
      </c>
      <c r="L23" s="31">
        <f t="shared" si="1"/>
        <v>11.74785100286533</v>
      </c>
    </row>
    <row r="24" spans="1:12" ht="21" x14ac:dyDescent="0.3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189</v>
      </c>
      <c r="H24" s="29">
        <v>198</v>
      </c>
      <c r="I24" s="30">
        <f t="shared" si="0"/>
        <v>-0.516795865633075</v>
      </c>
      <c r="J24" s="29">
        <v>175</v>
      </c>
      <c r="K24" s="29">
        <v>176</v>
      </c>
      <c r="L24" s="31">
        <f t="shared" si="1"/>
        <v>9.6866096866096854</v>
      </c>
    </row>
    <row r="25" spans="1:12" ht="21" x14ac:dyDescent="0.3">
      <c r="A25" s="69" t="s">
        <v>33</v>
      </c>
      <c r="B25" s="6" t="s">
        <v>28</v>
      </c>
      <c r="C25" s="29">
        <v>155</v>
      </c>
      <c r="D25" s="29">
        <v>162</v>
      </c>
      <c r="E25" s="29">
        <v>148</v>
      </c>
      <c r="F25" s="29">
        <v>162</v>
      </c>
      <c r="G25" s="29">
        <v>152</v>
      </c>
      <c r="H25" s="29">
        <v>162</v>
      </c>
      <c r="I25" s="30">
        <f t="shared" si="0"/>
        <v>0.95541401273885351</v>
      </c>
      <c r="J25" s="29">
        <v>150</v>
      </c>
      <c r="K25" s="29">
        <v>155</v>
      </c>
      <c r="L25" s="31">
        <f t="shared" si="1"/>
        <v>3.9344262295081971</v>
      </c>
    </row>
    <row r="26" spans="1:12" ht="21" x14ac:dyDescent="0.3">
      <c r="A26" s="69" t="s">
        <v>104</v>
      </c>
      <c r="B26" s="6" t="s">
        <v>28</v>
      </c>
      <c r="C26" s="29">
        <v>160</v>
      </c>
      <c r="D26" s="29">
        <v>165</v>
      </c>
      <c r="E26" s="29">
        <v>155</v>
      </c>
      <c r="F26" s="29">
        <v>165</v>
      </c>
      <c r="G26" s="29">
        <v>155</v>
      </c>
      <c r="H26" s="29">
        <v>165</v>
      </c>
      <c r="I26" s="30">
        <f t="shared" si="0"/>
        <v>1.5625</v>
      </c>
      <c r="J26" s="29">
        <v>158</v>
      </c>
      <c r="K26" s="29">
        <v>160</v>
      </c>
      <c r="L26" s="31">
        <f t="shared" si="1"/>
        <v>2.2012578616352201</v>
      </c>
    </row>
    <row r="27" spans="1:12" ht="21" x14ac:dyDescent="0.3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1040</v>
      </c>
      <c r="K27" s="29">
        <v>1060</v>
      </c>
      <c r="L27" s="31">
        <f t="shared" si="1"/>
        <v>0.47619047619047622</v>
      </c>
    </row>
    <row r="28" spans="1:12" ht="21" x14ac:dyDescent="0.3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" x14ac:dyDescent="0.3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95</v>
      </c>
      <c r="H29" s="29">
        <v>105</v>
      </c>
      <c r="I29" s="30">
        <f t="shared" ref="I29:I35" si="2">((C29+D29)/2-(G29+H29)/2)/((G29+H29)/2)*100</f>
        <v>-7.5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" x14ac:dyDescent="0.3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115</v>
      </c>
      <c r="H30" s="29">
        <v>140</v>
      </c>
      <c r="I30" s="30">
        <f t="shared" si="2"/>
        <v>-9.8039215686274517</v>
      </c>
      <c r="J30" s="29">
        <v>110</v>
      </c>
      <c r="K30" s="29">
        <v>120</v>
      </c>
      <c r="L30" s="31">
        <f t="shared" si="3"/>
        <v>0</v>
      </c>
    </row>
    <row r="31" spans="1:12" ht="21" x14ac:dyDescent="0.3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160</v>
      </c>
      <c r="H31" s="29">
        <v>170</v>
      </c>
      <c r="I31" s="30">
        <f t="shared" si="2"/>
        <v>-6.0606060606060606</v>
      </c>
      <c r="J31" s="29">
        <v>130</v>
      </c>
      <c r="K31" s="29">
        <v>140</v>
      </c>
      <c r="L31" s="31">
        <f t="shared" si="3"/>
        <v>14.814814814814813</v>
      </c>
    </row>
    <row r="32" spans="1:12" ht="21" x14ac:dyDescent="0.3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140</v>
      </c>
      <c r="H32" s="29">
        <v>180</v>
      </c>
      <c r="I32" s="30">
        <f t="shared" si="2"/>
        <v>-6.25</v>
      </c>
      <c r="J32" s="29">
        <v>130</v>
      </c>
      <c r="K32" s="29">
        <v>180</v>
      </c>
      <c r="L32" s="31">
        <f t="shared" si="3"/>
        <v>-3.225806451612903</v>
      </c>
    </row>
    <row r="33" spans="1:12" ht="21" x14ac:dyDescent="0.3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65</v>
      </c>
      <c r="G33" s="29">
        <v>50</v>
      </c>
      <c r="H33" s="29">
        <v>65</v>
      </c>
      <c r="I33" s="30">
        <f t="shared" si="2"/>
        <v>8.695652173913043</v>
      </c>
      <c r="J33" s="29">
        <v>70</v>
      </c>
      <c r="K33" s="29">
        <v>85</v>
      </c>
      <c r="L33" s="31">
        <f t="shared" si="3"/>
        <v>-19.35483870967742</v>
      </c>
    </row>
    <row r="34" spans="1:12" ht="21" x14ac:dyDescent="0.3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90</v>
      </c>
      <c r="H34" s="29">
        <v>100</v>
      </c>
      <c r="I34" s="30">
        <f t="shared" si="2"/>
        <v>-7.8947368421052628</v>
      </c>
      <c r="J34" s="29">
        <v>107</v>
      </c>
      <c r="K34" s="29">
        <v>120</v>
      </c>
      <c r="L34" s="31">
        <f t="shared" si="3"/>
        <v>-22.907488986784141</v>
      </c>
    </row>
    <row r="35" spans="1:12" ht="21" x14ac:dyDescent="0.3">
      <c r="A35" s="69" t="s">
        <v>113</v>
      </c>
      <c r="B35" s="6" t="s">
        <v>18</v>
      </c>
      <c r="C35" s="29">
        <v>20</v>
      </c>
      <c r="D35" s="29">
        <v>30</v>
      </c>
      <c r="E35" s="29">
        <v>20</v>
      </c>
      <c r="F35" s="29">
        <v>30</v>
      </c>
      <c r="G35" s="29">
        <v>20</v>
      </c>
      <c r="H35" s="29">
        <v>30</v>
      </c>
      <c r="I35" s="30">
        <f t="shared" si="2"/>
        <v>0</v>
      </c>
      <c r="J35" s="29">
        <v>20</v>
      </c>
      <c r="K35" s="29">
        <v>30</v>
      </c>
      <c r="L35" s="31">
        <f t="shared" si="3"/>
        <v>0</v>
      </c>
    </row>
    <row r="36" spans="1:12" ht="21" x14ac:dyDescent="0.3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" x14ac:dyDescent="0.3">
      <c r="A37" s="83" t="s">
        <v>114</v>
      </c>
      <c r="B37" s="6" t="s">
        <v>18</v>
      </c>
      <c r="C37" s="29">
        <v>45</v>
      </c>
      <c r="D37" s="29">
        <v>60</v>
      </c>
      <c r="E37" s="29">
        <v>50</v>
      </c>
      <c r="F37" s="29">
        <v>70</v>
      </c>
      <c r="G37" s="29">
        <v>60</v>
      </c>
      <c r="H37" s="29">
        <v>75</v>
      </c>
      <c r="I37" s="30">
        <f t="shared" ref="I37:I52" si="4">((C37+D37)/2-(G37+H37)/2)/((G37+H37)/2)*100</f>
        <v>-22.222222222222221</v>
      </c>
      <c r="J37" s="29">
        <v>40</v>
      </c>
      <c r="K37" s="29">
        <v>50</v>
      </c>
      <c r="L37" s="31">
        <f t="shared" ref="L37:L52" si="5">((C37+D37)/2-(J37+K37)/2)/((J37+K37)/2)*100</f>
        <v>16.666666666666664</v>
      </c>
    </row>
    <row r="38" spans="1:12" ht="21" x14ac:dyDescent="0.3">
      <c r="A38" s="69" t="s">
        <v>43</v>
      </c>
      <c r="B38" s="6" t="s">
        <v>18</v>
      </c>
      <c r="C38" s="29">
        <v>60</v>
      </c>
      <c r="D38" s="29">
        <v>80</v>
      </c>
      <c r="E38" s="29">
        <v>70</v>
      </c>
      <c r="F38" s="29">
        <v>80</v>
      </c>
      <c r="G38" s="29">
        <v>70</v>
      </c>
      <c r="H38" s="29">
        <v>80</v>
      </c>
      <c r="I38" s="30">
        <f t="shared" si="4"/>
        <v>-6.666666666666667</v>
      </c>
      <c r="J38" s="29">
        <v>50</v>
      </c>
      <c r="K38" s="29">
        <v>70</v>
      </c>
      <c r="L38" s="31">
        <f t="shared" si="5"/>
        <v>16.666666666666664</v>
      </c>
    </row>
    <row r="39" spans="1:12" ht="21" x14ac:dyDescent="0.3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150</v>
      </c>
      <c r="K39" s="29">
        <v>220</v>
      </c>
      <c r="L39" s="31">
        <f t="shared" si="5"/>
        <v>-40.54054054054054</v>
      </c>
    </row>
    <row r="40" spans="1:12" ht="21" x14ac:dyDescent="0.3">
      <c r="A40" s="69" t="s">
        <v>45</v>
      </c>
      <c r="B40" s="6" t="s">
        <v>18</v>
      </c>
      <c r="C40" s="29">
        <v>180</v>
      </c>
      <c r="D40" s="29">
        <v>200</v>
      </c>
      <c r="E40" s="29">
        <v>150</v>
      </c>
      <c r="F40" s="29">
        <v>200</v>
      </c>
      <c r="G40" s="29">
        <v>160</v>
      </c>
      <c r="H40" s="29">
        <v>200</v>
      </c>
      <c r="I40" s="30">
        <f t="shared" si="4"/>
        <v>5.5555555555555554</v>
      </c>
      <c r="J40" s="29">
        <v>210</v>
      </c>
      <c r="K40" s="29">
        <v>240</v>
      </c>
      <c r="L40" s="31">
        <f t="shared" si="5"/>
        <v>-15.555555555555555</v>
      </c>
    </row>
    <row r="41" spans="1:12" ht="21" x14ac:dyDescent="0.3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" x14ac:dyDescent="0.3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" x14ac:dyDescent="0.3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" x14ac:dyDescent="0.3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" x14ac:dyDescent="0.3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100</v>
      </c>
      <c r="H45" s="29">
        <v>150</v>
      </c>
      <c r="I45" s="30">
        <f t="shared" si="4"/>
        <v>36</v>
      </c>
      <c r="J45" s="29">
        <v>90</v>
      </c>
      <c r="K45" s="29">
        <v>150</v>
      </c>
      <c r="L45" s="31">
        <f t="shared" si="5"/>
        <v>41.666666666666671</v>
      </c>
    </row>
    <row r="46" spans="1:12" ht="21" x14ac:dyDescent="0.3">
      <c r="A46" s="69" t="s">
        <v>51</v>
      </c>
      <c r="B46" s="6" t="s">
        <v>18</v>
      </c>
      <c r="C46" s="29">
        <v>140</v>
      </c>
      <c r="D46" s="29">
        <v>220</v>
      </c>
      <c r="E46" s="29">
        <v>140</v>
      </c>
      <c r="F46" s="29">
        <v>220</v>
      </c>
      <c r="G46" s="29">
        <v>150</v>
      </c>
      <c r="H46" s="29">
        <v>220</v>
      </c>
      <c r="I46" s="30">
        <f t="shared" si="4"/>
        <v>-2.7027027027027026</v>
      </c>
      <c r="J46" s="29">
        <v>100</v>
      </c>
      <c r="K46" s="29">
        <v>240</v>
      </c>
      <c r="L46" s="31">
        <f t="shared" si="5"/>
        <v>5.8823529411764701</v>
      </c>
    </row>
    <row r="47" spans="1:12" ht="21" x14ac:dyDescent="0.3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675</v>
      </c>
      <c r="K47" s="29">
        <v>750</v>
      </c>
      <c r="L47" s="31">
        <f t="shared" si="5"/>
        <v>-8.7719298245614024</v>
      </c>
    </row>
    <row r="48" spans="1:12" ht="21" x14ac:dyDescent="0.3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700</v>
      </c>
      <c r="L48" s="31">
        <f t="shared" si="5"/>
        <v>-10</v>
      </c>
    </row>
    <row r="49" spans="1:12" ht="21" x14ac:dyDescent="0.3">
      <c r="A49" s="69" t="s">
        <v>54</v>
      </c>
      <c r="B49" s="6" t="s">
        <v>18</v>
      </c>
      <c r="C49" s="29">
        <v>1300</v>
      </c>
      <c r="D49" s="29">
        <v>1600</v>
      </c>
      <c r="E49" s="29">
        <v>1350</v>
      </c>
      <c r="F49" s="29">
        <v>1600</v>
      </c>
      <c r="G49" s="29">
        <v>1350</v>
      </c>
      <c r="H49" s="29">
        <v>1600</v>
      </c>
      <c r="I49" s="30">
        <f t="shared" si="4"/>
        <v>-1.6949152542372881</v>
      </c>
      <c r="J49" s="29">
        <v>1400</v>
      </c>
      <c r="K49" s="29">
        <v>1600</v>
      </c>
      <c r="L49" s="31">
        <f t="shared" si="5"/>
        <v>-3.3333333333333335</v>
      </c>
    </row>
    <row r="50" spans="1:12" ht="21" x14ac:dyDescent="0.3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4400</v>
      </c>
      <c r="K50" s="29">
        <v>5000</v>
      </c>
      <c r="L50" s="31">
        <f t="shared" si="5"/>
        <v>6.3829787234042552</v>
      </c>
    </row>
    <row r="51" spans="1:12" ht="21" x14ac:dyDescent="0.3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" x14ac:dyDescent="0.3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" x14ac:dyDescent="0.3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" x14ac:dyDescent="0.3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260</v>
      </c>
      <c r="K54" s="29">
        <v>420</v>
      </c>
      <c r="L54" s="31">
        <f t="shared" ref="L54:L59" si="7">((C54+D54)/2-(J54+K54)/2)/((J54+K54)/2)*100</f>
        <v>10.294117647058822</v>
      </c>
    </row>
    <row r="55" spans="1:12" ht="21" x14ac:dyDescent="0.3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700</v>
      </c>
      <c r="K55" s="29">
        <v>1600</v>
      </c>
      <c r="L55" s="31">
        <f t="shared" si="7"/>
        <v>60.869565217391312</v>
      </c>
    </row>
    <row r="56" spans="1:12" ht="21" x14ac:dyDescent="0.3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" x14ac:dyDescent="0.3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" x14ac:dyDescent="0.3">
      <c r="A58" s="69" t="s">
        <v>61</v>
      </c>
      <c r="B58" s="6" t="s">
        <v>18</v>
      </c>
      <c r="C58" s="29">
        <v>170</v>
      </c>
      <c r="D58" s="29">
        <v>185</v>
      </c>
      <c r="E58" s="29">
        <v>175</v>
      </c>
      <c r="F58" s="29">
        <v>185</v>
      </c>
      <c r="G58" s="29">
        <v>150</v>
      </c>
      <c r="H58" s="29">
        <v>170</v>
      </c>
      <c r="I58" s="30">
        <f t="shared" si="6"/>
        <v>10.9375</v>
      </c>
      <c r="J58" s="29">
        <v>180</v>
      </c>
      <c r="K58" s="29">
        <v>210</v>
      </c>
      <c r="L58" s="31">
        <f t="shared" si="7"/>
        <v>-8.9743589743589745</v>
      </c>
    </row>
    <row r="59" spans="1:12" ht="21" x14ac:dyDescent="0.3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" x14ac:dyDescent="0.3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 x14ac:dyDescent="0.3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 x14ac:dyDescent="0.3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 x14ac:dyDescent="0.3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 x14ac:dyDescent="0.3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 x14ac:dyDescent="0.3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 x14ac:dyDescent="0.3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 x14ac:dyDescent="0.3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" x14ac:dyDescent="0.25">
      <c r="A68" s="69" t="s">
        <v>4</v>
      </c>
      <c r="B68" s="6" t="s">
        <v>5</v>
      </c>
      <c r="C68" s="87" t="s">
        <v>6</v>
      </c>
      <c r="D68" s="88"/>
      <c r="E68" s="87" t="s">
        <v>7</v>
      </c>
      <c r="F68" s="88"/>
      <c r="G68" s="87" t="s">
        <v>8</v>
      </c>
      <c r="H68" s="88"/>
      <c r="I68" s="26" t="s">
        <v>9</v>
      </c>
      <c r="J68" s="87" t="s">
        <v>10</v>
      </c>
      <c r="K68" s="88"/>
      <c r="L68" s="26" t="s">
        <v>11</v>
      </c>
    </row>
    <row r="69" spans="1:12" ht="18" customHeight="1" x14ac:dyDescent="0.25">
      <c r="A69" s="73"/>
      <c r="B69" s="64"/>
      <c r="C69" s="89">
        <v>46059</v>
      </c>
      <c r="D69" s="88"/>
      <c r="E69" s="89">
        <v>46052</v>
      </c>
      <c r="F69" s="88"/>
      <c r="G69" s="89">
        <v>46028</v>
      </c>
      <c r="H69" s="88"/>
      <c r="I69" s="26" t="s">
        <v>12</v>
      </c>
      <c r="J69" s="89">
        <v>45694</v>
      </c>
      <c r="K69" s="88"/>
      <c r="L69" s="26" t="s">
        <v>12</v>
      </c>
    </row>
    <row r="70" spans="1:12" ht="21" x14ac:dyDescent="0.2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 x14ac:dyDescent="0.3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100</v>
      </c>
      <c r="H71" s="29">
        <v>110</v>
      </c>
      <c r="I71" s="30">
        <f>((C71+D71)/2-(G71+H71)/2)/((G71+H71)/2)*100</f>
        <v>-3.3333333333333335</v>
      </c>
      <c r="J71" s="29">
        <v>120</v>
      </c>
      <c r="K71" s="29">
        <v>125</v>
      </c>
      <c r="L71" s="31">
        <f t="shared" ref="L71:L77" si="8">((C71+D71)/2-(J71+K71)/2)/((J71+K71)/2)*100</f>
        <v>-17.142857142857142</v>
      </c>
    </row>
    <row r="72" spans="1:12" ht="21" x14ac:dyDescent="0.3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260</v>
      </c>
      <c r="K72" s="29">
        <v>520</v>
      </c>
      <c r="L72" s="31">
        <f t="shared" si="8"/>
        <v>-6.4102564102564097</v>
      </c>
    </row>
    <row r="73" spans="1:12" ht="21" x14ac:dyDescent="0.3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 x14ac:dyDescent="0.3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40</v>
      </c>
      <c r="G74" s="37">
        <v>36</v>
      </c>
      <c r="H74" s="37">
        <v>45</v>
      </c>
      <c r="I74" s="30">
        <f t="shared" si="9"/>
        <v>-8.6419753086419746</v>
      </c>
      <c r="J74" s="37">
        <v>44</v>
      </c>
      <c r="K74" s="37">
        <v>47</v>
      </c>
      <c r="L74" s="31">
        <f t="shared" si="8"/>
        <v>-18.681318681318682</v>
      </c>
    </row>
    <row r="75" spans="1:12" ht="21" x14ac:dyDescent="0.3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" x14ac:dyDescent="0.3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80500</v>
      </c>
      <c r="H76" s="29">
        <v>85000</v>
      </c>
      <c r="I76" s="30">
        <f t="shared" si="9"/>
        <v>0</v>
      </c>
      <c r="J76" s="29">
        <v>91000</v>
      </c>
      <c r="K76" s="29">
        <v>92000</v>
      </c>
      <c r="L76" s="31">
        <f t="shared" si="8"/>
        <v>-9.5628415300546443</v>
      </c>
    </row>
    <row r="77" spans="1:12" ht="21" x14ac:dyDescent="0.3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 x14ac:dyDescent="0.25">
      <c r="A78" s="90" t="s">
        <v>128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</row>
    <row r="79" spans="1:12" ht="21" x14ac:dyDescent="0.2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127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" x14ac:dyDescent="0.25">
      <c r="A81" s="16"/>
      <c r="B81" s="1" t="s">
        <v>126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" x14ac:dyDescent="0.2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" x14ac:dyDescent="0.2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" x14ac:dyDescent="0.25">
      <c r="A84" s="5" t="s">
        <v>80</v>
      </c>
      <c r="B84" s="6" t="s">
        <v>81</v>
      </c>
      <c r="C84" s="92" t="s">
        <v>6</v>
      </c>
      <c r="D84" s="93"/>
      <c r="E84" s="94" t="s">
        <v>82</v>
      </c>
      <c r="F84" s="95"/>
      <c r="G84" s="77" t="s">
        <v>12</v>
      </c>
      <c r="H84" s="92" t="s">
        <v>83</v>
      </c>
      <c r="I84" s="96"/>
      <c r="J84" s="93"/>
      <c r="K84" s="50"/>
      <c r="L84" s="17"/>
    </row>
    <row r="85" spans="1:12" ht="21" x14ac:dyDescent="0.3">
      <c r="A85" s="69" t="s">
        <v>33</v>
      </c>
      <c r="B85" s="6" t="s">
        <v>28</v>
      </c>
      <c r="C85" s="29">
        <v>155</v>
      </c>
      <c r="D85" s="29">
        <v>162</v>
      </c>
      <c r="E85" s="29">
        <v>148</v>
      </c>
      <c r="F85" s="29">
        <v>162</v>
      </c>
      <c r="G85" s="7">
        <f t="shared" ref="G85:G91" si="10">((C85+D85)/2-(E85+F85)/2)/((E85+F85)/2)*100</f>
        <v>2.258064516129032</v>
      </c>
      <c r="H85" s="5" t="s">
        <v>119</v>
      </c>
      <c r="I85" s="6"/>
      <c r="J85" s="6"/>
      <c r="K85" s="50"/>
      <c r="L85" s="17"/>
    </row>
    <row r="86" spans="1:12" ht="21" x14ac:dyDescent="0.3">
      <c r="A86" s="69" t="s">
        <v>104</v>
      </c>
      <c r="B86" s="6" t="s">
        <v>28</v>
      </c>
      <c r="C86" s="29">
        <v>160</v>
      </c>
      <c r="D86" s="29">
        <v>165</v>
      </c>
      <c r="E86" s="29">
        <v>155</v>
      </c>
      <c r="F86" s="29">
        <v>165</v>
      </c>
      <c r="G86" s="7">
        <f t="shared" si="10"/>
        <v>1.5625</v>
      </c>
      <c r="H86" s="5" t="s">
        <v>119</v>
      </c>
      <c r="I86" s="6"/>
      <c r="J86" s="6"/>
      <c r="K86" s="50"/>
      <c r="L86" s="17"/>
    </row>
    <row r="87" spans="1:12" ht="21" x14ac:dyDescent="0.3">
      <c r="A87" s="83" t="s">
        <v>114</v>
      </c>
      <c r="B87" s="6" t="s">
        <v>18</v>
      </c>
      <c r="C87" s="29">
        <v>45</v>
      </c>
      <c r="D87" s="29">
        <v>60</v>
      </c>
      <c r="E87" s="29">
        <v>50</v>
      </c>
      <c r="F87" s="29">
        <v>70</v>
      </c>
      <c r="G87" s="7">
        <f>((C87+D87)/2-(E87+F87)/2)/((E87+F87)/2)*100</f>
        <v>-12.5</v>
      </c>
      <c r="H87" s="5" t="s">
        <v>121</v>
      </c>
      <c r="I87" s="6"/>
      <c r="J87" s="6"/>
      <c r="K87" s="50"/>
      <c r="L87" s="17"/>
    </row>
    <row r="88" spans="1:12" ht="21" x14ac:dyDescent="0.3">
      <c r="A88" s="69" t="s">
        <v>43</v>
      </c>
      <c r="B88" s="6" t="s">
        <v>18</v>
      </c>
      <c r="C88" s="29">
        <v>60</v>
      </c>
      <c r="D88" s="29">
        <v>80</v>
      </c>
      <c r="E88" s="29">
        <v>70</v>
      </c>
      <c r="F88" s="29">
        <v>80</v>
      </c>
      <c r="G88" s="7">
        <f t="shared" si="10"/>
        <v>-6.666666666666667</v>
      </c>
      <c r="H88" s="5" t="s">
        <v>121</v>
      </c>
      <c r="I88" s="6"/>
      <c r="J88" s="6"/>
      <c r="K88" s="50"/>
      <c r="L88" s="17"/>
    </row>
    <row r="89" spans="1:12" ht="21" x14ac:dyDescent="0.3">
      <c r="A89" s="69" t="s">
        <v>45</v>
      </c>
      <c r="B89" s="6" t="s">
        <v>18</v>
      </c>
      <c r="C89" s="29">
        <v>180</v>
      </c>
      <c r="D89" s="29">
        <v>200</v>
      </c>
      <c r="E89" s="29">
        <v>150</v>
      </c>
      <c r="F89" s="29">
        <v>200</v>
      </c>
      <c r="G89" s="7">
        <f t="shared" si="10"/>
        <v>8.5714285714285712</v>
      </c>
      <c r="H89" s="5" t="s">
        <v>120</v>
      </c>
      <c r="I89" s="6"/>
      <c r="J89" s="6"/>
      <c r="K89" s="50"/>
      <c r="L89" s="17"/>
    </row>
    <row r="90" spans="1:12" ht="21" x14ac:dyDescent="0.3">
      <c r="A90" s="69" t="s">
        <v>54</v>
      </c>
      <c r="B90" s="6" t="s">
        <v>18</v>
      </c>
      <c r="C90" s="29">
        <v>1300</v>
      </c>
      <c r="D90" s="29">
        <v>1600</v>
      </c>
      <c r="E90" s="29">
        <v>1350</v>
      </c>
      <c r="F90" s="29">
        <v>1600</v>
      </c>
      <c r="G90" s="7">
        <f t="shared" si="10"/>
        <v>-1.6949152542372881</v>
      </c>
      <c r="H90" s="5" t="s">
        <v>121</v>
      </c>
      <c r="I90" s="6"/>
      <c r="J90" s="6"/>
      <c r="K90" s="50"/>
      <c r="L90" s="17"/>
    </row>
    <row r="91" spans="1:12" ht="21" x14ac:dyDescent="0.3">
      <c r="A91" s="69" t="s">
        <v>61</v>
      </c>
      <c r="B91" s="6" t="s">
        <v>18</v>
      </c>
      <c r="C91" s="29">
        <v>170</v>
      </c>
      <c r="D91" s="29">
        <v>185</v>
      </c>
      <c r="E91" s="29">
        <v>175</v>
      </c>
      <c r="F91" s="29">
        <v>185</v>
      </c>
      <c r="G91" s="7">
        <f t="shared" si="10"/>
        <v>-1.3888888888888888</v>
      </c>
      <c r="H91" s="5" t="s">
        <v>125</v>
      </c>
      <c r="I91" s="6"/>
      <c r="J91" s="6"/>
      <c r="K91" s="50"/>
      <c r="L91" s="17"/>
    </row>
    <row r="92" spans="1:12" ht="23.25" x14ac:dyDescent="0.3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3.25" x14ac:dyDescent="0.3">
      <c r="A93" s="1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3.25" x14ac:dyDescent="0.3">
      <c r="A94" s="41"/>
      <c r="B94" s="42" t="s">
        <v>115</v>
      </c>
      <c r="C94" s="10"/>
      <c r="E94" s="84"/>
      <c r="F94" s="85"/>
      <c r="G94" s="86"/>
      <c r="I94" s="12"/>
      <c r="J94" s="13" t="s">
        <v>117</v>
      </c>
      <c r="K94" s="10"/>
    </row>
    <row r="95" spans="1:12" ht="23.25" x14ac:dyDescent="0.3">
      <c r="A95" s="43"/>
      <c r="B95" s="42" t="s">
        <v>116</v>
      </c>
      <c r="C95" s="13"/>
      <c r="E95" s="43"/>
      <c r="F95" s="85"/>
      <c r="G95" s="86"/>
      <c r="I95" s="76"/>
      <c r="J95" s="13" t="s">
        <v>118</v>
      </c>
    </row>
    <row r="96" spans="1:12" ht="23.25" x14ac:dyDescent="0.3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8.75" x14ac:dyDescent="0.25">
      <c r="A97" s="55" t="s">
        <v>91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8.75" x14ac:dyDescent="0.25">
      <c r="A98" s="54" t="s">
        <v>97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8.75" x14ac:dyDescent="0.25">
      <c r="A99" s="54" t="s">
        <v>96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8.75" x14ac:dyDescent="0.25">
      <c r="A100" s="54" t="s">
        <v>84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8.75" x14ac:dyDescent="0.25">
      <c r="A101" s="54" t="s">
        <v>95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8.75" x14ac:dyDescent="0.25">
      <c r="A102" s="54" t="s">
        <v>94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105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93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92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85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99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98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100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101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86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5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 t="s">
        <v>88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111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110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 t="s">
        <v>109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2026-02-01T07:48:31Z</cp:lastPrinted>
  <dcterms:created xsi:type="dcterms:W3CDTF">2021-06-05T07:13:00Z</dcterms:created>
  <dcterms:modified xsi:type="dcterms:W3CDTF">2026-02-05T10:27:39Z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