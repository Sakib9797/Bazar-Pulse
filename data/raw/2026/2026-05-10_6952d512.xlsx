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13_ncr:1_{CDDD451E-BDD8-4580-905C-2E29F07FE97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6" i="4" l="1"/>
  <c r="G92" i="4"/>
  <c r="G87" i="4"/>
  <c r="G97" i="4"/>
  <c r="G95" i="4"/>
  <c r="G93" i="4"/>
  <c r="G91" i="4"/>
  <c r="G90" i="4"/>
  <c r="G89" i="4"/>
  <c r="G88" i="4"/>
  <c r="G94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<sst xmlns="http://schemas.openxmlformats.org/spreadsheetml/2006/main" count="254" uniqueCount="136">
  <si>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</si>
  <si>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</si>
  <si>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</si>
  <si>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</si>
  <si>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</si>
  <si>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</si>
  <si>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</si>
  <si>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</si>
  <si>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</si>
  <si>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</si>
  <si>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</si>
  <si>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</si>
  <si>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</si>
  <si>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</si>
  <si>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</si>
  <si>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</si>
  <si>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</si>
  <si>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</si>
  <si>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</si>
  <si>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</si>
  <si>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</si>
  <si>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</si>
  <si>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</si>
  <si>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</si>
  <si>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</si>
  <si>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</si>
  <si>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</si>
  <si>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</si>
  <si>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</si>
  <si>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</si>
  <si>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</si>
  <si>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</si>
  <si>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</si>
  <si>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</si>
  <si>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</si>
  <si>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</si>
  <si>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</si>
  <si>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</si>
  <si>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</si>
  <si>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</si>
  <si>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</si>
  <si>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</si>
  <si>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</si>
  <si>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</si>
  <si>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</si>
  <si>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</si>
  <si>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</si>
  <si>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</si>
  <si>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</si>
  <si>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</si>
  <si>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</si>
  <si>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</si>
  <si>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</si>
  <si>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</si>
  <si>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</si>
  <si>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</si>
  <si>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</si>
  <si>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</si>
  <si>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</si>
  <si>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</si>
  <si>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</si>
  <si>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</si>
  <si>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</si>
  <si>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</si>
  <si>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</si>
  <si>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</si>
  <si>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</si>
  <si>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</si>
  <si>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</si>
  <si>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</si>
  <si>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</si>
  <si>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</si>
  <si>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</si>
  <si>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</si>
  <si>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</si>
  <si>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</si>
  <si>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</si>
  <si>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</si>
  <si>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</si>
  <si>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</si>
  <si>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</si>
  <si>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</si>
  <si>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</si>
  <si>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</si>
  <si>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</si>
  <si>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</si>
  <si>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</si>
  <si>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</si>
  <si>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</si>
  <si>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</si>
  <si>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</si>
  <si>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</si>
  <si>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</si>
  <si>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</si>
  <si>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</si>
  <si>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</si>
  <si>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</si>
  <si>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</si>
  <si>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</si>
  <si>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</si>
  <si>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</si>
  <si>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</si>
  <si>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</si>
  <si>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</si>
  <si>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</si>
  <si>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</si>
  <si>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</si>
  <si>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</si>
  <si>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</si>
  <si>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</si>
  <si>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</si>
  <si>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</si>
  <si>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</si>
  <si>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</si>
  <si>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</si>
  <si>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</si>
  <si>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</si>
  <si>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</si>
  <si>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</si>
  <si>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</si>
  <si>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 xml:space="preserve"> (মোঃ গোলাম খোরশেদ)   </t>
  </si>
  <si>
    <t xml:space="preserve"> অতিরিক্ত পরিচালক (বাণিজ্যিক)</t>
  </si>
  <si>
    <t>০৪-০৫-২০২৬ তারিখে মূল্য বৃদ্ধি পেয়েছে।</t>
  </si>
  <si>
    <t>০৭-০৫-২০২৬ তারিখে মূল্য বৃদ্ধি পেয়েছে।</t>
  </si>
  <si>
    <t>০৯-০৫-২০২৬ তারিখে মূল্য বৃদ্ধি পেয়েছে।</t>
  </si>
  <si>
    <t>স্মারক নং-২৬.০৫.০০০০.০১৭.৩১.০১.২৬-৩৬৭</t>
  </si>
  <si>
    <t xml:space="preserve">রবিবার ১০ মে ২০২৬ খ্রিঃ, ২৭ বৈশাখ ১৪৩৩ বাংলা, ২২ জিলকদ ১৪৪৭ হিজরি </t>
  </si>
  <si>
    <t xml:space="preserve">   সিরিয়াল নংঃ     ১১৪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</si>
  <si>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</si>
  <si>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</si>
  <si>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</si>
  <si>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</si>
  <si>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>১০-০৫-২০২৬ তারিখে মূল্য বৃদ্ধি পেয়েছে।</t>
  </si>
  <si>
    <t>১০-০৫-২০২৬ তারিখে মূল্য হ্রাস পেয়েছে।</t>
  </si>
  <si>
    <t>(১)   কাাঁচামরিচ, বেগুন  এর মূল্য হ্রাস পেয়েছে।</t>
  </si>
  <si>
    <t>(২)   সয়াবিন তেল (লুজ, ১লিঃ, ২লিঃ, ৫লিঃ বোতল), পাম অয়েল (লুজ,সুপার), মুরগী ব্রয়লার, শসা, ডিম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</si>
</sst>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2"/>
  <sheetViews>
    <sheetView tabSelected="1" zoomScale="95" zoomScaleNormal="95" workbookViewId="0">
      <selection activeCell="B83" sqref="B83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96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6" t="s">
        <v>127</v>
      </c>
      <c r="L5" s="75"/>
    </row>
    <row r="6" spans="1:12" ht="21.75">
      <c r="A6" s="10"/>
      <c r="B6" s="8"/>
      <c r="C6" s="8"/>
      <c r="D6" s="10"/>
      <c r="E6" s="8"/>
      <c r="F6" s="8" t="s">
        <v>126</v>
      </c>
      <c r="G6" s="8"/>
      <c r="H6" s="8"/>
      <c r="I6" s="8"/>
      <c r="J6" s="8"/>
      <c r="K6" s="8"/>
      <c r="L6" s="30"/>
    </row>
    <row r="7" spans="1:12" ht="21.75">
      <c r="A7" s="13" t="s">
        <v>125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46152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0" t="s">
        <v>11</v>
      </c>
    </row>
    <row r="9" spans="1:12" ht="21.75">
      <c r="A9" s="5"/>
      <c r="B9" s="6"/>
      <c r="C9" s="74">
        <v>46152</v>
      </c>
      <c r="D9" s="75"/>
      <c r="E9" s="74">
        <v>46145</v>
      </c>
      <c r="F9" s="75"/>
      <c r="G9" s="74">
        <v>46122</v>
      </c>
      <c r="H9" s="75"/>
      <c r="I9" s="18" t="s">
        <v>12</v>
      </c>
      <c r="J9" s="74">
        <v>45787</v>
      </c>
      <c r="K9" s="75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86</v>
      </c>
      <c r="L11" s="22">
        <f>((C11+D11)/2-(J11+K11)/2)/((J11+K11)/2)*100</f>
        <v>-1.89873417721519</v>
      </c>
    </row>
    <row r="12" spans="1:12" ht="21.75">
      <c r="A12" s="56" t="s">
        <v>97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58</v>
      </c>
      <c r="K12" s="20">
        <v>65</v>
      </c>
      <c r="L12" s="22">
        <f>((C12+D12)/2-(J12+K12)/2)/((J12+K12)/2)*100</f>
        <v>4.0650406504065035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40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186</v>
      </c>
      <c r="D20" s="20">
        <v>195</v>
      </c>
      <c r="E20" s="20">
        <v>180</v>
      </c>
      <c r="F20" s="20">
        <v>195</v>
      </c>
      <c r="G20" s="20">
        <v>185</v>
      </c>
      <c r="H20" s="20">
        <v>196</v>
      </c>
      <c r="I20" s="21">
        <f t="shared" ref="I20:I26" si="0">((C20+D20)/2-(G20+H20)/2)/((G20+H20)/2)*100</f>
        <v>0</v>
      </c>
      <c r="J20" s="20">
        <v>165</v>
      </c>
      <c r="K20" s="20">
        <v>172</v>
      </c>
      <c r="L20" s="22">
        <f t="shared" ref="L20:L26" si="1">((C20+D20)/2-(J20+K20)/2)/((J20+K20)/2)*100</f>
        <v>13.056379821958458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0.38216560509554143</v>
      </c>
      <c r="J22" s="20">
        <v>375</v>
      </c>
      <c r="K22" s="20">
        <v>378</v>
      </c>
      <c r="L22" s="22">
        <f t="shared" si="1"/>
        <v>4.6480743691899074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170</v>
      </c>
      <c r="E24" s="20">
        <v>161</v>
      </c>
      <c r="F24" s="20">
        <v>168</v>
      </c>
      <c r="G24" s="20">
        <v>164</v>
      </c>
      <c r="H24" s="20">
        <v>168</v>
      </c>
      <c r="I24" s="21">
        <f t="shared" si="0"/>
        <v>0</v>
      </c>
      <c r="J24" s="20">
        <v>145</v>
      </c>
      <c r="K24" s="20">
        <v>155</v>
      </c>
      <c r="L24" s="22">
        <f t="shared" si="1"/>
        <v>10.666666666666668</v>
      </c>
    </row>
    <row r="25" spans="1:12" ht="21.75">
      <c r="A25" s="56" t="s">
        <v>98</v>
      </c>
      <c r="B25" s="6" t="s">
        <v>27</v>
      </c>
      <c r="C25" s="20">
        <v>172</v>
      </c>
      <c r="D25" s="20">
        <v>174</v>
      </c>
      <c r="E25" s="20">
        <v>168</v>
      </c>
      <c r="F25" s="20">
        <v>172</v>
      </c>
      <c r="G25" s="20">
        <v>165</v>
      </c>
      <c r="H25" s="20">
        <v>172</v>
      </c>
      <c r="I25" s="21">
        <f t="shared" si="0"/>
        <v>2.6706231454005933</v>
      </c>
      <c r="J25" s="20">
        <v>155</v>
      </c>
      <c r="K25" s="20">
        <v>160</v>
      </c>
      <c r="L25" s="22">
        <f t="shared" si="1"/>
        <v>9.8412698412698418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102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85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105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25</v>
      </c>
      <c r="H34" s="20">
        <v>30</v>
      </c>
      <c r="I34" s="21">
        <f t="shared" si="2"/>
        <v>-18.181818181818183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106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48</v>
      </c>
      <c r="K36" s="20">
        <v>60</v>
      </c>
      <c r="L36" s="22">
        <f t="shared" ref="L36:L51" si="5">((C36+D36)/2-(J36+K36)/2)/((J36+K36)/2)*100</f>
        <v>-30.555555555555557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60</v>
      </c>
      <c r="F38" s="20">
        <v>140</v>
      </c>
      <c r="G38" s="20">
        <v>80</v>
      </c>
      <c r="H38" s="20">
        <v>140</v>
      </c>
      <c r="I38" s="21">
        <f t="shared" si="4"/>
        <v>-9.0909090909090917</v>
      </c>
      <c r="J38" s="20">
        <v>100</v>
      </c>
      <c r="K38" s="20">
        <v>160</v>
      </c>
      <c r="L38" s="22">
        <f t="shared" si="5"/>
        <v>-23.076923076923077</v>
      </c>
    </row>
    <row r="39" spans="1:12" ht="21.75">
      <c r="A39" s="56" t="s">
        <v>44</v>
      </c>
      <c r="B39" s="6" t="s">
        <v>17</v>
      </c>
      <c r="C39" s="20">
        <v>140</v>
      </c>
      <c r="D39" s="20">
        <v>220</v>
      </c>
      <c r="E39" s="20">
        <v>140</v>
      </c>
      <c r="F39" s="20">
        <v>220</v>
      </c>
      <c r="G39" s="20">
        <v>160</v>
      </c>
      <c r="H39" s="20">
        <v>220</v>
      </c>
      <c r="I39" s="21">
        <f t="shared" si="4"/>
        <v>-5.2631578947368416</v>
      </c>
      <c r="J39" s="20">
        <v>170</v>
      </c>
      <c r="K39" s="20">
        <v>240</v>
      </c>
      <c r="L39" s="22">
        <f t="shared" si="5"/>
        <v>-12.195121951219512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330</v>
      </c>
      <c r="L40" s="22">
        <f t="shared" si="5"/>
        <v>32.142857142857146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330</v>
      </c>
      <c r="K41" s="20">
        <v>430</v>
      </c>
      <c r="L41" s="22">
        <f t="shared" si="5"/>
        <v>23.684210526315788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280</v>
      </c>
      <c r="K42" s="20">
        <v>400</v>
      </c>
      <c r="L42" s="22">
        <f t="shared" si="5"/>
        <v>-4.4117647058823533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100</v>
      </c>
      <c r="H44" s="20">
        <v>200</v>
      </c>
      <c r="I44" s="21">
        <f t="shared" si="4"/>
        <v>0</v>
      </c>
      <c r="J44" s="20">
        <v>110</v>
      </c>
      <c r="K44" s="20">
        <v>150</v>
      </c>
      <c r="L44" s="22">
        <f t="shared" si="5"/>
        <v>15.384615384615385</v>
      </c>
    </row>
    <row r="45" spans="1:12" ht="21.75">
      <c r="A45" s="56" t="s">
        <v>50</v>
      </c>
      <c r="B45" s="6" t="s">
        <v>17</v>
      </c>
      <c r="C45" s="20">
        <v>120</v>
      </c>
      <c r="D45" s="20">
        <v>200</v>
      </c>
      <c r="E45" s="20">
        <v>120</v>
      </c>
      <c r="F45" s="20">
        <v>210</v>
      </c>
      <c r="G45" s="20">
        <v>120</v>
      </c>
      <c r="H45" s="20">
        <v>210</v>
      </c>
      <c r="I45" s="21">
        <f t="shared" si="4"/>
        <v>-3.0303030303030303</v>
      </c>
      <c r="J45" s="20">
        <v>110</v>
      </c>
      <c r="K45" s="20">
        <v>220</v>
      </c>
      <c r="L45" s="22">
        <f t="shared" si="5"/>
        <v>-3.0303030303030303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580</v>
      </c>
      <c r="L47" s="22">
        <f t="shared" si="5"/>
        <v>1.8518518518518516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1360</v>
      </c>
      <c r="K48" s="20">
        <v>1600</v>
      </c>
      <c r="L48" s="22">
        <f t="shared" si="5"/>
        <v>1.3513513513513513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4500</v>
      </c>
      <c r="K49" s="20">
        <v>5500</v>
      </c>
      <c r="L49" s="22">
        <f t="shared" si="5"/>
        <v>1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190</v>
      </c>
      <c r="G57" s="20">
        <v>180</v>
      </c>
      <c r="H57" s="20">
        <v>200</v>
      </c>
      <c r="I57" s="21">
        <f t="shared" si="6"/>
        <v>0</v>
      </c>
      <c r="J57" s="20">
        <v>180</v>
      </c>
      <c r="K57" s="20">
        <v>200</v>
      </c>
      <c r="L57" s="22">
        <f t="shared" si="7"/>
        <v>0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1"/>
      <c r="B67" s="54"/>
      <c r="C67" s="74">
        <v>46152</v>
      </c>
      <c r="D67" s="75"/>
      <c r="E67" s="74">
        <v>46145</v>
      </c>
      <c r="F67" s="75"/>
      <c r="G67" s="74">
        <v>46122</v>
      </c>
      <c r="H67" s="75"/>
      <c r="I67" s="18" t="s">
        <v>12</v>
      </c>
      <c r="J67" s="74">
        <v>45787</v>
      </c>
      <c r="K67" s="75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100</v>
      </c>
      <c r="H69" s="20">
        <v>110</v>
      </c>
      <c r="I69" s="21">
        <f>((C69+D69)/2-(G69+H69)/2)/((G69+H69)/2)*100</f>
        <v>2.3809523809523809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100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109</v>
      </c>
      <c r="B72" s="48" t="s">
        <v>72</v>
      </c>
      <c r="C72" s="20">
        <v>15</v>
      </c>
      <c r="D72" s="20">
        <v>40</v>
      </c>
      <c r="E72" s="20">
        <v>15</v>
      </c>
      <c r="F72" s="20">
        <v>40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110</v>
      </c>
      <c r="B73" s="48" t="s">
        <v>17</v>
      </c>
      <c r="C73" s="20">
        <v>80</v>
      </c>
      <c r="D73" s="20">
        <v>120</v>
      </c>
      <c r="E73" s="20">
        <v>80</v>
      </c>
      <c r="F73" s="20">
        <v>130</v>
      </c>
      <c r="G73" s="20">
        <v>60</v>
      </c>
      <c r="H73" s="20">
        <v>100</v>
      </c>
      <c r="I73" s="21">
        <f t="shared" si="9"/>
        <v>25</v>
      </c>
      <c r="J73" s="20">
        <v>70</v>
      </c>
      <c r="K73" s="20">
        <v>120</v>
      </c>
      <c r="L73" s="22">
        <f t="shared" si="8"/>
        <v>5.2631578947368416</v>
      </c>
    </row>
    <row r="74" spans="1:12" ht="21.75">
      <c r="A74" s="56" t="s">
        <v>111</v>
      </c>
      <c r="B74" s="48" t="s">
        <v>17</v>
      </c>
      <c r="C74" s="20">
        <v>80</v>
      </c>
      <c r="D74" s="20">
        <v>100</v>
      </c>
      <c r="E74" s="20">
        <v>80</v>
      </c>
      <c r="F74" s="20">
        <v>120</v>
      </c>
      <c r="G74" s="20">
        <v>80</v>
      </c>
      <c r="H74" s="20">
        <v>120</v>
      </c>
      <c r="I74" s="21">
        <f t="shared" si="9"/>
        <v>-10</v>
      </c>
      <c r="J74" s="20">
        <v>60</v>
      </c>
      <c r="K74" s="20">
        <v>100</v>
      </c>
      <c r="L74" s="22">
        <f t="shared" si="8"/>
        <v>12.5</v>
      </c>
    </row>
    <row r="75" spans="1:12" ht="21.75">
      <c r="A75" s="56" t="s">
        <v>112</v>
      </c>
      <c r="B75" s="48" t="s">
        <v>17</v>
      </c>
      <c r="C75" s="20">
        <v>50</v>
      </c>
      <c r="D75" s="20">
        <v>100</v>
      </c>
      <c r="E75" s="20">
        <v>50</v>
      </c>
      <c r="F75" s="20">
        <v>80</v>
      </c>
      <c r="G75" s="20">
        <v>50</v>
      </c>
      <c r="H75" s="20">
        <v>80</v>
      </c>
      <c r="I75" s="21">
        <f t="shared" si="9"/>
        <v>15.384615384615385</v>
      </c>
      <c r="J75" s="20">
        <v>40</v>
      </c>
      <c r="K75" s="20">
        <v>80</v>
      </c>
      <c r="L75" s="22">
        <f t="shared" si="8"/>
        <v>25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50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21.621621621621621</v>
      </c>
      <c r="J76" s="28">
        <v>40</v>
      </c>
      <c r="K76" s="28">
        <v>45</v>
      </c>
      <c r="L76" s="22">
        <f t="shared" si="8"/>
        <v>5.8823529411764701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>
      <c r="A80" s="77" t="s">
        <v>116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101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134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135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104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9" t="s">
        <v>81</v>
      </c>
      <c r="F86" s="80"/>
      <c r="G86" s="41" t="s">
        <v>12</v>
      </c>
      <c r="H86" s="72" t="s">
        <v>82</v>
      </c>
      <c r="I86" s="81"/>
      <c r="J86" s="73"/>
      <c r="K86" s="43"/>
      <c r="L86" s="2"/>
    </row>
    <row r="87" spans="1:12" ht="21.75">
      <c r="A87" s="56" t="s">
        <v>26</v>
      </c>
      <c r="B87" s="6" t="s">
        <v>27</v>
      </c>
      <c r="C87" s="20">
        <v>186</v>
      </c>
      <c r="D87" s="20">
        <v>195</v>
      </c>
      <c r="E87" s="20">
        <v>180</v>
      </c>
      <c r="F87" s="20">
        <v>195</v>
      </c>
      <c r="G87" s="7">
        <f>((C87+D87)/2-(E87+F87)/2)/((E87+F87)/2)*100</f>
        <v>1.6</v>
      </c>
      <c r="H87" s="5" t="s">
        <v>124</v>
      </c>
      <c r="I87" s="6"/>
      <c r="J87" s="6"/>
      <c r="K87" s="43"/>
      <c r="L87" s="2"/>
    </row>
    <row r="88" spans="1:12" ht="21.75">
      <c r="A88" s="56" t="s">
        <v>28</v>
      </c>
      <c r="B88" s="6" t="s">
        <v>29</v>
      </c>
      <c r="C88" s="20">
        <v>950</v>
      </c>
      <c r="D88" s="20">
        <v>975</v>
      </c>
      <c r="E88" s="20">
        <v>950</v>
      </c>
      <c r="F88" s="20">
        <v>955</v>
      </c>
      <c r="G88" s="7">
        <f t="shared" ref="G88:G93" si="10">((C88+D88)/2-(E88+F88)/2)/((E88+F88)/2)*100</f>
        <v>1.0498687664041995</v>
      </c>
      <c r="H88" s="5" t="s">
        <v>122</v>
      </c>
      <c r="I88" s="6"/>
      <c r="J88" s="6"/>
      <c r="K88" s="43"/>
      <c r="L88" s="2"/>
    </row>
    <row r="89" spans="1:12" ht="21.75">
      <c r="A89" s="56" t="s">
        <v>28</v>
      </c>
      <c r="B89" s="6" t="s">
        <v>30</v>
      </c>
      <c r="C89" s="20">
        <v>390</v>
      </c>
      <c r="D89" s="20">
        <v>398</v>
      </c>
      <c r="E89" s="20">
        <v>390</v>
      </c>
      <c r="F89" s="20">
        <v>395</v>
      </c>
      <c r="G89" s="7">
        <f t="shared" si="10"/>
        <v>0.38216560509554143</v>
      </c>
      <c r="H89" s="5" t="s">
        <v>122</v>
      </c>
      <c r="I89" s="6"/>
      <c r="J89" s="6"/>
      <c r="K89" s="43"/>
      <c r="L89" s="2"/>
    </row>
    <row r="90" spans="1:12" ht="21.75">
      <c r="A90" s="56" t="s">
        <v>28</v>
      </c>
      <c r="B90" s="6" t="s">
        <v>31</v>
      </c>
      <c r="C90" s="20">
        <v>195</v>
      </c>
      <c r="D90" s="20">
        <v>199</v>
      </c>
      <c r="E90" s="20">
        <v>195</v>
      </c>
      <c r="F90" s="20">
        <v>195</v>
      </c>
      <c r="G90" s="7">
        <f t="shared" si="10"/>
        <v>1.0256410256410255</v>
      </c>
      <c r="H90" s="5" t="s">
        <v>122</v>
      </c>
      <c r="I90" s="6"/>
      <c r="J90" s="6"/>
      <c r="K90" s="43"/>
      <c r="L90" s="2"/>
    </row>
    <row r="91" spans="1:12" ht="21.75">
      <c r="A91" s="56" t="s">
        <v>32</v>
      </c>
      <c r="B91" s="6" t="s">
        <v>27</v>
      </c>
      <c r="C91" s="20">
        <v>162</v>
      </c>
      <c r="D91" s="20">
        <v>170</v>
      </c>
      <c r="E91" s="20">
        <v>161</v>
      </c>
      <c r="F91" s="20">
        <v>168</v>
      </c>
      <c r="G91" s="7">
        <f t="shared" si="10"/>
        <v>0.91185410334346495</v>
      </c>
      <c r="H91" s="5" t="s">
        <v>132</v>
      </c>
      <c r="I91" s="6"/>
      <c r="J91" s="6"/>
      <c r="K91" s="43"/>
      <c r="L91" s="2"/>
    </row>
    <row r="92" spans="1:12" ht="21.75">
      <c r="A92" s="56" t="s">
        <v>98</v>
      </c>
      <c r="B92" s="6" t="s">
        <v>27</v>
      </c>
      <c r="C92" s="20">
        <v>172</v>
      </c>
      <c r="D92" s="20">
        <v>174</v>
      </c>
      <c r="E92" s="20">
        <v>168</v>
      </c>
      <c r="F92" s="20">
        <v>172</v>
      </c>
      <c r="G92" s="7">
        <f t="shared" si="10"/>
        <v>1.7647058823529411</v>
      </c>
      <c r="H92" s="5" t="s">
        <v>132</v>
      </c>
      <c r="I92" s="6"/>
      <c r="J92" s="6"/>
      <c r="K92" s="43"/>
      <c r="L92" s="2"/>
    </row>
    <row r="93" spans="1:12" ht="21.75">
      <c r="A93" s="56" t="s">
        <v>60</v>
      </c>
      <c r="B93" s="6" t="s">
        <v>17</v>
      </c>
      <c r="C93" s="20">
        <v>180</v>
      </c>
      <c r="D93" s="20">
        <v>200</v>
      </c>
      <c r="E93" s="20">
        <v>180</v>
      </c>
      <c r="F93" s="20">
        <v>190</v>
      </c>
      <c r="G93" s="7">
        <f t="shared" si="10"/>
        <v>2.7027027027027026</v>
      </c>
      <c r="H93" s="5" t="s">
        <v>124</v>
      </c>
      <c r="I93" s="6"/>
      <c r="J93" s="6"/>
      <c r="K93" s="43"/>
      <c r="L93" s="2"/>
    </row>
    <row r="94" spans="1:12" ht="21.75">
      <c r="A94" s="56" t="s">
        <v>110</v>
      </c>
      <c r="B94" s="48" t="s">
        <v>17</v>
      </c>
      <c r="C94" s="20">
        <v>80</v>
      </c>
      <c r="D94" s="20">
        <v>120</v>
      </c>
      <c r="E94" s="20">
        <v>80</v>
      </c>
      <c r="F94" s="20">
        <v>130</v>
      </c>
      <c r="G94" s="7">
        <f t="shared" ref="G94:G97" si="11">((C94+D94)/2-(E94+F94)/2)/((E94+F94)/2)*100</f>
        <v>-4.7619047619047619</v>
      </c>
      <c r="H94" s="5" t="s">
        <v>133</v>
      </c>
      <c r="I94" s="6"/>
      <c r="J94" s="6"/>
      <c r="K94" s="43"/>
      <c r="L94" s="2"/>
    </row>
    <row r="95" spans="1:12" ht="21.75">
      <c r="A95" s="56" t="s">
        <v>111</v>
      </c>
      <c r="B95" s="48" t="s">
        <v>17</v>
      </c>
      <c r="C95" s="20">
        <v>80</v>
      </c>
      <c r="D95" s="20">
        <v>100</v>
      </c>
      <c r="E95" s="20">
        <v>80</v>
      </c>
      <c r="F95" s="20">
        <v>120</v>
      </c>
      <c r="G95" s="7">
        <f t="shared" si="11"/>
        <v>-10</v>
      </c>
      <c r="H95" s="5" t="s">
        <v>133</v>
      </c>
      <c r="I95" s="6"/>
      <c r="J95" s="6"/>
      <c r="K95" s="43"/>
      <c r="L95" s="2"/>
    </row>
    <row r="96" spans="1:12" ht="21.75">
      <c r="A96" s="56" t="s">
        <v>112</v>
      </c>
      <c r="B96" s="48" t="s">
        <v>17</v>
      </c>
      <c r="C96" s="20">
        <v>50</v>
      </c>
      <c r="D96" s="20">
        <v>100</v>
      </c>
      <c r="E96" s="20">
        <v>50</v>
      </c>
      <c r="F96" s="20">
        <v>80</v>
      </c>
      <c r="G96" s="7">
        <f t="shared" si="11"/>
        <v>15.384615384615385</v>
      </c>
      <c r="H96" s="5" t="s">
        <v>132</v>
      </c>
      <c r="I96" s="6"/>
      <c r="J96" s="6"/>
      <c r="K96" s="43"/>
      <c r="L96" s="2"/>
    </row>
    <row r="97" spans="1:12" ht="21.75">
      <c r="A97" s="56" t="s">
        <v>71</v>
      </c>
      <c r="B97" s="6" t="s">
        <v>72</v>
      </c>
      <c r="C97" s="28">
        <v>40</v>
      </c>
      <c r="D97" s="28">
        <v>50</v>
      </c>
      <c r="E97" s="28">
        <v>40</v>
      </c>
      <c r="F97" s="28">
        <v>45</v>
      </c>
      <c r="G97" s="7">
        <f t="shared" si="11"/>
        <v>5.8823529411764701</v>
      </c>
      <c r="H97" s="5" t="s">
        <v>123</v>
      </c>
      <c r="I97" s="6"/>
      <c r="J97" s="6"/>
      <c r="K97" s="43"/>
      <c r="L97" s="44"/>
    </row>
    <row r="98" spans="1:12" ht="21.75">
      <c r="A98" s="60"/>
      <c r="B98" s="3"/>
      <c r="C98" s="71"/>
      <c r="D98" s="71"/>
      <c r="E98" s="71"/>
      <c r="F98" s="71"/>
      <c r="G98" s="9"/>
      <c r="H98" s="1"/>
      <c r="I98" s="3"/>
      <c r="J98" s="3"/>
      <c r="K98" s="43"/>
      <c r="L98" s="44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19.5">
      <c r="A100" s="1"/>
      <c r="B100" s="49"/>
      <c r="C100" s="37"/>
      <c r="D100" s="37"/>
      <c r="E100" s="37"/>
      <c r="F100" s="37"/>
      <c r="G100" s="9"/>
      <c r="H100" s="1"/>
      <c r="I100" s="3"/>
      <c r="J100" s="3"/>
      <c r="K100" s="44"/>
      <c r="L100" s="44"/>
    </row>
    <row r="101" spans="1:12" ht="24.75">
      <c r="A101" s="64"/>
      <c r="B101" s="65" t="s">
        <v>119</v>
      </c>
      <c r="C101" s="66"/>
      <c r="E101" s="64"/>
      <c r="F101" s="65" t="s">
        <v>107</v>
      </c>
      <c r="G101" s="66"/>
      <c r="I101" s="67"/>
      <c r="J101" s="68" t="s">
        <v>120</v>
      </c>
      <c r="K101" s="66"/>
      <c r="L101" s="44"/>
    </row>
    <row r="102" spans="1:12" ht="24.75">
      <c r="A102" s="69"/>
      <c r="B102" s="65" t="s">
        <v>118</v>
      </c>
      <c r="C102" s="68"/>
      <c r="E102" s="69"/>
      <c r="F102" s="65" t="s">
        <v>108</v>
      </c>
      <c r="G102" s="68"/>
      <c r="I102" s="70"/>
      <c r="J102" s="68" t="s">
        <v>121</v>
      </c>
      <c r="L102" s="44"/>
    </row>
    <row r="103" spans="1:12" ht="19.5">
      <c r="A103" s="1"/>
      <c r="B103" s="49"/>
      <c r="C103" s="37"/>
      <c r="D103" s="37"/>
      <c r="E103" s="37"/>
      <c r="F103" s="37"/>
      <c r="G103" s="9"/>
      <c r="H103" s="1"/>
      <c r="I103" s="3"/>
      <c r="J103" s="3"/>
      <c r="K103" s="44"/>
      <c r="L103" s="44"/>
    </row>
    <row r="104" spans="1:12" ht="19.5">
      <c r="A104" s="1"/>
      <c r="B104" s="3"/>
      <c r="C104" s="37"/>
      <c r="D104" s="37"/>
      <c r="E104" s="37"/>
      <c r="F104" s="37"/>
      <c r="G104" s="9"/>
      <c r="H104" s="45"/>
      <c r="I104" s="44"/>
      <c r="J104" s="44"/>
      <c r="K104" s="44"/>
      <c r="L104" s="44"/>
    </row>
    <row r="105" spans="1:12" ht="19.5">
      <c r="A105" s="1"/>
      <c r="B105" s="46"/>
      <c r="C105" s="47"/>
      <c r="D105" s="47"/>
      <c r="E105" s="3"/>
      <c r="F105" s="47"/>
      <c r="G105" s="9"/>
      <c r="H105" s="45"/>
      <c r="I105" s="44"/>
      <c r="J105" s="44"/>
      <c r="K105" s="44"/>
      <c r="L105" s="44"/>
    </row>
    <row r="106" spans="1:12" ht="19.5">
      <c r="A106" s="35" t="s">
        <v>89</v>
      </c>
      <c r="B106" s="33"/>
      <c r="C106" s="31"/>
      <c r="D106" s="33"/>
      <c r="E106" s="31"/>
      <c r="F106" s="31"/>
      <c r="G106" s="31"/>
      <c r="H106" s="32"/>
      <c r="I106" s="2"/>
      <c r="J106" s="2"/>
      <c r="K106" s="2"/>
      <c r="L106" s="2"/>
    </row>
    <row r="107" spans="1:12" ht="19.5">
      <c r="A107" s="34" t="s">
        <v>128</v>
      </c>
      <c r="B107" s="33"/>
      <c r="C107" s="31"/>
      <c r="D107" s="33"/>
      <c r="E107" s="31"/>
      <c r="F107" s="31"/>
      <c r="G107" s="33"/>
      <c r="H107" s="32"/>
      <c r="I107" s="2"/>
      <c r="J107" s="2"/>
      <c r="K107" s="2"/>
      <c r="L107" s="2"/>
    </row>
    <row r="108" spans="1:12" ht="19.5">
      <c r="A108" s="34" t="s">
        <v>113</v>
      </c>
      <c r="B108" s="33"/>
      <c r="C108" s="33"/>
      <c r="D108" s="33"/>
      <c r="E108" s="33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83</v>
      </c>
      <c r="B109" s="33"/>
      <c r="C109" s="33"/>
      <c r="D109" s="33"/>
      <c r="E109" s="33"/>
      <c r="F109" s="32"/>
      <c r="G109" s="32"/>
      <c r="H109" s="32"/>
      <c r="I109" s="2"/>
      <c r="J109" s="2"/>
      <c r="K109" s="2"/>
      <c r="L109" s="2"/>
    </row>
    <row r="110" spans="1:12" ht="19.5">
      <c r="A110" s="34" t="s">
        <v>114</v>
      </c>
      <c r="B110" s="33"/>
      <c r="C110" s="33"/>
      <c r="D110" s="33"/>
      <c r="E110" s="33"/>
      <c r="F110" s="33"/>
      <c r="G110" s="32"/>
      <c r="H110" s="32"/>
      <c r="I110" s="2"/>
      <c r="J110" s="2"/>
      <c r="K110" s="2"/>
      <c r="L110" s="2"/>
    </row>
    <row r="111" spans="1:12" ht="19.5">
      <c r="A111" s="34" t="s">
        <v>92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99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91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84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93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129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94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95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115</v>
      </c>
      <c r="B120" s="33"/>
      <c r="C120" s="33"/>
      <c r="D120" s="33"/>
      <c r="E120" s="33"/>
      <c r="F120" s="33"/>
      <c r="G120" s="33"/>
      <c r="H120" s="36"/>
      <c r="I120" s="44"/>
      <c r="J120" s="44"/>
      <c r="K120" s="44"/>
      <c r="L120" s="44"/>
    </row>
    <row r="121" spans="1:12" ht="19.5">
      <c r="A121" s="34"/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5" t="s">
        <v>85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 t="s">
        <v>86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130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131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103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442" spans="2:2">
      <c r="B442" t="s">
        <v>117</v>
      </c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2026-05-10T09:16:47Z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