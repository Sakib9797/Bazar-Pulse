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0FABCA44-D62E-0443-B6D3-8F351C6E77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G94" i="4"/>
  <c r="G90" i="4"/>
  <c r="I76" i="4"/>
  <c r="I51" i="4"/>
  <c r="I22" i="4"/>
  <c r="I26" i="4"/>
  <c r="I11" i="4"/>
  <c r="I12" i="4"/>
  <c r="I13" i="4"/>
  <c r="G89" i="4"/>
  <c r="G93" i="4"/>
  <c r="G92" i="4"/>
  <c r="G96" i="4"/>
  <c r="G97" i="4"/>
  <c r="G99" i="4"/>
  <c r="G91" i="4"/>
  <c r="G88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G9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<sst xmlns="http://schemas.openxmlformats.org/spreadsheetml/2006/main" count="255" uniqueCount="142">
  <si>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</si>
  <si>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</si>
  <si>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</si>
  <si>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</si>
  <si>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</si>
  <si>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</si>
  <si>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</si>
  <si>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</si>
  <si>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</si>
  <si>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</si>
  <si>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</si>
  <si>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</si>
  <si>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</si>
  <si>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</si>
  <si>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</si>
  <si>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</si>
  <si>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</si>
  <si>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</si>
  <si>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</si>
  <si>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</si>
  <si>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</si>
  <si>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</si>
  <si>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</si>
  <si>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</si>
  <si>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</si>
  <si>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</si>
  <si>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</si>
  <si>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</si>
  <si>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</si>
  <si>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</si>
  <si>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</si>
  <si>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</si>
  <si>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</si>
  <si>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</si>
  <si>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</si>
  <si>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</si>
  <si>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</si>
  <si>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</si>
  <si>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</si>
  <si>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</si>
  <si>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</si>
  <si>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</si>
  <si>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</si>
  <si>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</si>
  <si>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</si>
  <si>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</si>
  <si>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</si>
  <si>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</si>
  <si>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</si>
  <si>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</si>
  <si>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</si>
  <si>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</si>
  <si>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</si>
  <si>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</si>
  <si>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</si>
  <si>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</si>
  <si>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</si>
  <si>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</si>
  <si>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</si>
  <si>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</si>
  <si>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</si>
  <si>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</si>
  <si>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</si>
  <si>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</si>
  <si>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</si>
  <si>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</si>
  <si>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</si>
  <si>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</si>
  <si>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</si>
  <si>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</si>
  <si>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</si>
  <si>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</si>
  <si>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</si>
  <si>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</si>
  <si>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</si>
  <si>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</si>
  <si>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</si>
  <si>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</si>
  <si>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</si>
  <si>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</si>
  <si>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</si>
  <si>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</si>
  <si>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</si>
  <si>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</si>
  <si>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</si>
  <si>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</si>
  <si>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</si>
  <si>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</si>
  <si>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</si>
  <si>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</si>
  <si>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</si>
  <si>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</si>
  <si>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</si>
  <si>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</si>
  <si>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</si>
  <si>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</si>
  <si>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</si>
  <si>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</si>
  <si>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</si>
  <si>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</si>
  <si>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</si>
  <si>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</si>
  <si>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</si>
  <si>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</si>
  <si>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</si>
  <si>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</si>
  <si>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</si>
  <si>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</si>
  <si>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</si>
  <si>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</si>
  <si>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</si>
  <si>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</si>
  <si>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</si>
  <si>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</si>
  <si>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</si>
  <si>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</si>
  <si>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</si>
  <si>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</si>
  <si>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</si>
  <si>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</si>
  <si>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</si>
  <si>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</si>
  <si>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</si>
  <si>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১৫-০৮-২০২৬ তারিখে মূল্য বৃদ্ধি পেয়েছে।</t>
  </si>
  <si>
    <t>১৮-০৮-২০২৬ তারিখে মূল্য হ্রাস পেয়েছে।</t>
  </si>
  <si>
    <t>পিঁয়াজ (দেশী)</t>
  </si>
  <si>
    <t>১৯-০৮-২০২৬ তারিখে মূল্য বৃদ্ধি পেয়েছে।</t>
  </si>
  <si>
    <t>২০-০৮-২০২৬ তারিখে মূল্য হ্রাস পেয়েছে।</t>
  </si>
  <si>
    <t xml:space="preserve">নং-২৬.০৫.০০০০.০১৭.৩১.০১.২৬-৬৫৬                                                                                                           তারিখঃ ২১-০৮-২০২৬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</si>
  <si>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২০৭</t>
  </si>
  <si>
    <t xml:space="preserve">শুক্রবার ২১ আগষ্ট ২০২৬ খ্রিঃ, ০৬ ভাদ্র ১৪৩৩ বাংলা, ০৭ রবিউল আউয়াল ১৪৪৮ হিজরি </t>
  </si>
  <si>
    <t>২১-০৮-২০২৬ তারিখে মূল্য হ্রাস পেয়েছে।</t>
  </si>
  <si>
    <t>২১-০৮-২০২৬ তারিখে মূল্য বৃদ্ধি পেয়েছে।</t>
  </si>
  <si>
    <t>(২)   চাল সুগন্ধী (পোলাও) (খোলা), পেঁয়াজ (দেশী), রশুন (দেশী, আম),  শসা, কাঁচামরিচ   এর মূল্য হ্রাস পেয়েছে।</t>
  </si>
  <si>
    <t>(১)    চাল সুগন্ধী (পোলাও) (প্যাঃ), আটা (খোলা),  ময়দা (খোলা, প্যাঃ), এলাচ,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</si>
</sst>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zoomScaleNormal="100" workbookViewId="0">
      <selection activeCell="B83" sqref="B83:L83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86" t="s">
        <v>115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x14ac:dyDescent="0.3">
      <c r="A2" s="87" t="s">
        <v>116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x14ac:dyDescent="0.3">
      <c r="A3" s="88" t="s">
        <v>129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 x14ac:dyDescent="0.3">
      <c r="A4" s="89" t="s">
        <v>130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2"/>
      <c r="Q4" s="52"/>
      <c r="R4" s="52"/>
    </row>
    <row r="5" spans="1:18" x14ac:dyDescent="0.3">
      <c r="A5" s="90" t="s">
        <v>128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3"/>
      <c r="Q5" s="54"/>
    </row>
    <row r="6" spans="1:18" s="28" customFormat="1" x14ac:dyDescent="0.3">
      <c r="A6" s="79" t="s">
        <v>1</v>
      </c>
      <c r="B6" s="79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5" t="s">
        <v>6</v>
      </c>
      <c r="J6" s="71" t="s">
        <v>7</v>
      </c>
      <c r="K6" s="73"/>
      <c r="L6" s="27" t="s">
        <v>8</v>
      </c>
      <c r="M6" s="50"/>
    </row>
    <row r="7" spans="1:18" s="28" customFormat="1" x14ac:dyDescent="0.3">
      <c r="A7" s="80"/>
      <c r="B7" s="80"/>
      <c r="C7" s="77">
        <v>46255</v>
      </c>
      <c r="D7" s="78"/>
      <c r="E7" s="77">
        <v>46248</v>
      </c>
      <c r="F7" s="78"/>
      <c r="G7" s="77">
        <v>46224</v>
      </c>
      <c r="H7" s="78"/>
      <c r="I7" s="25" t="s">
        <v>9</v>
      </c>
      <c r="J7" s="81">
        <v>45890</v>
      </c>
      <c r="K7" s="82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220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-1.2820512820512819</v>
      </c>
    </row>
    <row r="10" spans="1:18" s="28" customFormat="1" x14ac:dyDescent="0.3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15.294117647058824</v>
      </c>
      <c r="J15" s="56">
        <v>44</v>
      </c>
      <c r="K15" s="56">
        <v>50</v>
      </c>
      <c r="L15" s="48">
        <f>((C15+D15)/2-(J15+K15)/2)/((J15+K15)/2)*100</f>
        <v>4.2553191489361701</v>
      </c>
      <c r="M15" s="50">
        <f t="shared" si="0"/>
        <v>3.1578947368421053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62</v>
      </c>
      <c r="F17" s="38">
        <v>65</v>
      </c>
      <c r="G17" s="38">
        <v>58</v>
      </c>
      <c r="H17" s="38">
        <v>60</v>
      </c>
      <c r="I17" s="47">
        <f>((C17+D17)/2-(G17+H17)/2)/((G17+H17)/2)*100</f>
        <v>14.40677966101695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6.2992125984251963</v>
      </c>
    </row>
    <row r="18" spans="1:13" s="28" customFormat="1" x14ac:dyDescent="0.3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372</v>
      </c>
      <c r="K22" s="56">
        <v>378</v>
      </c>
      <c r="L22" s="48">
        <f t="shared" si="2"/>
        <v>6.1333333333333329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150</v>
      </c>
      <c r="K31" s="56">
        <v>180</v>
      </c>
      <c r="L31" s="48">
        <f t="shared" si="4"/>
        <v>-9.0909090909090917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x14ac:dyDescent="0.3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 x14ac:dyDescent="0.3">
      <c r="A36" s="44" t="s">
        <v>125</v>
      </c>
      <c r="B36" s="45" t="s">
        <v>14</v>
      </c>
      <c r="C36" s="40">
        <v>45</v>
      </c>
      <c r="D36" s="40">
        <v>55</v>
      </c>
      <c r="E36" s="40">
        <v>50</v>
      </c>
      <c r="F36" s="40">
        <v>60</v>
      </c>
      <c r="G36" s="40">
        <v>45</v>
      </c>
      <c r="H36" s="40">
        <v>55</v>
      </c>
      <c r="I36" s="47">
        <f t="shared" ref="I36:I51" si="5">((C36+D36)/2-(G36+H36)/2)/((G36+H36)/2)*100</f>
        <v>0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-9.0909090909090917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80</v>
      </c>
      <c r="D38" s="38">
        <v>120</v>
      </c>
      <c r="E38" s="38">
        <v>100</v>
      </c>
      <c r="F38" s="38">
        <v>120</v>
      </c>
      <c r="G38" s="38">
        <v>100</v>
      </c>
      <c r="H38" s="38">
        <v>130</v>
      </c>
      <c r="I38" s="47">
        <f t="shared" si="5"/>
        <v>-13.043478260869565</v>
      </c>
      <c r="J38" s="56">
        <v>80</v>
      </c>
      <c r="K38" s="56">
        <v>150</v>
      </c>
      <c r="L38" s="48">
        <f t="shared" si="6"/>
        <v>-13.043478260869565</v>
      </c>
      <c r="M38" s="50">
        <f t="shared" si="0"/>
        <v>-9.0909090909090917</v>
      </c>
    </row>
    <row r="39" spans="1:13" s="49" customFormat="1" x14ac:dyDescent="0.3">
      <c r="A39" s="44" t="s">
        <v>41</v>
      </c>
      <c r="B39" s="45" t="s">
        <v>14</v>
      </c>
      <c r="C39" s="40">
        <v>140</v>
      </c>
      <c r="D39" s="38">
        <v>200</v>
      </c>
      <c r="E39" s="40">
        <v>170</v>
      </c>
      <c r="F39" s="38">
        <v>200</v>
      </c>
      <c r="G39" s="40">
        <v>170</v>
      </c>
      <c r="H39" s="38">
        <v>220</v>
      </c>
      <c r="I39" s="47">
        <f t="shared" si="5"/>
        <v>-12.820512820512819</v>
      </c>
      <c r="J39" s="56">
        <v>140</v>
      </c>
      <c r="K39" s="56">
        <v>200</v>
      </c>
      <c r="L39" s="48">
        <f t="shared" si="6"/>
        <v>0</v>
      </c>
      <c r="M39" s="50">
        <f t="shared" si="0"/>
        <v>-8.1081081081081088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x14ac:dyDescent="0.3">
      <c r="A45" s="44" t="s">
        <v>47</v>
      </c>
      <c r="B45" s="45" t="s">
        <v>14</v>
      </c>
      <c r="C45" s="38">
        <v>120</v>
      </c>
      <c r="D45" s="38">
        <v>170</v>
      </c>
      <c r="E45" s="38">
        <v>150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-9.375</v>
      </c>
    </row>
    <row r="46" spans="1:13" s="49" customFormat="1" x14ac:dyDescent="0.3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0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 x14ac:dyDescent="0.3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 x14ac:dyDescent="0.3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5400</v>
      </c>
      <c r="L49" s="48">
        <f t="shared" si="6"/>
        <v>2</v>
      </c>
      <c r="M49" s="50">
        <f t="shared" si="0"/>
        <v>0.99009900990099009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 x14ac:dyDescent="0.3">
      <c r="A51" s="44" t="s">
        <v>53</v>
      </c>
      <c r="B51" s="45" t="s">
        <v>14</v>
      </c>
      <c r="C51" s="38">
        <v>200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((C61+D61)/2-(G61+H61)/2)/((G61+H61)/2)*100</f>
        <v>4.5197740112994351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((C62+D62)/2-(G62+H62)/2)/((G62+H62)/2)*100</f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 x14ac:dyDescent="0.3">
      <c r="A67" s="79" t="s">
        <v>1</v>
      </c>
      <c r="B67" s="79" t="s">
        <v>2</v>
      </c>
      <c r="C67" s="71" t="s">
        <v>3</v>
      </c>
      <c r="D67" s="73"/>
      <c r="E67" s="71" t="s">
        <v>4</v>
      </c>
      <c r="F67" s="73"/>
      <c r="G67" s="71" t="s">
        <v>5</v>
      </c>
      <c r="H67" s="73"/>
      <c r="I67" s="25" t="s">
        <v>6</v>
      </c>
      <c r="J67" s="71" t="s">
        <v>7</v>
      </c>
      <c r="K67" s="73"/>
      <c r="L67" s="25" t="s">
        <v>8</v>
      </c>
    </row>
    <row r="68" spans="1:13" ht="18" customHeight="1" x14ac:dyDescent="0.3">
      <c r="A68" s="80"/>
      <c r="B68" s="80"/>
      <c r="C68" s="77">
        <v>46255</v>
      </c>
      <c r="D68" s="78"/>
      <c r="E68" s="77">
        <v>46248</v>
      </c>
      <c r="F68" s="78"/>
      <c r="G68" s="77">
        <v>46224</v>
      </c>
      <c r="H68" s="78"/>
      <c r="I68" s="25" t="s">
        <v>9</v>
      </c>
      <c r="J68" s="81">
        <v>45890</v>
      </c>
      <c r="K68" s="82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110</v>
      </c>
      <c r="D70" s="38">
        <v>120</v>
      </c>
      <c r="E70" s="38">
        <v>105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110</v>
      </c>
      <c r="L70" s="48">
        <f t="shared" ref="L70:L76" si="10">((C70+D70)/2-(J70+K70)/2)/((J70+K70)/2)*100</f>
        <v>6.9767441860465116</v>
      </c>
      <c r="M70" s="50">
        <f t="shared" si="0"/>
        <v>6.9767441860465116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 t="shared" si="9"/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180</v>
      </c>
      <c r="G74" s="38">
        <v>120</v>
      </c>
      <c r="H74" s="38">
        <v>200</v>
      </c>
      <c r="I74" s="47">
        <f t="shared" si="9"/>
        <v>-12.5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-6.666666666666667</v>
      </c>
    </row>
    <row r="75" spans="1:13" s="50" customFormat="1" x14ac:dyDescent="0.3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80</v>
      </c>
      <c r="H75" s="38">
        <v>120</v>
      </c>
      <c r="I75" s="47">
        <f t="shared" si="9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 x14ac:dyDescent="0.3">
      <c r="A76" s="44" t="s">
        <v>104</v>
      </c>
      <c r="B76" s="51" t="s">
        <v>14</v>
      </c>
      <c r="C76" s="38">
        <v>40</v>
      </c>
      <c r="D76" s="38">
        <v>60</v>
      </c>
      <c r="E76" s="38">
        <v>80</v>
      </c>
      <c r="F76" s="38">
        <v>100</v>
      </c>
      <c r="G76" s="38">
        <v>80</v>
      </c>
      <c r="H76" s="38">
        <v>100</v>
      </c>
      <c r="I76" s="47">
        <f t="shared" si="9"/>
        <v>-44.444444444444443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-44.444444444444443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 x14ac:dyDescent="0.3">
      <c r="A81" s="84" t="s">
        <v>118</v>
      </c>
      <c r="B81" s="85"/>
      <c r="C81" s="83" t="s">
        <v>119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74" t="s">
        <v>134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4" spans="1:12" x14ac:dyDescent="0.3">
      <c r="A84" s="7"/>
      <c r="B84" s="74" t="s">
        <v>133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</row>
    <row r="85" spans="1:12" x14ac:dyDescent="0.3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1" t="s">
        <v>3</v>
      </c>
      <c r="D87" s="73"/>
      <c r="E87" s="75" t="s">
        <v>78</v>
      </c>
      <c r="F87" s="76"/>
      <c r="G87" s="26" t="s">
        <v>9</v>
      </c>
      <c r="H87" s="71" t="s">
        <v>79</v>
      </c>
      <c r="I87" s="72"/>
      <c r="J87" s="73"/>
      <c r="K87" s="10"/>
      <c r="L87" s="2"/>
    </row>
    <row r="88" spans="1:12" x14ac:dyDescent="0.3">
      <c r="A88" s="44" t="s">
        <v>120</v>
      </c>
      <c r="B88" s="45" t="s">
        <v>14</v>
      </c>
      <c r="C88" s="38">
        <v>170</v>
      </c>
      <c r="D88" s="38">
        <v>215</v>
      </c>
      <c r="E88" s="38">
        <v>170</v>
      </c>
      <c r="F88" s="38">
        <v>220</v>
      </c>
      <c r="G88" s="31">
        <f t="shared" ref="G88:G99" si="12">((C88+D88)/2-(E88+F88)/2)/((E88+F88)/2)*100</f>
        <v>-1.2820512820512819</v>
      </c>
      <c r="H88" s="71" t="s">
        <v>131</v>
      </c>
      <c r="I88" s="72"/>
      <c r="J88" s="73"/>
      <c r="K88" s="10"/>
      <c r="L88" s="2"/>
    </row>
    <row r="89" spans="1:12" x14ac:dyDescent="0.3">
      <c r="A89" s="44" t="s">
        <v>120</v>
      </c>
      <c r="B89" s="45" t="s">
        <v>19</v>
      </c>
      <c r="C89" s="38">
        <v>200</v>
      </c>
      <c r="D89" s="38">
        <v>240</v>
      </c>
      <c r="E89" s="38">
        <v>200</v>
      </c>
      <c r="F89" s="38">
        <v>230</v>
      </c>
      <c r="G89" s="31">
        <f t="shared" si="12"/>
        <v>2.3255813953488373</v>
      </c>
      <c r="H89" s="71" t="s">
        <v>126</v>
      </c>
      <c r="I89" s="72"/>
      <c r="J89" s="73"/>
      <c r="K89" s="10"/>
      <c r="L89" s="2"/>
    </row>
    <row r="90" spans="1:12" x14ac:dyDescent="0.3">
      <c r="A90" s="44" t="s">
        <v>17</v>
      </c>
      <c r="B90" s="45" t="s">
        <v>14</v>
      </c>
      <c r="C90" s="38">
        <v>48</v>
      </c>
      <c r="D90" s="38">
        <v>50</v>
      </c>
      <c r="E90" s="38">
        <v>45</v>
      </c>
      <c r="F90" s="38">
        <v>50</v>
      </c>
      <c r="G90" s="31">
        <f t="shared" si="12"/>
        <v>3.1578947368421053</v>
      </c>
      <c r="H90" s="71" t="s">
        <v>132</v>
      </c>
      <c r="I90" s="72"/>
      <c r="J90" s="73"/>
      <c r="K90" s="10"/>
      <c r="L90" s="70"/>
    </row>
    <row r="91" spans="1:12" x14ac:dyDescent="0.3">
      <c r="A91" s="44" t="s">
        <v>20</v>
      </c>
      <c r="B91" s="45" t="s">
        <v>14</v>
      </c>
      <c r="C91" s="38">
        <v>65</v>
      </c>
      <c r="D91" s="38">
        <v>70</v>
      </c>
      <c r="E91" s="38">
        <v>62</v>
      </c>
      <c r="F91" s="38">
        <v>65</v>
      </c>
      <c r="G91" s="31">
        <f t="shared" si="12"/>
        <v>6.2992125984251963</v>
      </c>
      <c r="H91" s="71" t="s">
        <v>123</v>
      </c>
      <c r="I91" s="72"/>
      <c r="J91" s="73"/>
      <c r="K91" s="10"/>
      <c r="L91" s="2"/>
    </row>
    <row r="92" spans="1:12" x14ac:dyDescent="0.3">
      <c r="A92" s="44" t="s">
        <v>21</v>
      </c>
      <c r="B92" s="45" t="s">
        <v>19</v>
      </c>
      <c r="C92" s="38">
        <v>70</v>
      </c>
      <c r="D92" s="38">
        <v>75</v>
      </c>
      <c r="E92" s="38">
        <v>65</v>
      </c>
      <c r="F92" s="38">
        <v>75</v>
      </c>
      <c r="G92" s="31">
        <f t="shared" si="12"/>
        <v>3.5714285714285712</v>
      </c>
      <c r="H92" s="71" t="s">
        <v>126</v>
      </c>
      <c r="I92" s="72"/>
      <c r="J92" s="73"/>
      <c r="K92" s="10"/>
      <c r="L92" s="2"/>
    </row>
    <row r="93" spans="1:12" x14ac:dyDescent="0.3">
      <c r="A93" s="44" t="s">
        <v>125</v>
      </c>
      <c r="B93" s="45" t="s">
        <v>14</v>
      </c>
      <c r="C93" s="40">
        <v>45</v>
      </c>
      <c r="D93" s="40">
        <v>55</v>
      </c>
      <c r="E93" s="40">
        <v>50</v>
      </c>
      <c r="F93" s="40">
        <v>60</v>
      </c>
      <c r="G93" s="31">
        <f t="shared" si="12"/>
        <v>-9.0909090909090917</v>
      </c>
      <c r="H93" s="71" t="s">
        <v>131</v>
      </c>
      <c r="I93" s="72"/>
      <c r="J93" s="73"/>
      <c r="K93" s="10"/>
      <c r="L93" s="2"/>
    </row>
    <row r="94" spans="1:12" x14ac:dyDescent="0.3">
      <c r="A94" s="44" t="s">
        <v>40</v>
      </c>
      <c r="B94" s="45" t="s">
        <v>14</v>
      </c>
      <c r="C94" s="38">
        <v>80</v>
      </c>
      <c r="D94" s="38">
        <v>120</v>
      </c>
      <c r="E94" s="38">
        <v>100</v>
      </c>
      <c r="F94" s="38">
        <v>120</v>
      </c>
      <c r="G94" s="31">
        <f t="shared" si="12"/>
        <v>-9.0909090909090917</v>
      </c>
      <c r="H94" s="71" t="s">
        <v>131</v>
      </c>
      <c r="I94" s="72"/>
      <c r="J94" s="73"/>
      <c r="K94" s="10"/>
      <c r="L94" s="70"/>
    </row>
    <row r="95" spans="1:12" x14ac:dyDescent="0.3">
      <c r="A95" s="44" t="s">
        <v>41</v>
      </c>
      <c r="B95" s="45" t="s">
        <v>14</v>
      </c>
      <c r="C95" s="40">
        <v>140</v>
      </c>
      <c r="D95" s="38">
        <v>200</v>
      </c>
      <c r="E95" s="40">
        <v>170</v>
      </c>
      <c r="F95" s="38">
        <v>200</v>
      </c>
      <c r="G95" s="31">
        <f t="shared" si="12"/>
        <v>-8.1081081081081088</v>
      </c>
      <c r="H95" s="71" t="s">
        <v>131</v>
      </c>
      <c r="I95" s="72"/>
      <c r="J95" s="73"/>
      <c r="K95" s="10"/>
      <c r="L95" s="70"/>
    </row>
    <row r="96" spans="1:12" x14ac:dyDescent="0.3">
      <c r="A96" s="44" t="s">
        <v>51</v>
      </c>
      <c r="B96" s="45" t="s">
        <v>14</v>
      </c>
      <c r="C96" s="40">
        <v>4600</v>
      </c>
      <c r="D96" s="38">
        <v>5600</v>
      </c>
      <c r="E96" s="40">
        <v>4600</v>
      </c>
      <c r="F96" s="38">
        <v>5500</v>
      </c>
      <c r="G96" s="31">
        <f t="shared" si="12"/>
        <v>0.99009900990099009</v>
      </c>
      <c r="H96" s="71" t="s">
        <v>126</v>
      </c>
      <c r="I96" s="72"/>
      <c r="J96" s="73"/>
      <c r="K96" s="10"/>
      <c r="L96" s="2"/>
    </row>
    <row r="97" spans="1:12" x14ac:dyDescent="0.3">
      <c r="A97" s="24" t="s">
        <v>66</v>
      </c>
      <c r="B97" s="45" t="s">
        <v>14</v>
      </c>
      <c r="C97" s="38">
        <v>110</v>
      </c>
      <c r="D97" s="38">
        <v>120</v>
      </c>
      <c r="E97" s="38">
        <v>105</v>
      </c>
      <c r="F97" s="38">
        <v>110</v>
      </c>
      <c r="G97" s="31">
        <f t="shared" si="12"/>
        <v>6.9767441860465116</v>
      </c>
      <c r="H97" s="71" t="s">
        <v>132</v>
      </c>
      <c r="I97" s="72"/>
      <c r="J97" s="73"/>
      <c r="K97" s="10"/>
      <c r="L97" s="2"/>
    </row>
    <row r="98" spans="1:12" x14ac:dyDescent="0.3">
      <c r="A98" s="44" t="s">
        <v>102</v>
      </c>
      <c r="B98" s="51" t="s">
        <v>14</v>
      </c>
      <c r="C98" s="38">
        <v>120</v>
      </c>
      <c r="D98" s="38">
        <v>160</v>
      </c>
      <c r="E98" s="38">
        <v>120</v>
      </c>
      <c r="F98" s="38">
        <v>180</v>
      </c>
      <c r="G98" s="31">
        <f t="shared" si="12"/>
        <v>-6.666666666666667</v>
      </c>
      <c r="H98" s="71" t="s">
        <v>124</v>
      </c>
      <c r="I98" s="72"/>
      <c r="J98" s="73"/>
      <c r="K98" s="10"/>
      <c r="L98" s="2"/>
    </row>
    <row r="99" spans="1:12" x14ac:dyDescent="0.3">
      <c r="A99" s="44" t="s">
        <v>104</v>
      </c>
      <c r="B99" s="51" t="s">
        <v>14</v>
      </c>
      <c r="C99" s="38">
        <v>40</v>
      </c>
      <c r="D99" s="38">
        <v>60</v>
      </c>
      <c r="E99" s="38">
        <v>80</v>
      </c>
      <c r="F99" s="38">
        <v>100</v>
      </c>
      <c r="G99" s="31">
        <f t="shared" si="12"/>
        <v>-44.444444444444443</v>
      </c>
      <c r="H99" s="71" t="s">
        <v>127</v>
      </c>
      <c r="I99" s="72"/>
      <c r="J99" s="73"/>
      <c r="K99" s="10"/>
      <c r="L99" s="2"/>
    </row>
    <row r="100" spans="1:12" x14ac:dyDescent="0.3">
      <c r="A100" s="62"/>
      <c r="B100" s="68"/>
      <c r="C100" s="64"/>
      <c r="D100" s="64"/>
      <c r="E100" s="64"/>
      <c r="F100" s="64"/>
      <c r="G100" s="66"/>
      <c r="H100" s="69"/>
      <c r="I100" s="69"/>
      <c r="J100" s="69"/>
      <c r="K100" s="10"/>
      <c r="L100" s="2"/>
    </row>
    <row r="101" spans="1:12" x14ac:dyDescent="0.3">
      <c r="A101" s="62"/>
      <c r="B101" s="63"/>
      <c r="C101" s="64"/>
      <c r="D101" s="65"/>
      <c r="E101" s="64"/>
      <c r="F101" s="65"/>
      <c r="G101" s="66"/>
      <c r="H101" s="7"/>
      <c r="I101" s="1"/>
      <c r="J101" s="1"/>
      <c r="K101" s="10"/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4" t="s">
        <v>110</v>
      </c>
      <c r="C103" s="2"/>
      <c r="E103" s="7"/>
      <c r="F103" s="14" t="s">
        <v>121</v>
      </c>
      <c r="G103" s="2"/>
      <c r="I103" s="15"/>
      <c r="J103" s="1"/>
      <c r="K103" s="2"/>
      <c r="L103" s="12"/>
    </row>
    <row r="104" spans="1:12" x14ac:dyDescent="0.3">
      <c r="A104" s="16"/>
      <c r="B104" s="14" t="s">
        <v>109</v>
      </c>
      <c r="C104" s="1"/>
      <c r="E104" s="16"/>
      <c r="F104" s="14" t="s">
        <v>122</v>
      </c>
      <c r="G104" s="1"/>
      <c r="I104" s="2"/>
      <c r="J104" s="1"/>
      <c r="L104" s="12"/>
    </row>
    <row r="105" spans="1:12" x14ac:dyDescent="0.3">
      <c r="A105" s="7"/>
      <c r="C105" s="6"/>
      <c r="D105" s="6"/>
      <c r="E105" s="1"/>
      <c r="F105" s="6"/>
      <c r="G105" s="4"/>
      <c r="H105" s="17"/>
      <c r="I105" s="12"/>
      <c r="J105" s="12"/>
      <c r="K105" s="12"/>
      <c r="L105" s="12"/>
    </row>
    <row r="106" spans="1:12" x14ac:dyDescent="0.3">
      <c r="A106" s="18" t="s">
        <v>86</v>
      </c>
      <c r="B106" s="19"/>
      <c r="C106" s="20"/>
      <c r="D106" s="19"/>
      <c r="E106" s="20"/>
      <c r="F106" s="20"/>
      <c r="G106" s="20"/>
      <c r="H106" s="21"/>
      <c r="I106" s="2"/>
      <c r="J106" s="2"/>
      <c r="K106" s="2"/>
      <c r="L106" s="2"/>
    </row>
    <row r="107" spans="1:12" x14ac:dyDescent="0.3">
      <c r="A107" s="22" t="s">
        <v>111</v>
      </c>
      <c r="B107" s="19"/>
      <c r="C107" s="20"/>
      <c r="D107" s="19"/>
      <c r="E107" s="20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105</v>
      </c>
      <c r="B108" s="19"/>
      <c r="C108" s="19"/>
      <c r="D108" s="19"/>
      <c r="E108" s="19"/>
      <c r="F108" s="20"/>
      <c r="G108" s="19"/>
      <c r="H108" s="21"/>
      <c r="I108" s="2"/>
      <c r="J108" s="2"/>
      <c r="K108" s="2"/>
      <c r="L108" s="2"/>
    </row>
    <row r="109" spans="1:12" x14ac:dyDescent="0.3">
      <c r="A109" s="22" t="s">
        <v>80</v>
      </c>
      <c r="B109" s="19"/>
      <c r="C109" s="19"/>
      <c r="D109" s="19"/>
      <c r="E109" s="19"/>
      <c r="F109" s="21"/>
      <c r="G109" s="21"/>
      <c r="H109" s="21"/>
      <c r="I109" s="2"/>
      <c r="J109" s="2"/>
      <c r="K109" s="2"/>
      <c r="L109" s="2"/>
    </row>
    <row r="110" spans="1:12" x14ac:dyDescent="0.3">
      <c r="A110" s="22" t="s">
        <v>106</v>
      </c>
      <c r="B110" s="19"/>
      <c r="C110" s="19"/>
      <c r="D110" s="19"/>
      <c r="E110" s="19"/>
      <c r="F110" s="19"/>
      <c r="G110" s="21"/>
      <c r="H110" s="21"/>
      <c r="I110" s="2"/>
      <c r="J110" s="2"/>
      <c r="K110" s="2"/>
      <c r="L110" s="2"/>
    </row>
    <row r="111" spans="1:12" x14ac:dyDescent="0.3">
      <c r="A111" s="22" t="s">
        <v>89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88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87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81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90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112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92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 x14ac:dyDescent="0.3">
      <c r="A120" s="22" t="s">
        <v>107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/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18" t="s">
        <v>82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83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114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 x14ac:dyDescent="0.3">
      <c r="A126" s="22" t="s">
        <v>99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442" spans="2:2" x14ac:dyDescent="0.3">
      <c r="B442" s="11" t="s">
        <v>108</v>
      </c>
    </row>
  </sheetData>
  <mergeCells count="44">
    <mergeCell ref="H95:J95"/>
    <mergeCell ref="H90:J90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99:J99"/>
    <mergeCell ref="B83:L83"/>
    <mergeCell ref="B84:L84"/>
    <mergeCell ref="C87:D87"/>
    <mergeCell ref="H98:J98"/>
    <mergeCell ref="E87:F87"/>
    <mergeCell ref="H87:J87"/>
    <mergeCell ref="H88:J88"/>
    <mergeCell ref="H96:J96"/>
    <mergeCell ref="H91:J91"/>
    <mergeCell ref="H97:J97"/>
    <mergeCell ref="H89:J89"/>
    <mergeCell ref="H92:J92"/>
    <mergeCell ref="H93:J93"/>
    <mergeCell ref="H94:J94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2026-08-20T10:11:52Z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