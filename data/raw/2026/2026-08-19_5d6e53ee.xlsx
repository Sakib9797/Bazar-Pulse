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93B6462D-D8A9-480F-85FE-DB34A36EF2F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9"/>
</workbook>
</file>

<file path=xl/calcChain.xml><?xml version="1.0" encoding="utf-8"?>
<calcChain xmlns="http://schemas.openxmlformats.org/spreadsheetml/2006/main">
  <c r="G89" i="4" l="1"/>
  <c r="G92" i="4"/>
  <c r="G91" i="4"/>
  <c r="G93" i="4"/>
  <c r="G96" i="4"/>
  <c r="G99" i="4"/>
  <c r="G98" i="4"/>
  <c r="G95" i="4"/>
  <c r="G90" i="4"/>
  <c r="G100" i="4"/>
  <c r="G94" i="4"/>
  <c r="G88" i="4"/>
  <c r="L51" i="4"/>
  <c r="L73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7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<sst xmlns="http://schemas.openxmlformats.org/spreadsheetml/2006/main" count="258" uniqueCount="137">
  <si>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</si>
  <si>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</si>
  <si>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</si>
  <si>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</si>
  <si>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</si>
  <si>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</si>
  <si>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</si>
  <si>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</si>
  <si>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</si>
  <si>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</si>
  <si>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</si>
  <si>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</si>
  <si>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</si>
  <si>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</si>
  <si>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</si>
  <si>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</si>
  <si>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</si>
  <si>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</si>
  <si>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</si>
  <si>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</si>
  <si>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</si>
  <si>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</si>
  <si>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</si>
  <si>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</si>
  <si>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</si>
  <si>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</si>
  <si>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</si>
  <si>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</si>
  <si>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</si>
  <si>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</si>
  <si>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</si>
  <si>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</si>
  <si>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</si>
  <si>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</si>
  <si>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</si>
  <si>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</si>
  <si>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</si>
  <si>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</si>
  <si>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</si>
  <si>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</si>
  <si>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</si>
  <si>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</si>
  <si>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</si>
  <si>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</si>
  <si>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</si>
  <si>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</si>
  <si>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</si>
  <si>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</si>
  <si>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</si>
  <si>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</si>
  <si>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</si>
  <si>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</si>
  <si>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</si>
  <si>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</si>
  <si>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</si>
  <si>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</si>
  <si>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</si>
  <si>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</si>
  <si>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</si>
  <si>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</si>
  <si>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</si>
  <si>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</si>
  <si>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</si>
  <si>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</si>
  <si>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</si>
  <si>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</si>
  <si>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</si>
  <si>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</si>
  <si>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</si>
  <si>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</si>
  <si>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</si>
  <si>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</si>
  <si>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</si>
  <si>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</si>
  <si>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</si>
  <si>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</si>
  <si>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</si>
  <si>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</si>
  <si>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</si>
  <si>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</si>
  <si>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</si>
  <si>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</si>
  <si>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</si>
  <si>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</si>
  <si>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</si>
  <si>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</si>
  <si>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</si>
  <si>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</si>
  <si>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</si>
  <si>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</si>
  <si>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</si>
  <si>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</si>
  <si>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</si>
  <si>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</si>
  <si>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</si>
  <si>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</si>
  <si>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</si>
  <si>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</si>
  <si>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</si>
  <si>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</si>
  <si>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</si>
  <si>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</si>
  <si>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</si>
  <si>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</si>
  <si>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</si>
  <si>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</si>
  <si>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</si>
  <si>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</si>
  <si>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</si>
  <si>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</si>
  <si>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</si>
  <si>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</si>
  <si>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</si>
  <si>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</si>
  <si>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</si>
  <si>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</si>
  <si>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</si>
  <si>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</si>
  <si>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</si>
  <si>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</si>
  <si>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</si>
  <si>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</si>
  <si>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</si>
  <si>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১৩-০৮-২০২৬ তারিখে মূল্য বৃদ্ধি পেয়েছে।</t>
  </si>
  <si>
    <t>১৪-০৮-২০২৬ তারিখে মূল্য হ্রাস পেয়েছে।</t>
  </si>
  <si>
    <t>১৬-০৮-২০২৬ তারিখে মূল্য বৃদ্ধি পেয়েছে।</t>
  </si>
  <si>
    <t>১৫-০৮-২০২৬ তারিখে মূল্য বৃদ্ধি পেয়েছে।</t>
  </si>
  <si>
    <t>১৭-০৮-২০২৬ তারিখে মূল্য হ্রাস পেয়েছে।</t>
  </si>
  <si>
    <t>১৮-০৮-২০২৬ তারিখে মূল্য হ্রাস পেয়েছে।</t>
  </si>
  <si>
    <t xml:space="preserve">নং-২৬.০৫.০০০০.০১৭.৩১.০১.২৬-৬৪৭                                                                                                           তারিখঃ ১৯-০৮-২০২৬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</si>
  <si>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২০৫</t>
  </si>
  <si>
    <t xml:space="preserve">বুধবার ১৯ আগষ্ট ২০২৬ খ্রিঃ, ০৪ ভাদ্র ১৪৩৩ বাংলা, ০৫ রবিউল আউয়াল ১৪৪৮ হিজরি </t>
  </si>
  <si>
    <t>পিঁয়াজ (দেশী)</t>
  </si>
  <si>
    <t>১৯-০৮-২০২৬ তারিখে মূল্য বৃদ্ধি পেয়েছে।</t>
  </si>
  <si>
    <t>১৯-০৮-২০২৬ তারিখে মূল্য হ্রাস পেয়েছে।</t>
  </si>
  <si>
    <t>(২)   পেঁয়াজ (দেশী), মুরগী ব্রয়লার, বেগুন, শসা, কাঁচামরিচ   এর মূল্য হ্রাস পেয়েছে।</t>
  </si>
  <si>
    <t>(১)    চাল সুগন্ধী (পোলাও) (খোলা, প্যাঃ), ময়দা (খোলা, প্যাঃ), এলাচ, তেজপাতা, চিনি, ডিম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</si>
</sst>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topLeftCell="A49" zoomScaleNormal="100" workbookViewId="0">
      <selection activeCell="J44" activeCellId="4" sqref="J7:K15 J17:K17 J19:K29 J33:K39 J44:K5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5" t="s">
        <v>115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130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131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2"/>
      <c r="Q4" s="52"/>
      <c r="R4" s="52"/>
    </row>
    <row r="5" spans="1:18">
      <c r="A5" s="89" t="s">
        <v>129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3"/>
      <c r="Q5" s="54"/>
    </row>
    <row r="6" spans="1:18" s="28" customFormat="1">
      <c r="A6" s="78" t="s">
        <v>1</v>
      </c>
      <c r="B6" s="78" t="s">
        <v>2</v>
      </c>
      <c r="C6" s="70" t="s">
        <v>3</v>
      </c>
      <c r="D6" s="72"/>
      <c r="E6" s="70" t="s">
        <v>4</v>
      </c>
      <c r="F6" s="72"/>
      <c r="G6" s="70" t="s">
        <v>5</v>
      </c>
      <c r="H6" s="72"/>
      <c r="I6" s="25" t="s">
        <v>6</v>
      </c>
      <c r="J6" s="70" t="s">
        <v>7</v>
      </c>
      <c r="K6" s="72"/>
      <c r="L6" s="27" t="s">
        <v>8</v>
      </c>
      <c r="M6" s="50"/>
    </row>
    <row r="7" spans="1:18" s="28" customFormat="1">
      <c r="A7" s="79"/>
      <c r="B7" s="79"/>
      <c r="C7" s="76">
        <v>46253</v>
      </c>
      <c r="D7" s="77"/>
      <c r="E7" s="76">
        <v>46246</v>
      </c>
      <c r="F7" s="77"/>
      <c r="G7" s="76">
        <v>46222</v>
      </c>
      <c r="H7" s="77"/>
      <c r="I7" s="25" t="s">
        <v>9</v>
      </c>
      <c r="J7" s="80">
        <v>45888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1.3157894736842104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43</v>
      </c>
      <c r="K15" s="56">
        <v>50</v>
      </c>
      <c r="L15" s="48">
        <f>((C15+D15)/2-(J15+K15)/2)/((J15+K15)/2)*100</f>
        <v>2.1505376344086025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62</v>
      </c>
      <c r="D17" s="38">
        <v>65</v>
      </c>
      <c r="E17" s="38">
        <v>60</v>
      </c>
      <c r="F17" s="38">
        <v>65</v>
      </c>
      <c r="G17" s="38">
        <v>58</v>
      </c>
      <c r="H17" s="38">
        <v>60</v>
      </c>
      <c r="I17" s="47">
        <f>((C17+D17)/2-(G17+H17)/2)/((G17+H17)/2)*100</f>
        <v>7.6271186440677967</v>
      </c>
      <c r="J17" s="56">
        <v>55</v>
      </c>
      <c r="K17" s="56">
        <v>65</v>
      </c>
      <c r="L17" s="48">
        <f>((C17+D17)/2-(J17+K17)/2)/((J17+K17)/2)*100</f>
        <v>5.833333333333333</v>
      </c>
      <c r="M17" s="50">
        <f t="shared" si="0"/>
        <v>1.6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7.4074074074074066</v>
      </c>
      <c r="J18" s="56">
        <v>65</v>
      </c>
      <c r="K18" s="56">
        <v>75</v>
      </c>
      <c r="L18" s="48">
        <f>((C18+D18)/2-(J18+K18)/2)/((J18+K18)/2)*100</f>
        <v>3.5714285714285712</v>
      </c>
      <c r="M18" s="50">
        <f t="shared" si="0"/>
        <v>3.5714285714285712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185</v>
      </c>
      <c r="H20" s="38">
        <v>195</v>
      </c>
      <c r="I20" s="47">
        <f>((C20+D20)/2-(G20+H20)/2)/((G20+H20)/2)*100</f>
        <v>-0.52631578947368418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372</v>
      </c>
      <c r="K22" s="56">
        <v>378</v>
      </c>
      <c r="L22" s="48">
        <f t="shared" si="2"/>
        <v>6.1333333333333329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158</v>
      </c>
      <c r="L24" s="48">
        <f t="shared" si="2"/>
        <v>8.7662337662337659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1050</v>
      </c>
      <c r="L26" s="48">
        <f>((C26+D26)/2-(J26+K26)/2)/((J26+K26)/2)*100</f>
        <v>4.3269230769230766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132</v>
      </c>
      <c r="B36" s="45" t="s">
        <v>14</v>
      </c>
      <c r="C36" s="40">
        <v>45</v>
      </c>
      <c r="D36" s="40">
        <v>60</v>
      </c>
      <c r="E36" s="40">
        <v>50</v>
      </c>
      <c r="F36" s="40">
        <v>60</v>
      </c>
      <c r="G36" s="40">
        <v>40</v>
      </c>
      <c r="H36" s="40">
        <v>45</v>
      </c>
      <c r="I36" s="47">
        <f t="shared" ref="I36:I51" si="5">((C36+D36)/2-(G36+H36)/2)/((G36+H36)/2)*100</f>
        <v>23.52941176470588</v>
      </c>
      <c r="J36" s="56">
        <v>75</v>
      </c>
      <c r="K36" s="56">
        <v>85</v>
      </c>
      <c r="L36" s="48">
        <f t="shared" ref="L36:L50" si="6">((C36+D36)/2-(J36+K36)/2)/((J36+K36)/2)*100</f>
        <v>-34.375</v>
      </c>
      <c r="M36" s="50">
        <f>((C36+D36)/2-(E36+F36)/2)/((E36+F36)/2)*100</f>
        <v>-4.5454545454545459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140</v>
      </c>
      <c r="I38" s="47">
        <f t="shared" si="5"/>
        <v>-8.3333333333333321</v>
      </c>
      <c r="J38" s="56">
        <v>80</v>
      </c>
      <c r="K38" s="56">
        <v>150</v>
      </c>
      <c r="L38" s="48">
        <f t="shared" si="6"/>
        <v>-4.3478260869565215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200</v>
      </c>
      <c r="G39" s="40">
        <v>140</v>
      </c>
      <c r="H39" s="38">
        <v>220</v>
      </c>
      <c r="I39" s="47">
        <f t="shared" si="5"/>
        <v>2.7777777777777777</v>
      </c>
      <c r="J39" s="56">
        <v>160</v>
      </c>
      <c r="K39" s="56">
        <v>200</v>
      </c>
      <c r="L39" s="48">
        <f t="shared" si="6"/>
        <v>2.7777777777777777</v>
      </c>
      <c r="M39" s="50">
        <f t="shared" si="0"/>
        <v>0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250</v>
      </c>
      <c r="K40" s="56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170</v>
      </c>
      <c r="E45" s="38">
        <v>150</v>
      </c>
      <c r="F45" s="38">
        <v>170</v>
      </c>
      <c r="G45" s="38">
        <v>120</v>
      </c>
      <c r="H45" s="38">
        <v>200</v>
      </c>
      <c r="I45" s="47">
        <f t="shared" si="5"/>
        <v>0</v>
      </c>
      <c r="J45" s="56">
        <v>200</v>
      </c>
      <c r="K45" s="56">
        <v>280</v>
      </c>
      <c r="L45" s="48">
        <f t="shared" si="6"/>
        <v>-33.333333333333329</v>
      </c>
      <c r="M45" s="50">
        <f t="shared" si="0"/>
        <v>0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0.99009900990099009</v>
      </c>
      <c r="J49" s="56">
        <v>4500</v>
      </c>
      <c r="K49" s="56">
        <v>5200</v>
      </c>
      <c r="L49" s="48">
        <f t="shared" si="6"/>
        <v>5.1546391752577314</v>
      </c>
      <c r="M49" s="50">
        <f t="shared" si="0"/>
        <v>0.99009900990099009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220</v>
      </c>
      <c r="K50" s="56">
        <v>280</v>
      </c>
      <c r="L50" s="48">
        <f t="shared" si="6"/>
        <v>-12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2.3255813953488373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850</v>
      </c>
      <c r="K54" s="56">
        <v>2000</v>
      </c>
      <c r="L54" s="48">
        <f t="shared" si="8"/>
        <v>-8.7719298245614024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1050</v>
      </c>
      <c r="K56" s="56">
        <v>1250</v>
      </c>
      <c r="L56" s="48">
        <f t="shared" si="8"/>
        <v>10.869565217391305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190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180</v>
      </c>
      <c r="L57" s="48">
        <f t="shared" si="8"/>
        <v>8.5714285714285712</v>
      </c>
      <c r="M57" s="50">
        <f t="shared" si="0"/>
        <v>-2.5641025641025639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0" t="s">
        <v>3</v>
      </c>
      <c r="D67" s="72"/>
      <c r="E67" s="70" t="s">
        <v>4</v>
      </c>
      <c r="F67" s="72"/>
      <c r="G67" s="70" t="s">
        <v>5</v>
      </c>
      <c r="H67" s="72"/>
      <c r="I67" s="25" t="s">
        <v>6</v>
      </c>
      <c r="J67" s="70" t="s">
        <v>7</v>
      </c>
      <c r="K67" s="72"/>
      <c r="L67" s="25" t="s">
        <v>8</v>
      </c>
    </row>
    <row r="68" spans="1:13" ht="18" customHeight="1">
      <c r="A68" s="79"/>
      <c r="B68" s="79"/>
      <c r="C68" s="76">
        <v>46253</v>
      </c>
      <c r="D68" s="77"/>
      <c r="E68" s="76">
        <v>46246</v>
      </c>
      <c r="F68" s="77"/>
      <c r="G68" s="76">
        <v>46222</v>
      </c>
      <c r="H68" s="77"/>
      <c r="I68" s="25" t="s">
        <v>9</v>
      </c>
      <c r="J68" s="80">
        <v>45888</v>
      </c>
      <c r="K68" s="81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2.3255813953488373</v>
      </c>
      <c r="J70" s="56">
        <v>105</v>
      </c>
      <c r="K70" s="56">
        <v>110</v>
      </c>
      <c r="L70" s="48">
        <f t="shared" ref="L70:L76" si="10">((C70+D70)/2-(J70+K70)/2)/((J70+K70)/2)*100</f>
        <v>2.3255813953488373</v>
      </c>
      <c r="M70" s="50">
        <f t="shared" si="0"/>
        <v>2.3255813953488373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180</v>
      </c>
      <c r="G74" s="38">
        <v>120</v>
      </c>
      <c r="H74" s="38">
        <v>200</v>
      </c>
      <c r="I74" s="47">
        <f t="shared" si="11"/>
        <v>-12.5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-6.666666666666667</v>
      </c>
    </row>
    <row r="75" spans="1:13" s="50" customFormat="1">
      <c r="A75" s="44" t="s">
        <v>103</v>
      </c>
      <c r="B75" s="51" t="s">
        <v>14</v>
      </c>
      <c r="C75" s="38">
        <v>80</v>
      </c>
      <c r="D75" s="38">
        <v>100</v>
      </c>
      <c r="E75" s="38">
        <v>100</v>
      </c>
      <c r="F75" s="38">
        <v>120</v>
      </c>
      <c r="G75" s="38">
        <v>80</v>
      </c>
      <c r="H75" s="38">
        <v>120</v>
      </c>
      <c r="I75" s="47">
        <f t="shared" si="11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2"/>
        <v>-18.181818181818183</v>
      </c>
    </row>
    <row r="76" spans="1:13" s="50" customFormat="1">
      <c r="A76" s="44" t="s">
        <v>104</v>
      </c>
      <c r="B76" s="51" t="s">
        <v>14</v>
      </c>
      <c r="C76" s="38">
        <v>40</v>
      </c>
      <c r="D76" s="38">
        <v>80</v>
      </c>
      <c r="E76" s="38">
        <v>80</v>
      </c>
      <c r="F76" s="38">
        <v>100</v>
      </c>
      <c r="G76" s="38">
        <v>80</v>
      </c>
      <c r="H76" s="38">
        <v>100</v>
      </c>
      <c r="I76" s="47">
        <f t="shared" si="11"/>
        <v>-33.333333333333329</v>
      </c>
      <c r="J76" s="67">
        <v>50</v>
      </c>
      <c r="K76" s="67">
        <v>100</v>
      </c>
      <c r="L76" s="48">
        <f t="shared" si="10"/>
        <v>-20</v>
      </c>
      <c r="M76" s="50">
        <f t="shared" si="12"/>
        <v>-33.333333333333329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45</v>
      </c>
      <c r="F77" s="43">
        <v>50</v>
      </c>
      <c r="G77" s="43">
        <v>42</v>
      </c>
      <c r="H77" s="43">
        <v>45</v>
      </c>
      <c r="I77" s="47">
        <f t="shared" si="11"/>
        <v>12.643678160919542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2"/>
        <v>3.1578947368421053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>
      <c r="A81" s="83" t="s">
        <v>118</v>
      </c>
      <c r="B81" s="84"/>
      <c r="C81" s="82" t="s">
        <v>119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3" t="s">
        <v>136</v>
      </c>
      <c r="C83" s="73"/>
      <c r="D83" s="73"/>
      <c r="E83" s="73"/>
      <c r="F83" s="73"/>
      <c r="G83" s="73"/>
      <c r="H83" s="73"/>
      <c r="I83" s="73"/>
      <c r="J83" s="73"/>
      <c r="K83" s="73"/>
      <c r="L83" s="73"/>
    </row>
    <row r="84" spans="1:12">
      <c r="A84" s="7"/>
      <c r="B84" s="73" t="s">
        <v>135</v>
      </c>
      <c r="C84" s="73"/>
      <c r="D84" s="73"/>
      <c r="E84" s="73"/>
      <c r="F84" s="73"/>
      <c r="G84" s="73"/>
      <c r="H84" s="73"/>
      <c r="I84" s="73"/>
      <c r="J84" s="73"/>
      <c r="K84" s="73"/>
      <c r="L84" s="73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0" t="s">
        <v>3</v>
      </c>
      <c r="D87" s="72"/>
      <c r="E87" s="74" t="s">
        <v>78</v>
      </c>
      <c r="F87" s="75"/>
      <c r="G87" s="26" t="s">
        <v>9</v>
      </c>
      <c r="H87" s="70" t="s">
        <v>79</v>
      </c>
      <c r="I87" s="71"/>
      <c r="J87" s="72"/>
      <c r="K87" s="10"/>
      <c r="L87" s="2"/>
    </row>
    <row r="88" spans="1:12">
      <c r="A88" s="44" t="s">
        <v>120</v>
      </c>
      <c r="B88" s="45" t="s">
        <v>14</v>
      </c>
      <c r="C88" s="38">
        <v>170</v>
      </c>
      <c r="D88" s="38">
        <v>215</v>
      </c>
      <c r="E88" s="38">
        <v>170</v>
      </c>
      <c r="F88" s="38">
        <v>210</v>
      </c>
      <c r="G88" s="31">
        <f t="shared" ref="G88:G100" si="13">((C88+D88)/2-(E88+F88)/2)/((E88+F88)/2)*100</f>
        <v>1.3157894736842104</v>
      </c>
      <c r="H88" s="70" t="s">
        <v>125</v>
      </c>
      <c r="I88" s="71"/>
      <c r="J88" s="72"/>
      <c r="K88" s="10"/>
      <c r="L88" s="2"/>
    </row>
    <row r="89" spans="1:12">
      <c r="A89" s="44" t="s">
        <v>120</v>
      </c>
      <c r="B89" s="45" t="s">
        <v>19</v>
      </c>
      <c r="C89" s="38">
        <v>200</v>
      </c>
      <c r="D89" s="38">
        <v>240</v>
      </c>
      <c r="E89" s="38">
        <v>200</v>
      </c>
      <c r="F89" s="38">
        <v>230</v>
      </c>
      <c r="G89" s="31">
        <f t="shared" si="13"/>
        <v>2.3255813953488373</v>
      </c>
      <c r="H89" s="70" t="s">
        <v>133</v>
      </c>
      <c r="I89" s="71"/>
      <c r="J89" s="72"/>
      <c r="K89" s="10"/>
      <c r="L89" s="2"/>
    </row>
    <row r="90" spans="1:12">
      <c r="A90" s="44" t="s">
        <v>20</v>
      </c>
      <c r="B90" s="45" t="s">
        <v>14</v>
      </c>
      <c r="C90" s="38">
        <v>62</v>
      </c>
      <c r="D90" s="38">
        <v>65</v>
      </c>
      <c r="E90" s="38">
        <v>60</v>
      </c>
      <c r="F90" s="38">
        <v>65</v>
      </c>
      <c r="G90" s="31">
        <f t="shared" si="13"/>
        <v>1.6</v>
      </c>
      <c r="H90" s="70" t="s">
        <v>126</v>
      </c>
      <c r="I90" s="71"/>
      <c r="J90" s="72"/>
      <c r="K90" s="10"/>
      <c r="L90" s="2"/>
    </row>
    <row r="91" spans="1:12">
      <c r="A91" s="44" t="s">
        <v>21</v>
      </c>
      <c r="B91" s="45" t="s">
        <v>19</v>
      </c>
      <c r="C91" s="38">
        <v>70</v>
      </c>
      <c r="D91" s="38">
        <v>75</v>
      </c>
      <c r="E91" s="38">
        <v>65</v>
      </c>
      <c r="F91" s="38">
        <v>75</v>
      </c>
      <c r="G91" s="31">
        <f t="shared" si="13"/>
        <v>3.5714285714285712</v>
      </c>
      <c r="H91" s="70" t="s">
        <v>133</v>
      </c>
      <c r="I91" s="71"/>
      <c r="J91" s="72"/>
      <c r="K91" s="10"/>
      <c r="L91" s="2"/>
    </row>
    <row r="92" spans="1:12">
      <c r="A92" s="44" t="s">
        <v>132</v>
      </c>
      <c r="B92" s="45" t="s">
        <v>14</v>
      </c>
      <c r="C92" s="40">
        <v>45</v>
      </c>
      <c r="D92" s="40">
        <v>60</v>
      </c>
      <c r="E92" s="40">
        <v>50</v>
      </c>
      <c r="F92" s="40">
        <v>60</v>
      </c>
      <c r="G92" s="31">
        <f t="shared" si="13"/>
        <v>-4.5454545454545459</v>
      </c>
      <c r="H92" s="70" t="s">
        <v>134</v>
      </c>
      <c r="I92" s="71"/>
      <c r="J92" s="72"/>
      <c r="K92" s="10"/>
      <c r="L92" s="2"/>
    </row>
    <row r="93" spans="1:12">
      <c r="A93" s="44" t="s">
        <v>51</v>
      </c>
      <c r="B93" s="45" t="s">
        <v>14</v>
      </c>
      <c r="C93" s="40">
        <v>4600</v>
      </c>
      <c r="D93" s="38">
        <v>5600</v>
      </c>
      <c r="E93" s="40">
        <v>4600</v>
      </c>
      <c r="F93" s="38">
        <v>5500</v>
      </c>
      <c r="G93" s="31">
        <f t="shared" si="13"/>
        <v>0.99009900990099009</v>
      </c>
      <c r="H93" s="70" t="s">
        <v>133</v>
      </c>
      <c r="I93" s="71"/>
      <c r="J93" s="72"/>
      <c r="K93" s="10"/>
      <c r="L93" s="2"/>
    </row>
    <row r="94" spans="1:12">
      <c r="A94" s="44" t="s">
        <v>53</v>
      </c>
      <c r="B94" s="45" t="s">
        <v>14</v>
      </c>
      <c r="C94" s="38">
        <v>200</v>
      </c>
      <c r="D94" s="38">
        <v>240</v>
      </c>
      <c r="E94" s="38">
        <v>190</v>
      </c>
      <c r="F94" s="38">
        <v>240</v>
      </c>
      <c r="G94" s="31">
        <f t="shared" si="13"/>
        <v>2.3255813953488373</v>
      </c>
      <c r="H94" s="70" t="s">
        <v>123</v>
      </c>
      <c r="I94" s="71"/>
      <c r="J94" s="72"/>
      <c r="K94" s="10"/>
      <c r="L94" s="2"/>
    </row>
    <row r="95" spans="1:12">
      <c r="A95" s="44" t="s">
        <v>57</v>
      </c>
      <c r="B95" s="45" t="s">
        <v>14</v>
      </c>
      <c r="C95" s="38">
        <v>180</v>
      </c>
      <c r="D95" s="38">
        <v>200</v>
      </c>
      <c r="E95" s="38">
        <v>190</v>
      </c>
      <c r="F95" s="38">
        <v>200</v>
      </c>
      <c r="G95" s="31">
        <f t="shared" si="13"/>
        <v>-2.5641025641025639</v>
      </c>
      <c r="H95" s="70" t="s">
        <v>124</v>
      </c>
      <c r="I95" s="71"/>
      <c r="J95" s="72"/>
      <c r="K95" s="10"/>
      <c r="L95" s="2"/>
    </row>
    <row r="96" spans="1:12">
      <c r="A96" s="24" t="s">
        <v>66</v>
      </c>
      <c r="B96" s="45" t="s">
        <v>14</v>
      </c>
      <c r="C96" s="38">
        <v>110</v>
      </c>
      <c r="D96" s="38">
        <v>110</v>
      </c>
      <c r="E96" s="38">
        <v>105</v>
      </c>
      <c r="F96" s="38">
        <v>110</v>
      </c>
      <c r="G96" s="31">
        <f t="shared" si="13"/>
        <v>2.3255813953488373</v>
      </c>
      <c r="H96" s="70" t="s">
        <v>133</v>
      </c>
      <c r="I96" s="71"/>
      <c r="J96" s="72"/>
      <c r="K96" s="10"/>
      <c r="L96" s="2"/>
    </row>
    <row r="97" spans="1:12">
      <c r="A97" s="44" t="s">
        <v>102</v>
      </c>
      <c r="B97" s="51" t="s">
        <v>14</v>
      </c>
      <c r="C97" s="38">
        <v>120</v>
      </c>
      <c r="D97" s="38">
        <v>160</v>
      </c>
      <c r="E97" s="38">
        <v>120</v>
      </c>
      <c r="F97" s="38">
        <v>180</v>
      </c>
      <c r="G97" s="31">
        <f t="shared" si="13"/>
        <v>-6.666666666666667</v>
      </c>
      <c r="H97" s="70" t="s">
        <v>128</v>
      </c>
      <c r="I97" s="71"/>
      <c r="J97" s="72"/>
      <c r="K97" s="10"/>
      <c r="L97" s="2"/>
    </row>
    <row r="98" spans="1:12">
      <c r="A98" s="44" t="s">
        <v>103</v>
      </c>
      <c r="B98" s="51" t="s">
        <v>14</v>
      </c>
      <c r="C98" s="38">
        <v>80</v>
      </c>
      <c r="D98" s="38">
        <v>100</v>
      </c>
      <c r="E98" s="38">
        <v>100</v>
      </c>
      <c r="F98" s="38">
        <v>120</v>
      </c>
      <c r="G98" s="31">
        <f t="shared" si="13"/>
        <v>-18.181818181818183</v>
      </c>
      <c r="H98" s="70" t="s">
        <v>124</v>
      </c>
      <c r="I98" s="71"/>
      <c r="J98" s="72"/>
      <c r="K98" s="10"/>
      <c r="L98" s="2"/>
    </row>
    <row r="99" spans="1:12">
      <c r="A99" s="44" t="s">
        <v>104</v>
      </c>
      <c r="B99" s="51" t="s">
        <v>14</v>
      </c>
      <c r="C99" s="38">
        <v>40</v>
      </c>
      <c r="D99" s="38">
        <v>80</v>
      </c>
      <c r="E99" s="38">
        <v>80</v>
      </c>
      <c r="F99" s="38">
        <v>100</v>
      </c>
      <c r="G99" s="31">
        <f t="shared" si="13"/>
        <v>-33.333333333333329</v>
      </c>
      <c r="H99" s="70" t="s">
        <v>127</v>
      </c>
      <c r="I99" s="71"/>
      <c r="J99" s="72"/>
      <c r="K99" s="10"/>
      <c r="L99" s="2"/>
    </row>
    <row r="100" spans="1:12">
      <c r="A100" s="44" t="s">
        <v>68</v>
      </c>
      <c r="B100" s="45" t="s">
        <v>69</v>
      </c>
      <c r="C100" s="43">
        <v>48</v>
      </c>
      <c r="D100" s="43">
        <v>50</v>
      </c>
      <c r="E100" s="43">
        <v>45</v>
      </c>
      <c r="F100" s="43">
        <v>50</v>
      </c>
      <c r="G100" s="31">
        <f t="shared" si="13"/>
        <v>3.1578947368421053</v>
      </c>
      <c r="H100" s="70" t="s">
        <v>123</v>
      </c>
      <c r="I100" s="71"/>
      <c r="J100" s="72"/>
      <c r="K100" s="10"/>
      <c r="L100" s="2"/>
    </row>
    <row r="101" spans="1:12">
      <c r="A101" s="62"/>
      <c r="B101" s="68"/>
      <c r="C101" s="64"/>
      <c r="D101" s="64"/>
      <c r="E101" s="64"/>
      <c r="F101" s="64"/>
      <c r="G101" s="66"/>
      <c r="H101" s="69"/>
      <c r="I101" s="69"/>
      <c r="J101" s="69"/>
      <c r="K101" s="10"/>
      <c r="L101" s="2"/>
    </row>
    <row r="102" spans="1:12">
      <c r="A102" s="62"/>
      <c r="B102" s="63"/>
      <c r="C102" s="64"/>
      <c r="D102" s="65"/>
      <c r="E102" s="64"/>
      <c r="F102" s="65"/>
      <c r="G102" s="66"/>
      <c r="H102" s="7"/>
      <c r="I102" s="1"/>
      <c r="J102" s="1"/>
      <c r="K102" s="10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4" t="s">
        <v>110</v>
      </c>
      <c r="C104" s="2"/>
      <c r="E104" s="7"/>
      <c r="F104" s="14" t="s">
        <v>121</v>
      </c>
      <c r="G104" s="2"/>
      <c r="I104" s="15"/>
      <c r="J104" s="1"/>
      <c r="K104" s="2"/>
      <c r="L104" s="12"/>
    </row>
    <row r="105" spans="1:12">
      <c r="A105" s="16"/>
      <c r="B105" s="14" t="s">
        <v>109</v>
      </c>
      <c r="C105" s="1"/>
      <c r="E105" s="16"/>
      <c r="F105" s="14" t="s">
        <v>122</v>
      </c>
      <c r="G105" s="1"/>
      <c r="I105" s="2"/>
      <c r="J105" s="1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111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105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106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107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114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108</v>
      </c>
    </row>
  </sheetData>
  <mergeCells count="45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100:J100"/>
    <mergeCell ref="B83:L83"/>
    <mergeCell ref="B84:L84"/>
    <mergeCell ref="C87:D87"/>
    <mergeCell ref="H97:J97"/>
    <mergeCell ref="E87:F87"/>
    <mergeCell ref="H87:J87"/>
    <mergeCell ref="H94:J94"/>
    <mergeCell ref="H88:J88"/>
    <mergeCell ref="H93:J93"/>
    <mergeCell ref="H90:J90"/>
    <mergeCell ref="H95:J95"/>
    <mergeCell ref="H96:J96"/>
    <mergeCell ref="H89:J89"/>
    <mergeCell ref="H91:J91"/>
    <mergeCell ref="H92:J92"/>
    <mergeCell ref="H99:J99"/>
    <mergeCell ref="H98:J9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2026-08-19T07:42:40Z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