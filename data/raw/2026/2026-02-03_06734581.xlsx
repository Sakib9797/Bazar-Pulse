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FFC001E3-2A88-43FA-81B4-3C4CE732C15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90" i="4"/>
  <c r="G86" i="4"/>
  <c r="G85" i="4"/>
  <c r="G88" i="4"/>
  <c r="G89" i="4"/>
  <c r="G91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<sst xmlns="http://schemas.openxmlformats.org/spreadsheetml/2006/main" count="232" uniqueCount="129">
  <si>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</si>
  <si>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</si>
  <si>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</si>
  <si>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</si>
  <si>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</si>
  <si>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</si>
  <si>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</si>
  <si>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</si>
  <si>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</si>
  <si>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</si>
  <si>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</si>
  <si>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</si>
  <si>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</si>
  <si>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</si>
  <si>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</si>
  <si>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</si>
  <si>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</si>
  <si>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</si>
  <si>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</si>
  <si>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</si>
  <si>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</si>
  <si>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</si>
  <si>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</si>
  <si>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</si>
  <si>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</si>
  <si>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</si>
  <si>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</si>
  <si>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</si>
  <si>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</si>
  <si>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</si>
  <si>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</si>
  <si>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</si>
  <si>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</si>
  <si>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</si>
  <si>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</si>
  <si>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</si>
  <si>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</si>
  <si>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</si>
  <si>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</si>
  <si>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</si>
  <si>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</si>
  <si>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</si>
  <si>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</si>
  <si>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</si>
  <si>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</si>
  <si>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</si>
  <si>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</si>
  <si>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</si>
  <si>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</si>
  <si>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</si>
  <si>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</si>
  <si>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</si>
  <si>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</si>
  <si>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</si>
  <si>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</si>
  <si>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</si>
  <si>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</si>
  <si>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</si>
  <si>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</si>
  <si>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</si>
  <si>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</si>
  <si>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</si>
  <si>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</si>
  <si>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</si>
  <si>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</si>
  <si>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</si>
  <si>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</si>
  <si>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</si>
  <si>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</si>
  <si>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</si>
  <si>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</si>
  <si>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</si>
  <si>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</si>
  <si>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</si>
  <si>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</si>
  <si>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</si>
  <si>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</si>
  <si>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</si>
  <si>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</si>
  <si>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</si>
  <si>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</si>
  <si>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</si>
  <si>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</si>
  <si>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</si>
  <si>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</si>
  <si>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</si>
  <si>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</si>
  <si>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</si>
  <si>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</si>
  <si>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</si>
  <si>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</si>
  <si>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</si>
  <si>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</si>
  <si>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</si>
  <si>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</si>
  <si>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</si>
  <si>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</si>
  <si>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</si>
  <si>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</si>
  <si>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</si>
  <si>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</si>
  <si>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</si>
  <si>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</si>
  <si>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</si>
  <si>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</si>
  <si>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</si>
  <si>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</si>
  <si>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</si>
  <si>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</si>
  <si>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</si>
  <si>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</si>
  <si>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</si>
  <si>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</si>
  <si>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</si>
  <si>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</si>
  <si>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</si>
  <si>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</si>
  <si>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</si>
  <si>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</si>
  <si>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০১-০২-২০২৬ তারিখে মূল্য বৃদ্ধি পেয়েছে।</t>
  </si>
  <si>
    <t>০২-০২-২০২৬ তারিখে মূল্য বৃদ্ধি পেয়েছে।</t>
  </si>
  <si>
    <t>স্মারক নং-২৬.০৫.০০০০.০১৭.৩১.০১.২৬-১১১</t>
  </si>
  <si>
    <t xml:space="preserve">মঙ্গলবার ০৩ ফেব্রুয়ারী ২০২৬ খ্রিঃ, ২০ মাঘ ১৪৩২ বাংলা, ১৪ শাবান ১৪৪৭ হিজরি </t>
  </si>
  <si>
    <t xml:space="preserve">   সিরিয়াল নংঃ     ০৩৪</t>
  </si>
  <si>
    <t xml:space="preserve">যে সকল বাজার হতে তথ্য সংগ্রহ করা হয়েছেঃ-  কাওরান বাজার, রামপুরা, নিউমার্কেট, মিরপুর-৬, মোহাম্মদপুর টাউন হল বাজার, মহাখালী  বাজার।   </t>
  </si>
  <si>
    <t>০৩-০২-২০২৬ তারিখে মূল্য বৃদ্ধি পেয়েছে।</t>
  </si>
  <si>
    <t>০৩-০২-২০২৬ তারিখে মূল্য হ্রাস পেয়েছে।</t>
  </si>
  <si>
    <t>(২)   পাম অয়েল (লুজ, সুপার), রশুন (আম), মুরগী ব্রয়লার   এর মূল্য বৃদ্ধি পেয়েছে।</t>
  </si>
  <si>
    <t>(১)    পেঁয়াজ (দেশী, আম), লবঙ্গ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</si>
</sst>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7"/>
  <sheetViews>
    <sheetView tabSelected="1" topLeftCell="A75" zoomScale="112" zoomScaleNormal="112" workbookViewId="0">
      <selection activeCell="B80" sqref="B8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123</v>
      </c>
      <c r="L6" s="88"/>
    </row>
    <row r="7" spans="1:12" ht="19.5" customHeight="1">
      <c r="A7" s="17"/>
      <c r="B7" s="8"/>
      <c r="C7" s="8"/>
      <c r="D7" s="17"/>
      <c r="E7" s="8"/>
      <c r="F7" s="8" t="s">
        <v>122</v>
      </c>
      <c r="G7" s="8"/>
      <c r="H7" s="8"/>
      <c r="I7" s="8"/>
      <c r="J7" s="8"/>
      <c r="K7" s="8"/>
      <c r="L7" s="49"/>
    </row>
    <row r="8" spans="1:12" ht="21.75">
      <c r="A8" s="20" t="s">
        <v>121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46056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46056</v>
      </c>
      <c r="D10" s="88"/>
      <c r="E10" s="89">
        <v>46049</v>
      </c>
      <c r="F10" s="88"/>
      <c r="G10" s="89">
        <v>46025</v>
      </c>
      <c r="H10" s="88"/>
      <c r="I10" s="26" t="s">
        <v>12</v>
      </c>
      <c r="J10" s="89">
        <v>45691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52</v>
      </c>
      <c r="K14" s="29">
        <v>56</v>
      </c>
      <c r="L14" s="31">
        <f>((C14+D14)/2-(J14+K14)/2)/((J14+K14)/2)*100</f>
        <v>1.8518518518518516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175</v>
      </c>
      <c r="K21" s="29">
        <v>176</v>
      </c>
      <c r="L21" s="31">
        <f t="shared" ref="L21:L27" si="1">((C21+D21)/2-(J21+K21)/2)/((J21+K21)/2)*100</f>
        <v>2.5641025641025639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150</v>
      </c>
      <c r="K25" s="29">
        <v>153</v>
      </c>
      <c r="L25" s="31">
        <f t="shared" si="1"/>
        <v>4.6204620462046204</v>
      </c>
    </row>
    <row r="26" spans="1:12" ht="21.75">
      <c r="A26" s="69" t="s">
        <v>104</v>
      </c>
      <c r="B26" s="6" t="s">
        <v>28</v>
      </c>
      <c r="C26" s="29">
        <v>160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158</v>
      </c>
      <c r="K26" s="29">
        <v>160</v>
      </c>
      <c r="L26" s="31">
        <f t="shared" si="1"/>
        <v>2.2012578616352201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0</v>
      </c>
      <c r="J33" s="29">
        <v>70</v>
      </c>
      <c r="K33" s="29">
        <v>85</v>
      </c>
      <c r="L33" s="31">
        <f t="shared" si="3"/>
        <v>-25.806451612903224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115</v>
      </c>
      <c r="K34" s="29">
        <v>130</v>
      </c>
      <c r="L34" s="31">
        <f t="shared" si="3"/>
        <v>-28.571428571428569</v>
      </c>
    </row>
    <row r="35" spans="1:12" ht="21.75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30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45</v>
      </c>
      <c r="D37" s="29">
        <v>60</v>
      </c>
      <c r="E37" s="29">
        <v>40</v>
      </c>
      <c r="F37" s="29">
        <v>70</v>
      </c>
      <c r="G37" s="29">
        <v>60</v>
      </c>
      <c r="H37" s="29">
        <v>75</v>
      </c>
      <c r="I37" s="30">
        <f t="shared" ref="I37:I52" si="4">((C37+D37)/2-(G37+H37)/2)/((G37+H37)/2)*100</f>
        <v>-22.222222222222221</v>
      </c>
      <c r="J37" s="29">
        <v>45</v>
      </c>
      <c r="K37" s="29">
        <v>55</v>
      </c>
      <c r="L37" s="31">
        <f t="shared" ref="L37:L52" si="5">((C37+D37)/2-(J37+K37)/2)/((J37+K37)/2)*100</f>
        <v>5</v>
      </c>
    </row>
    <row r="38" spans="1:12" ht="21.75">
      <c r="A38" s="69" t="s">
        <v>43</v>
      </c>
      <c r="B38" s="6" t="s">
        <v>18</v>
      </c>
      <c r="C38" s="29">
        <v>60</v>
      </c>
      <c r="D38" s="29">
        <v>80</v>
      </c>
      <c r="E38" s="29">
        <v>70</v>
      </c>
      <c r="F38" s="29">
        <v>80</v>
      </c>
      <c r="G38" s="29">
        <v>0</v>
      </c>
      <c r="H38" s="29">
        <v>0</v>
      </c>
      <c r="I38" s="30" t="e">
        <f t="shared" si="4"/>
        <v>#DIV/0!</v>
      </c>
      <c r="J38" s="29">
        <v>45</v>
      </c>
      <c r="K38" s="29">
        <v>65</v>
      </c>
      <c r="L38" s="31">
        <f t="shared" si="5"/>
        <v>27.27272727272727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250</v>
      </c>
      <c r="L39" s="31">
        <f t="shared" si="5"/>
        <v>-52.173913043478258</v>
      </c>
    </row>
    <row r="40" spans="1:12" ht="21.75">
      <c r="A40" s="69" t="s">
        <v>45</v>
      </c>
      <c r="B40" s="6" t="s">
        <v>18</v>
      </c>
      <c r="C40" s="29">
        <v>180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120</v>
      </c>
      <c r="K45" s="29">
        <v>180</v>
      </c>
      <c r="L45" s="31">
        <f t="shared" si="5"/>
        <v>13.333333333333334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750</v>
      </c>
      <c r="L47" s="31">
        <f t="shared" si="5"/>
        <v>-8.7719298245614024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170</v>
      </c>
      <c r="D58" s="29">
        <v>185</v>
      </c>
      <c r="E58" s="29">
        <v>170</v>
      </c>
      <c r="F58" s="29">
        <v>180</v>
      </c>
      <c r="G58" s="29">
        <v>150</v>
      </c>
      <c r="H58" s="29">
        <v>170</v>
      </c>
      <c r="I58" s="30">
        <f t="shared" si="6"/>
        <v>10.9375</v>
      </c>
      <c r="J58" s="29">
        <v>180</v>
      </c>
      <c r="K58" s="29">
        <v>210</v>
      </c>
      <c r="L58" s="31">
        <f t="shared" si="7"/>
        <v>-8.9743589743589745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46056</v>
      </c>
      <c r="D69" s="88"/>
      <c r="E69" s="89">
        <v>46049</v>
      </c>
      <c r="F69" s="88"/>
      <c r="G69" s="89">
        <v>46025</v>
      </c>
      <c r="H69" s="88"/>
      <c r="I69" s="26" t="s">
        <v>12</v>
      </c>
      <c r="J69" s="89">
        <v>45691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100</v>
      </c>
      <c r="H71" s="29">
        <v>110</v>
      </c>
      <c r="I71" s="30">
        <f>((C71+D71)/2-(G71+H71)/2)/((G71+H71)/2)*100</f>
        <v>-3.3333333333333335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48</v>
      </c>
      <c r="L74" s="31">
        <f t="shared" si="8"/>
        <v>-19.565217391304348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91000</v>
      </c>
      <c r="K76" s="29">
        <v>92000</v>
      </c>
      <c r="L76" s="31">
        <f t="shared" si="8"/>
        <v>-9.5628415300546443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124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128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127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33</v>
      </c>
      <c r="B85" s="6" t="s">
        <v>28</v>
      </c>
      <c r="C85" s="29">
        <v>155</v>
      </c>
      <c r="D85" s="29">
        <v>162</v>
      </c>
      <c r="E85" s="29">
        <v>148</v>
      </c>
      <c r="F85" s="29">
        <v>162</v>
      </c>
      <c r="G85" s="7">
        <f t="shared" ref="G85:G91" si="10">((C85+D85)/2-(E85+F85)/2)/((E85+F85)/2)*100</f>
        <v>2.258064516129032</v>
      </c>
      <c r="H85" s="5" t="s">
        <v>120</v>
      </c>
      <c r="I85" s="6"/>
      <c r="J85" s="6"/>
      <c r="K85" s="50"/>
      <c r="L85" s="17"/>
    </row>
    <row r="86" spans="1:12" ht="21.75">
      <c r="A86" s="69" t="s">
        <v>104</v>
      </c>
      <c r="B86" s="6" t="s">
        <v>28</v>
      </c>
      <c r="C86" s="29">
        <v>160</v>
      </c>
      <c r="D86" s="29">
        <v>165</v>
      </c>
      <c r="E86" s="29">
        <v>155</v>
      </c>
      <c r="F86" s="29">
        <v>165</v>
      </c>
      <c r="G86" s="7">
        <f t="shared" si="10"/>
        <v>1.5625</v>
      </c>
      <c r="H86" s="5" t="s">
        <v>120</v>
      </c>
      <c r="I86" s="6"/>
      <c r="J86" s="6"/>
      <c r="K86" s="50"/>
      <c r="L86" s="17"/>
    </row>
    <row r="87" spans="1:12" ht="21.75">
      <c r="A87" s="83" t="s">
        <v>114</v>
      </c>
      <c r="B87" s="6" t="s">
        <v>18</v>
      </c>
      <c r="C87" s="29">
        <v>45</v>
      </c>
      <c r="D87" s="29">
        <v>60</v>
      </c>
      <c r="E87" s="29">
        <v>40</v>
      </c>
      <c r="F87" s="29">
        <v>70</v>
      </c>
      <c r="G87" s="7">
        <f>((C87+D87)/2-(E87+F87)/2)/((E87+F87)/2)*100</f>
        <v>-4.5454545454545459</v>
      </c>
      <c r="H87" s="5" t="s">
        <v>126</v>
      </c>
      <c r="I87" s="6"/>
      <c r="J87" s="6"/>
      <c r="K87" s="50"/>
      <c r="L87" s="17"/>
    </row>
    <row r="88" spans="1:12" ht="21.75">
      <c r="A88" s="69" t="s">
        <v>43</v>
      </c>
      <c r="B88" s="6" t="s">
        <v>18</v>
      </c>
      <c r="C88" s="29">
        <v>60</v>
      </c>
      <c r="D88" s="29">
        <v>80</v>
      </c>
      <c r="E88" s="29">
        <v>70</v>
      </c>
      <c r="F88" s="29">
        <v>80</v>
      </c>
      <c r="G88" s="7">
        <f t="shared" si="10"/>
        <v>-6.666666666666667</v>
      </c>
      <c r="H88" s="5" t="s">
        <v>126</v>
      </c>
      <c r="I88" s="6"/>
      <c r="J88" s="6"/>
      <c r="K88" s="50"/>
      <c r="L88" s="17"/>
    </row>
    <row r="89" spans="1:12" ht="21.75">
      <c r="A89" s="69" t="s">
        <v>45</v>
      </c>
      <c r="B89" s="6" t="s">
        <v>18</v>
      </c>
      <c r="C89" s="29">
        <v>180</v>
      </c>
      <c r="D89" s="29">
        <v>200</v>
      </c>
      <c r="E89" s="29">
        <v>160</v>
      </c>
      <c r="F89" s="29">
        <v>200</v>
      </c>
      <c r="G89" s="7">
        <f t="shared" si="10"/>
        <v>5.5555555555555554</v>
      </c>
      <c r="H89" s="5" t="s">
        <v>125</v>
      </c>
      <c r="I89" s="6"/>
      <c r="J89" s="6"/>
      <c r="K89" s="50"/>
      <c r="L89" s="17"/>
    </row>
    <row r="90" spans="1:12" ht="21.75">
      <c r="A90" s="69" t="s">
        <v>54</v>
      </c>
      <c r="B90" s="6" t="s">
        <v>18</v>
      </c>
      <c r="C90" s="29">
        <v>1300</v>
      </c>
      <c r="D90" s="29">
        <v>1600</v>
      </c>
      <c r="E90" s="29">
        <v>1350</v>
      </c>
      <c r="F90" s="29">
        <v>1600</v>
      </c>
      <c r="G90" s="7">
        <f t="shared" si="10"/>
        <v>-1.6949152542372881</v>
      </c>
      <c r="H90" s="5" t="s">
        <v>126</v>
      </c>
      <c r="I90" s="6"/>
      <c r="J90" s="6"/>
      <c r="K90" s="50"/>
      <c r="L90" s="17"/>
    </row>
    <row r="91" spans="1:12" ht="21.75">
      <c r="A91" s="69" t="s">
        <v>61</v>
      </c>
      <c r="B91" s="6" t="s">
        <v>18</v>
      </c>
      <c r="C91" s="29">
        <v>170</v>
      </c>
      <c r="D91" s="29">
        <v>185</v>
      </c>
      <c r="E91" s="29">
        <v>170</v>
      </c>
      <c r="F91" s="29">
        <v>180</v>
      </c>
      <c r="G91" s="7">
        <f t="shared" si="10"/>
        <v>1.4285714285714286</v>
      </c>
      <c r="H91" s="5" t="s">
        <v>119</v>
      </c>
      <c r="I91" s="6"/>
      <c r="J91" s="6"/>
      <c r="K91" s="50"/>
      <c r="L91" s="17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41"/>
      <c r="B94" s="42" t="s">
        <v>115</v>
      </c>
      <c r="C94" s="10"/>
      <c r="E94" s="84"/>
      <c r="F94" s="85"/>
      <c r="G94" s="86"/>
      <c r="I94" s="12"/>
      <c r="J94" s="13" t="s">
        <v>117</v>
      </c>
      <c r="K94" s="10"/>
    </row>
    <row r="95" spans="1:12" ht="24.75">
      <c r="A95" s="43"/>
      <c r="B95" s="42" t="s">
        <v>116</v>
      </c>
      <c r="C95" s="13"/>
      <c r="E95" s="43"/>
      <c r="F95" s="85"/>
      <c r="G95" s="86"/>
      <c r="I95" s="76"/>
      <c r="J95" s="13" t="s">
        <v>118</v>
      </c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2026-02-03T07:22:41Z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