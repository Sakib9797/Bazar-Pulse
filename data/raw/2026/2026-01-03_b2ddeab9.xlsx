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96C6BB98-9A0B-E14D-80AE-B14C8E1177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84" i="4"/>
  <c r="G85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<sst xmlns="http://schemas.openxmlformats.org/spreadsheetml/2006/main" count="226" uniqueCount="134">
  <si>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</si>
  <si>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</si>
  <si>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</si>
  <si>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</si>
  <si>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</si>
  <si>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</si>
  <si>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</si>
  <si>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</si>
  <si>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</si>
  <si>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</si>
  <si>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</si>
  <si>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</si>
  <si>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</si>
  <si>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</si>
  <si>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</si>
  <si>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</si>
  <si>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</si>
  <si>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</si>
  <si>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</si>
  <si>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</si>
  <si>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</si>
  <si>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</si>
  <si>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</si>
  <si>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</si>
  <si>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</si>
  <si>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</si>
  <si>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</si>
  <si>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</si>
  <si>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</si>
  <si>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</si>
  <si>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</si>
  <si>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</si>
  <si>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</si>
  <si>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</si>
  <si>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</si>
  <si>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</si>
  <si>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</si>
  <si>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</si>
  <si>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</si>
  <si>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</si>
  <si>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</si>
  <si>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</si>
  <si>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</si>
  <si>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</si>
  <si>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</si>
  <si>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</si>
  <si>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</si>
  <si>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</si>
  <si>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</si>
  <si>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</si>
  <si>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</si>
  <si>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</si>
  <si>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</si>
  <si>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</si>
  <si>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</si>
  <si>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</si>
  <si>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</si>
  <si>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</si>
  <si>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</si>
  <si>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</si>
  <si>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</si>
  <si>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</si>
  <si>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</si>
  <si>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</si>
  <si>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</si>
  <si>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</si>
  <si>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</si>
  <si>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</si>
  <si>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</si>
  <si>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</si>
  <si>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</si>
  <si>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</si>
  <si>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</si>
  <si>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</si>
  <si>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</si>
  <si>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</si>
  <si>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</si>
  <si>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</si>
  <si>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</si>
  <si>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</si>
  <si>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</si>
  <si>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</si>
  <si>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</si>
  <si>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</si>
  <si>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</si>
  <si>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</si>
  <si>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</si>
  <si>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</si>
  <si>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</si>
  <si>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</si>
  <si>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</si>
  <si>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</si>
  <si>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</si>
  <si>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</si>
  <si>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</si>
  <si>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</si>
  <si>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</si>
  <si>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</si>
  <si>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</si>
  <si>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</si>
  <si>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</si>
  <si>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</si>
  <si>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</si>
  <si>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</si>
  <si>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</si>
  <si>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</si>
  <si>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</si>
  <si>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</si>
  <si>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</si>
  <si>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</si>
  <si>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</si>
  <si>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</si>
  <si>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</si>
  <si>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</si>
  <si>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</si>
  <si>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</si>
  <si>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</si>
  <si>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</si>
  <si>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</si>
  <si>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</si>
  <si>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২৯-১২-২০২৫ তারিখে মূল্য বৃদ্ধি পেয়েছে।</t>
  </si>
  <si>
    <t>৩০-১২-২০২৫ তারিখে মূল্য হ্রাস পেয়েছে।</t>
  </si>
  <si>
    <t>৩০-১২-২০২৫ তারিখে মূল্য বৃদ্ধি পেয়েছে।</t>
  </si>
  <si>
    <t>(২)      মসুর ডাল (ছোট), চিনি  এর মূল্য বৃদ্ধি পেয়েছে।</t>
  </si>
  <si>
    <t>০১-০১-২০২৬ তারিখে মূল্য হ্রাস পেয়েছে।</t>
  </si>
  <si>
    <t>স্মারক নং-২৬.০৫.০০০০.০১৭.৩১.০১.২৬-০০৫</t>
  </si>
  <si>
    <t xml:space="preserve">শনিবার ০৩ জানুয়ারী ২০২৬ খ্রিঃ, ১৯ পৌষ ১৪৩২ বাংলা, ১৩ রজব ১৪৪৭ হিজরি </t>
  </si>
  <si>
    <t xml:space="preserve">   সিরিয়াল নংঃ     ০০৩</t>
  </si>
  <si>
    <t>০৩-০১-২০২৬ তারিখে মূল্য হ্রাস পেয়েছে।</t>
  </si>
  <si>
    <t>(১)     পেঁয়াজ (দেশী), আদা (দেশী), 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</si>
</sst>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A13" zoomScale="96" zoomScaleNormal="96" workbookViewId="0">
      <selection activeCell="B78" sqref="B7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46025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46025</v>
      </c>
      <c r="D8" s="88"/>
      <c r="E8" s="89">
        <v>46017</v>
      </c>
      <c r="F8" s="88"/>
      <c r="G8" s="89">
        <v>45994</v>
      </c>
      <c r="H8" s="88"/>
      <c r="I8" s="26" t="s">
        <v>12</v>
      </c>
      <c r="J8" s="89">
        <v>45660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910</v>
      </c>
      <c r="H20" s="29">
        <v>960</v>
      </c>
      <c r="I20" s="30">
        <f t="shared" si="0"/>
        <v>0.80213903743315518</v>
      </c>
      <c r="J20" s="29">
        <v>840</v>
      </c>
      <c r="K20" s="29">
        <v>850</v>
      </c>
      <c r="L20" s="31">
        <f t="shared" si="1"/>
        <v>11.538461538461538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370</v>
      </c>
      <c r="H21" s="29">
        <v>385</v>
      </c>
      <c r="I21" s="30">
        <f t="shared" si="0"/>
        <v>2.3841059602649008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-2.5641025641025639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165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" x14ac:dyDescent="0.3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130</v>
      </c>
      <c r="L32" s="31">
        <f t="shared" si="3"/>
        <v>-24</v>
      </c>
    </row>
    <row r="33" spans="1:12" ht="21" x14ac:dyDescent="0.3">
      <c r="A33" s="69" t="s">
        <v>115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22</v>
      </c>
      <c r="H33" s="29">
        <v>30</v>
      </c>
      <c r="I33" s="30">
        <f t="shared" si="2"/>
        <v>-3.8461538461538463</v>
      </c>
      <c r="J33" s="29">
        <v>50</v>
      </c>
      <c r="K33" s="29">
        <v>60</v>
      </c>
      <c r="L33" s="31">
        <f t="shared" si="3"/>
        <v>-54.54545454545454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116</v>
      </c>
      <c r="B35" s="6" t="s">
        <v>18</v>
      </c>
      <c r="C35" s="29">
        <v>60</v>
      </c>
      <c r="D35" s="29">
        <v>75</v>
      </c>
      <c r="E35" s="29">
        <v>60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-38.636363636363633</v>
      </c>
      <c r="J35" s="29">
        <v>50</v>
      </c>
      <c r="K35" s="29">
        <v>85</v>
      </c>
      <c r="L35" s="31">
        <f t="shared" ref="L35:L50" si="5">((C35+D35)/2-(J35+K35)/2)/((J35+K35)/2)*100</f>
        <v>0</v>
      </c>
    </row>
    <row r="36" spans="1:12" ht="21" x14ac:dyDescent="0.3">
      <c r="A36" s="69" t="s">
        <v>43</v>
      </c>
      <c r="B36" s="6" t="s">
        <v>18</v>
      </c>
      <c r="C36" s="29">
        <v>0</v>
      </c>
      <c r="D36" s="29">
        <v>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-100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240</v>
      </c>
      <c r="K37" s="29">
        <v>300</v>
      </c>
      <c r="L37" s="31">
        <f t="shared" si="5"/>
        <v>-59.259259259259252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100</v>
      </c>
      <c r="D43" s="29">
        <v>150</v>
      </c>
      <c r="E43" s="29">
        <v>150</v>
      </c>
      <c r="F43" s="29">
        <v>200</v>
      </c>
      <c r="G43" s="29">
        <v>120</v>
      </c>
      <c r="H43" s="29">
        <v>150</v>
      </c>
      <c r="I43" s="30">
        <f t="shared" si="4"/>
        <v>-7.4074074074074066</v>
      </c>
      <c r="J43" s="29">
        <v>450</v>
      </c>
      <c r="K43" s="29">
        <v>500</v>
      </c>
      <c r="L43" s="31">
        <f t="shared" si="5"/>
        <v>-73.68421052631578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0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4500</v>
      </c>
      <c r="L48" s="31">
        <f t="shared" si="5"/>
        <v>26.582278481012654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" x14ac:dyDescent="0.3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200</v>
      </c>
      <c r="K56" s="29">
        <v>220</v>
      </c>
      <c r="L56" s="31">
        <f t="shared" si="7"/>
        <v>-23.809523809523807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46025</v>
      </c>
      <c r="D67" s="88"/>
      <c r="E67" s="89">
        <v>46017</v>
      </c>
      <c r="F67" s="88"/>
      <c r="G67" s="89">
        <v>45994</v>
      </c>
      <c r="H67" s="88"/>
      <c r="I67" s="26" t="s">
        <v>12</v>
      </c>
      <c r="J67" s="89">
        <v>45660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100</v>
      </c>
      <c r="D69" s="29">
        <v>110</v>
      </c>
      <c r="E69" s="29">
        <v>95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0" t="s">
        <v>117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123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165</v>
      </c>
      <c r="G83" s="7">
        <f>((C83+D83)/2-(E83+F83)/2)/((E83+F83)/2)*100</f>
        <v>4.7619047619047619</v>
      </c>
      <c r="H83" s="5" t="s">
        <v>120</v>
      </c>
      <c r="I83" s="6"/>
      <c r="J83" s="6"/>
      <c r="K83" s="50"/>
      <c r="L83" s="17"/>
    </row>
    <row r="84" spans="1:12" ht="21" x14ac:dyDescent="0.3">
      <c r="A84" s="83" t="s">
        <v>116</v>
      </c>
      <c r="B84" s="6" t="s">
        <v>18</v>
      </c>
      <c r="C84" s="29">
        <v>60</v>
      </c>
      <c r="D84" s="29">
        <v>75</v>
      </c>
      <c r="E84" s="29">
        <v>60</v>
      </c>
      <c r="F84" s="29">
        <v>140</v>
      </c>
      <c r="G84" s="7">
        <f t="shared" ref="G84:G87" si="10">((C84+D84)/2-(E84+F84)/2)/((E84+F84)/2)*100</f>
        <v>-32.5</v>
      </c>
      <c r="H84" s="5" t="s">
        <v>124</v>
      </c>
      <c r="I84" s="6"/>
      <c r="J84" s="6"/>
      <c r="K84" s="50"/>
      <c r="L84" s="17"/>
    </row>
    <row r="85" spans="1:12" ht="21" x14ac:dyDescent="0.3">
      <c r="A85" s="69" t="s">
        <v>50</v>
      </c>
      <c r="B85" s="6" t="s">
        <v>18</v>
      </c>
      <c r="C85" s="29">
        <v>100</v>
      </c>
      <c r="D85" s="29">
        <v>150</v>
      </c>
      <c r="E85" s="29">
        <v>150</v>
      </c>
      <c r="F85" s="29">
        <v>200</v>
      </c>
      <c r="G85" s="7">
        <f>((C85+D85)/2-(E85+F85)/2)/((E85+F85)/2)*100</f>
        <v>-28.571428571428569</v>
      </c>
      <c r="H85" s="5" t="s">
        <v>121</v>
      </c>
      <c r="I85" s="6"/>
      <c r="J85" s="6"/>
      <c r="K85" s="50"/>
      <c r="L85" s="17"/>
    </row>
    <row r="86" spans="1:12" ht="21" x14ac:dyDescent="0.3">
      <c r="A86" s="69" t="s">
        <v>57</v>
      </c>
      <c r="B86" s="6" t="s">
        <v>18</v>
      </c>
      <c r="C86" s="29">
        <v>160</v>
      </c>
      <c r="D86" s="29">
        <v>220</v>
      </c>
      <c r="E86" s="29">
        <v>160</v>
      </c>
      <c r="F86" s="29">
        <v>225</v>
      </c>
      <c r="G86" s="7">
        <f t="shared" si="10"/>
        <v>-1.2987012987012987</v>
      </c>
      <c r="H86" s="5" t="s">
        <v>128</v>
      </c>
      <c r="I86" s="6"/>
      <c r="J86" s="6"/>
      <c r="K86" s="50"/>
      <c r="L86" s="17"/>
    </row>
    <row r="87" spans="1:12" ht="21" x14ac:dyDescent="0.3">
      <c r="A87" s="69" t="s">
        <v>70</v>
      </c>
      <c r="B87" s="6" t="s">
        <v>18</v>
      </c>
      <c r="C87" s="29">
        <v>100</v>
      </c>
      <c r="D87" s="29">
        <v>110</v>
      </c>
      <c r="E87" s="29">
        <v>95</v>
      </c>
      <c r="F87" s="29">
        <v>100</v>
      </c>
      <c r="G87" s="7">
        <f t="shared" si="10"/>
        <v>7.6923076923076925</v>
      </c>
      <c r="H87" s="5" t="s">
        <v>122</v>
      </c>
      <c r="I87" s="6"/>
      <c r="J87" s="6"/>
      <c r="K87" s="50"/>
      <c r="L87" s="17"/>
    </row>
    <row r="88" spans="1:12" ht="23.25" x14ac:dyDescent="0.3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3.25" x14ac:dyDescent="0.3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3.25" x14ac:dyDescent="0.3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3.25" x14ac:dyDescent="0.3">
      <c r="A91" s="41"/>
      <c r="B91" s="42" t="s">
        <v>112</v>
      </c>
      <c r="C91" s="10"/>
      <c r="E91" s="84"/>
      <c r="F91" s="85"/>
      <c r="G91" s="86"/>
      <c r="I91" s="12"/>
      <c r="J91" s="13" t="s">
        <v>118</v>
      </c>
      <c r="K91" s="10"/>
    </row>
    <row r="92" spans="1:12" ht="23.25" x14ac:dyDescent="0.3">
      <c r="A92" s="43"/>
      <c r="B92" s="42" t="s">
        <v>113</v>
      </c>
      <c r="C92" s="13"/>
      <c r="E92" s="43"/>
      <c r="F92" s="85"/>
      <c r="G92" s="86"/>
      <c r="I92" s="76"/>
      <c r="J92" s="13" t="s">
        <v>119</v>
      </c>
    </row>
    <row r="93" spans="1:12" ht="23.25" x14ac:dyDescent="0.3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8.75" x14ac:dyDescent="0.2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8.75" x14ac:dyDescent="0.2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8.75" x14ac:dyDescent="0.2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8.75" x14ac:dyDescent="0.2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8.75" x14ac:dyDescent="0.2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2026-01-01T09:56:51Z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