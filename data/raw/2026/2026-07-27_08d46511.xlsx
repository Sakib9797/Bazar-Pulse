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E9AF5C0C-0CFA-444B-8070-5508A35781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</workbook>
</file>

<file path=xl/calcChain.xml><?xml version="1.0" encoding="utf-8"?>
<calcChain xmlns="http://schemas.openxmlformats.org/spreadsheetml/2006/main">
  <c r="G89" i="4" l="1"/>
  <c r="G88" i="4"/>
  <c r="G87" i="4"/>
  <c r="G91" i="4"/>
  <c r="G98" i="4"/>
  <c r="G90" i="4"/>
  <c r="G95" i="4"/>
  <c r="G93" i="4"/>
  <c r="G94" i="4"/>
  <c r="G96" i="4"/>
  <c r="G92" i="4"/>
  <c r="G97" i="4"/>
  <c r="G99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<sst xmlns="http://schemas.openxmlformats.org/spreadsheetml/2006/main" count="254" uniqueCount="134">
  <si>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</si>
  <si>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</si>
  <si>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</si>
  <si>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</si>
  <si>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</si>
  <si>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</si>
  <si>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</si>
  <si>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</si>
  <si>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</si>
  <si>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</si>
  <si>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</si>
  <si>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</si>
  <si>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</si>
  <si>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</si>
  <si>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</si>
  <si>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</si>
  <si>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</si>
  <si>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</si>
  <si>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</si>
  <si>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</si>
  <si>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</si>
  <si>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</si>
  <si>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</si>
  <si>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</si>
  <si>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</si>
  <si>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</si>
  <si>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</si>
  <si>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</si>
  <si>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</si>
  <si>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</si>
  <si>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</si>
  <si>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</si>
  <si>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</si>
  <si>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</si>
  <si>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</si>
  <si>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</si>
  <si>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</si>
  <si>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</si>
  <si>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</si>
  <si>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</si>
  <si>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</si>
  <si>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</si>
  <si>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</si>
  <si>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</si>
  <si>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</si>
  <si>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</si>
  <si>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</si>
  <si>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</si>
  <si>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</si>
  <si>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</si>
  <si>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</si>
  <si>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</si>
  <si>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</si>
  <si>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</si>
  <si>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</si>
  <si>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</si>
  <si>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</si>
  <si>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</si>
  <si>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</si>
  <si>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</si>
  <si>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</si>
  <si>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</si>
  <si>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</si>
  <si>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</si>
  <si>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</si>
  <si>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</si>
  <si>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</si>
  <si>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</si>
  <si>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</si>
  <si>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</si>
  <si>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</si>
  <si>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</si>
  <si>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</si>
  <si>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</si>
  <si>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</si>
  <si>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</si>
  <si>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</si>
  <si>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</si>
  <si>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</si>
  <si>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</si>
  <si>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</si>
  <si>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</si>
  <si>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</si>
  <si>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</si>
  <si>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</si>
  <si>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</si>
  <si>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</si>
  <si>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</si>
  <si>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</si>
  <si>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</si>
  <si>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</si>
  <si>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</si>
  <si>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</si>
  <si>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</si>
  <si>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</si>
  <si>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</si>
  <si>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</si>
  <si>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</si>
  <si>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</si>
  <si>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</si>
  <si>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</si>
  <si>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</si>
  <si>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</si>
  <si>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</si>
  <si>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</si>
  <si>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</si>
  <si>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</si>
  <si>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</si>
  <si>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</si>
  <si>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</si>
  <si>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</si>
  <si>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</si>
  <si>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</si>
  <si>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</si>
  <si>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</si>
  <si>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</si>
  <si>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</si>
  <si>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</si>
  <si>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</si>
  <si>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</si>
  <si>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</si>
  <si>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</si>
  <si>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২১-০৭-২০২৬ তারিখে মূল্য বৃদ্ধি পেয়েছে।</t>
  </si>
  <si>
    <t>২৩-০৭-২০২৬ তারিখে মূল্য বৃদ্ধি পেয়েছে।</t>
  </si>
  <si>
    <t>২৪-০৭-২০২৬ তারিখে মূল্য বৃদ্ধি পেয়েছে।</t>
  </si>
  <si>
    <t>২৬-০৭-২০২৬ তারিখে মূল্য বৃদ্ধি পেয়েছে।</t>
  </si>
  <si>
    <t xml:space="preserve">(১)    আটা (খোলা), ময়দা (খোলা), সয়াবিন তেল লুজ, পেঁয়াজ (দেশী), রশুন (আম), আদা (আম), </t>
  </si>
  <si>
    <t xml:space="preserve">নং-২৬.০৫.০০০০.০১৭.৩১.০১.২৬-৫৯৩                                                                                                           তারিখঃ ২৭-০৭-২০২৬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</si>
  <si>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১৮৩</t>
  </si>
  <si>
    <t xml:space="preserve">সোমবার ২৭ জুলাই ২০২৬ খ্রিঃ, ১২ শ্রাবণ ১৪৩৩ বাংলা, ১২ সফর ১৪৪৮ হিজরি </t>
  </si>
  <si>
    <t>২৭-০৭-২০২৬ তারিখে মূল্য হ্রাস পেয়েছে।</t>
  </si>
  <si>
    <t>২৭-০৭-২০২৬ তারিখে মূল্য বৃদ্ধি পেয়েছে।</t>
  </si>
  <si>
    <t xml:space="preserve">          কাঁচামরিচ, বেগুন, শসা   এর মূল্য বৃদ্ধি পেয়েছে।</t>
  </si>
  <si>
    <t>(২)     চাল (সরু, মাঝারী, মোটা), রশুন (দেশী)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</si>
</sst>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zoomScale="93" zoomScaleNormal="93" workbookViewId="0">
      <selection activeCell="H99" sqref="H99:J99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2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120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128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129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4"/>
      <c r="Q4" s="54"/>
      <c r="R4" s="54"/>
    </row>
    <row r="5" spans="1:18">
      <c r="A5" s="76" t="s">
        <v>127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5"/>
      <c r="Q5" s="56"/>
    </row>
    <row r="6" spans="1:18" s="28" customFormat="1">
      <c r="A6" s="77" t="s">
        <v>1</v>
      </c>
      <c r="B6" s="77" t="s">
        <v>2</v>
      </c>
      <c r="C6" s="69" t="s">
        <v>3</v>
      </c>
      <c r="D6" s="71"/>
      <c r="E6" s="69" t="s">
        <v>4</v>
      </c>
      <c r="F6" s="71"/>
      <c r="G6" s="69" t="s">
        <v>5</v>
      </c>
      <c r="H6" s="71"/>
      <c r="I6" s="25" t="s">
        <v>6</v>
      </c>
      <c r="J6" s="69" t="s">
        <v>7</v>
      </c>
      <c r="K6" s="71"/>
      <c r="L6" s="27" t="s">
        <v>8</v>
      </c>
      <c r="M6" s="52"/>
    </row>
    <row r="7" spans="1:18" s="28" customFormat="1">
      <c r="A7" s="78"/>
      <c r="B7" s="78"/>
      <c r="C7" s="81">
        <v>46230</v>
      </c>
      <c r="D7" s="82"/>
      <c r="E7" s="81">
        <v>46223</v>
      </c>
      <c r="F7" s="82"/>
      <c r="G7" s="81">
        <v>46200</v>
      </c>
      <c r="H7" s="82"/>
      <c r="I7" s="25" t="s">
        <v>9</v>
      </c>
      <c r="J7" s="79">
        <v>45865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-1.2738853503184715</v>
      </c>
      <c r="J9" s="58">
        <v>75</v>
      </c>
      <c r="K9" s="58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65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-2.4390243902439024</v>
      </c>
      <c r="J10" s="58">
        <v>60</v>
      </c>
      <c r="K10" s="58">
        <v>70</v>
      </c>
      <c r="L10" s="50">
        <f>((C10+D10)/2-(J10+K10)/2)/((J10+K10)/2)*100</f>
        <v>-7.6923076923076925</v>
      </c>
      <c r="M10" s="52">
        <f t="shared" ref="M10:M70" si="0">((C10+D10)/2-(E10+F10)/2)/((E10+F10)/2)*100</f>
        <v>-2.4390243902439024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55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-4.5454545454545459</v>
      </c>
      <c r="J11" s="58">
        <v>55</v>
      </c>
      <c r="K11" s="58">
        <v>60</v>
      </c>
      <c r="L11" s="50">
        <f>((C11+D11)/2-(J11+K11)/2)/((J11+K11)/2)*100</f>
        <v>-8.695652173913043</v>
      </c>
      <c r="M11" s="52">
        <f t="shared" si="0"/>
        <v>-4.5454545454545459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11.76470588235294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8">
        <v>50</v>
      </c>
      <c r="K14" s="58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60</v>
      </c>
      <c r="D15" s="40">
        <v>60</v>
      </c>
      <c r="E15" s="40">
        <v>58</v>
      </c>
      <c r="F15" s="40">
        <v>60</v>
      </c>
      <c r="G15" s="40">
        <v>55</v>
      </c>
      <c r="H15" s="40">
        <v>60</v>
      </c>
      <c r="I15" s="49">
        <f>((C15+D15)/2-(G15+H15)/2)/((G15+H15)/2)*100</f>
        <v>4.3478260869565215</v>
      </c>
      <c r="J15" s="58">
        <v>50</v>
      </c>
      <c r="K15" s="58">
        <v>60</v>
      </c>
      <c r="L15" s="50">
        <f>((C15+D15)/2-(J15+K15)/2)/((J15+K15)/2)*100</f>
        <v>9.0909090909090917</v>
      </c>
      <c r="M15" s="52">
        <f t="shared" si="0"/>
        <v>1.6949152542372881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8">
        <v>65</v>
      </c>
      <c r="K16" s="58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185</v>
      </c>
      <c r="F18" s="40">
        <v>195</v>
      </c>
      <c r="G18" s="42">
        <v>186</v>
      </c>
      <c r="H18" s="40">
        <v>192</v>
      </c>
      <c r="I18" s="49">
        <f t="shared" ref="I18:I24" si="1">((C18+D18)/2-(G18+H18)/2)/((G18+H18)/2)*100</f>
        <v>0.79365079365079361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0.26315789473684209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150</v>
      </c>
      <c r="K22" s="58">
        <v>155</v>
      </c>
      <c r="L22" s="50">
        <f t="shared" si="2"/>
        <v>9.8360655737704921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100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140</v>
      </c>
      <c r="L28" s="50">
        <f t="shared" si="4"/>
        <v>14.814814814814813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110</v>
      </c>
      <c r="K29" s="58">
        <v>180</v>
      </c>
      <c r="L29" s="50">
        <f t="shared" si="4"/>
        <v>3.4482758620689653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75</v>
      </c>
      <c r="L30" s="50">
        <f t="shared" si="4"/>
        <v>3.8461538461538463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0</v>
      </c>
      <c r="J32" s="58">
        <v>20</v>
      </c>
      <c r="K32" s="58">
        <v>30</v>
      </c>
      <c r="L32" s="50">
        <f t="shared" si="4"/>
        <v>10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50</v>
      </c>
      <c r="D34" s="42">
        <v>60</v>
      </c>
      <c r="E34" s="42">
        <v>45</v>
      </c>
      <c r="F34" s="42">
        <v>55</v>
      </c>
      <c r="G34" s="42">
        <v>40</v>
      </c>
      <c r="H34" s="42">
        <v>45</v>
      </c>
      <c r="I34" s="49">
        <f t="shared" ref="I34:I49" si="5">((C34+D34)/2-(G34+H34)/2)/((G34+H34)/2)*100</f>
        <v>29.411764705882355</v>
      </c>
      <c r="J34" s="58">
        <v>55</v>
      </c>
      <c r="K34" s="58">
        <v>65</v>
      </c>
      <c r="L34" s="50">
        <f t="shared" ref="L34:L49" si="6">((C34+D34)/2-(J34+K34)/2)/((J34+K34)/2)*100</f>
        <v>-8.3333333333333321</v>
      </c>
      <c r="M34" s="52">
        <f>((C34+D34)/2-(E34+F34)/2)/((E34+F34)/2)*100</f>
        <v>10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140</v>
      </c>
      <c r="G36" s="40">
        <v>70</v>
      </c>
      <c r="H36" s="40">
        <v>140</v>
      </c>
      <c r="I36" s="49">
        <f t="shared" si="5"/>
        <v>9.5238095238095237</v>
      </c>
      <c r="J36" s="58">
        <v>100</v>
      </c>
      <c r="K36" s="58">
        <v>150</v>
      </c>
      <c r="L36" s="50">
        <f t="shared" si="6"/>
        <v>-8</v>
      </c>
      <c r="M36" s="52">
        <f t="shared" si="0"/>
        <v>-4.1666666666666661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200</v>
      </c>
      <c r="E37" s="42">
        <v>140</v>
      </c>
      <c r="F37" s="40">
        <v>220</v>
      </c>
      <c r="G37" s="42">
        <v>120</v>
      </c>
      <c r="H37" s="40">
        <v>220</v>
      </c>
      <c r="I37" s="49">
        <f t="shared" si="5"/>
        <v>8.8235294117647065</v>
      </c>
      <c r="J37" s="58">
        <v>160</v>
      </c>
      <c r="K37" s="58">
        <v>200</v>
      </c>
      <c r="L37" s="50">
        <f t="shared" si="6"/>
        <v>2.7777777777777777</v>
      </c>
      <c r="M37" s="52">
        <f t="shared" si="0"/>
        <v>2.7777777777777777</v>
      </c>
    </row>
    <row r="38" spans="1:13" s="51" customFormat="1">
      <c r="A38" s="46" t="s">
        <v>42</v>
      </c>
      <c r="B38" s="47" t="s">
        <v>14</v>
      </c>
      <c r="C38" s="40">
        <v>320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2.9411764705882351</v>
      </c>
      <c r="J38" s="58">
        <v>240</v>
      </c>
      <c r="K38" s="58">
        <v>350</v>
      </c>
      <c r="L38" s="50">
        <f t="shared" si="6"/>
        <v>18.64406779661017</v>
      </c>
      <c r="M38" s="52">
        <f t="shared" si="0"/>
        <v>2.9411764705882351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160</v>
      </c>
      <c r="D43" s="40">
        <v>200</v>
      </c>
      <c r="E43" s="40">
        <v>130</v>
      </c>
      <c r="F43" s="40">
        <v>200</v>
      </c>
      <c r="G43" s="40">
        <v>120</v>
      </c>
      <c r="H43" s="40">
        <v>180</v>
      </c>
      <c r="I43" s="49">
        <f t="shared" si="5"/>
        <v>20</v>
      </c>
      <c r="J43" s="58">
        <v>120</v>
      </c>
      <c r="K43" s="58">
        <v>200</v>
      </c>
      <c r="L43" s="50">
        <f t="shared" si="6"/>
        <v>12.5</v>
      </c>
      <c r="M43" s="52">
        <f t="shared" si="0"/>
        <v>9.0909090909090917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650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500</v>
      </c>
      <c r="K45" s="58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150</v>
      </c>
      <c r="K55" s="58">
        <v>170</v>
      </c>
      <c r="L55" s="50">
        <f t="shared" si="8"/>
        <v>18.75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900</v>
      </c>
      <c r="D58" s="40">
        <v>950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4.5197740112994351</v>
      </c>
      <c r="J58" s="58">
        <v>720</v>
      </c>
      <c r="K58" s="58">
        <v>860</v>
      </c>
      <c r="L58" s="50">
        <f>((C58+D58)/2-(J59+K59)/2)/((J59+K59)/2)*100</f>
        <v>5.7142857142857144</v>
      </c>
      <c r="M58" s="52">
        <f t="shared" si="0"/>
        <v>6.9364161849710975</v>
      </c>
    </row>
    <row r="59" spans="1:13" s="51" customFormat="1" ht="20.25" customHeight="1">
      <c r="A59" s="46" t="s">
        <v>62</v>
      </c>
      <c r="B59" s="47" t="s">
        <v>61</v>
      </c>
      <c r="C59" s="40">
        <v>920</v>
      </c>
      <c r="D59" s="40">
        <v>930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7.5581395348837201</v>
      </c>
      <c r="J59" s="58">
        <v>840</v>
      </c>
      <c r="K59" s="58">
        <v>910</v>
      </c>
      <c r="L59" s="50">
        <f>((C59+D59)/2-(J60+K60)/2)/((J60+K60)/2)*100</f>
        <v>7.5581395348837201</v>
      </c>
      <c r="M59" s="52">
        <f t="shared" si="0"/>
        <v>4.5197740112994351</v>
      </c>
    </row>
    <row r="60" spans="1:13" s="51" customFormat="1" ht="22.5" customHeight="1">
      <c r="A60" s="46" t="s">
        <v>63</v>
      </c>
      <c r="B60" s="47" t="s">
        <v>61</v>
      </c>
      <c r="C60" s="40">
        <v>910</v>
      </c>
      <c r="D60" s="40">
        <v>950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7.5144508670520231</v>
      </c>
      <c r="J60" s="58">
        <v>830</v>
      </c>
      <c r="K60" s="58">
        <v>890</v>
      </c>
      <c r="L60" s="50">
        <f>((C60+D60)/2-(J61+K61)/2)/((J61+K61)/2)*100</f>
        <v>7.5144508670520231</v>
      </c>
      <c r="M60" s="52">
        <f t="shared" si="0"/>
        <v>8.1395348837209305</v>
      </c>
    </row>
    <row r="61" spans="1:13" s="51" customFormat="1" ht="25.5" customHeight="1">
      <c r="A61" s="46" t="s">
        <v>64</v>
      </c>
      <c r="B61" s="47" t="s">
        <v>61</v>
      </c>
      <c r="C61" s="40">
        <v>920</v>
      </c>
      <c r="D61" s="40">
        <v>960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8.6705202312138727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7" t="s">
        <v>1</v>
      </c>
      <c r="B65" s="77" t="s">
        <v>2</v>
      </c>
      <c r="C65" s="69" t="s">
        <v>3</v>
      </c>
      <c r="D65" s="71"/>
      <c r="E65" s="69" t="s">
        <v>4</v>
      </c>
      <c r="F65" s="71"/>
      <c r="G65" s="69" t="s">
        <v>5</v>
      </c>
      <c r="H65" s="71"/>
      <c r="I65" s="25" t="s">
        <v>6</v>
      </c>
      <c r="J65" s="69" t="s">
        <v>7</v>
      </c>
      <c r="K65" s="71"/>
      <c r="L65" s="25" t="s">
        <v>8</v>
      </c>
    </row>
    <row r="66" spans="1:13" ht="18" customHeight="1">
      <c r="A66" s="78"/>
      <c r="B66" s="78"/>
      <c r="C66" s="81">
        <v>46230</v>
      </c>
      <c r="D66" s="82"/>
      <c r="E66" s="81">
        <v>46223</v>
      </c>
      <c r="F66" s="82"/>
      <c r="G66" s="81">
        <v>46200</v>
      </c>
      <c r="H66" s="82"/>
      <c r="I66" s="25" t="s">
        <v>9</v>
      </c>
      <c r="J66" s="79">
        <v>45865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40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-59</v>
      </c>
      <c r="J70" s="58">
        <v>38</v>
      </c>
      <c r="K70" s="58">
        <v>42</v>
      </c>
      <c r="L70" s="50">
        <f t="shared" si="9"/>
        <v>2.5</v>
      </c>
      <c r="M70" s="52">
        <f t="shared" si="0"/>
        <v>2.5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240</v>
      </c>
      <c r="D72" s="40">
        <v>300</v>
      </c>
      <c r="E72" s="40">
        <v>120</v>
      </c>
      <c r="F72" s="40">
        <v>200</v>
      </c>
      <c r="G72" s="40">
        <v>80</v>
      </c>
      <c r="H72" s="40">
        <v>120</v>
      </c>
      <c r="I72" s="49">
        <f t="shared" si="11"/>
        <v>170</v>
      </c>
      <c r="J72" s="48">
        <v>0</v>
      </c>
      <c r="K72" s="48">
        <v>0</v>
      </c>
      <c r="L72" s="50" t="e">
        <f t="shared" si="9"/>
        <v>#DIV/0!</v>
      </c>
      <c r="M72" s="52">
        <f t="shared" si="12"/>
        <v>68.75</v>
      </c>
    </row>
    <row r="73" spans="1:13" s="52" customFormat="1" ht="19.5">
      <c r="A73" s="46" t="s">
        <v>106</v>
      </c>
      <c r="B73" s="53" t="s">
        <v>14</v>
      </c>
      <c r="C73" s="40">
        <v>100</v>
      </c>
      <c r="D73" s="40">
        <v>140</v>
      </c>
      <c r="E73" s="40">
        <v>80</v>
      </c>
      <c r="F73" s="40">
        <v>120</v>
      </c>
      <c r="G73" s="40">
        <v>70</v>
      </c>
      <c r="H73" s="40">
        <v>80</v>
      </c>
      <c r="I73" s="49">
        <f t="shared" si="11"/>
        <v>60</v>
      </c>
      <c r="J73" s="48">
        <v>40</v>
      </c>
      <c r="K73" s="48">
        <v>120</v>
      </c>
      <c r="L73" s="50">
        <f t="shared" si="9"/>
        <v>50</v>
      </c>
      <c r="M73" s="52">
        <f t="shared" si="12"/>
        <v>20</v>
      </c>
    </row>
    <row r="74" spans="1:13" s="52" customFormat="1" ht="19.5">
      <c r="A74" s="46" t="s">
        <v>107</v>
      </c>
      <c r="B74" s="53" t="s">
        <v>14</v>
      </c>
      <c r="C74" s="40">
        <v>80</v>
      </c>
      <c r="D74" s="40">
        <v>150</v>
      </c>
      <c r="E74" s="40">
        <v>80</v>
      </c>
      <c r="F74" s="40">
        <v>100</v>
      </c>
      <c r="G74" s="40">
        <v>50</v>
      </c>
      <c r="H74" s="40">
        <v>80</v>
      </c>
      <c r="I74" s="49">
        <f t="shared" si="11"/>
        <v>76.923076923076934</v>
      </c>
      <c r="J74" s="48">
        <v>50</v>
      </c>
      <c r="K74" s="48">
        <v>100</v>
      </c>
      <c r="L74" s="50">
        <f t="shared" si="9"/>
        <v>53.333333333333336</v>
      </c>
      <c r="M74" s="52">
        <f t="shared" si="12"/>
        <v>27.777777777777779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89000</v>
      </c>
      <c r="L77" s="50">
        <f t="shared" si="9"/>
        <v>3.4482758620689653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78500</v>
      </c>
      <c r="K78" s="62">
        <v>82000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5" t="s">
        <v>126</v>
      </c>
      <c r="C81" s="85"/>
      <c r="D81" s="85"/>
      <c r="E81" s="85"/>
      <c r="F81" s="85"/>
      <c r="G81" s="85"/>
      <c r="H81" s="85"/>
      <c r="I81" s="85"/>
      <c r="J81" s="85"/>
      <c r="K81" s="85"/>
      <c r="L81" s="85"/>
    </row>
    <row r="82" spans="1:12">
      <c r="A82" s="7"/>
      <c r="B82" s="7" t="s">
        <v>132</v>
      </c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>
      <c r="A83" s="7"/>
      <c r="B83" s="85" t="s">
        <v>133</v>
      </c>
      <c r="C83" s="85"/>
      <c r="D83" s="85"/>
      <c r="E83" s="85"/>
      <c r="F83" s="85"/>
      <c r="G83" s="85"/>
      <c r="H83" s="85"/>
      <c r="I83" s="85"/>
      <c r="J83" s="85"/>
      <c r="K83" s="85"/>
      <c r="L83" s="85"/>
    </row>
    <row r="84" spans="1:12">
      <c r="A84" s="7"/>
      <c r="B84" s="7" t="s">
        <v>121</v>
      </c>
      <c r="C84" s="2"/>
      <c r="D84" s="2"/>
      <c r="E84" s="2"/>
      <c r="F84" s="2"/>
      <c r="G84" s="1"/>
      <c r="H84" s="1"/>
      <c r="I84" s="1"/>
      <c r="J84" s="1"/>
      <c r="K84" s="2"/>
      <c r="L84" s="1"/>
    </row>
    <row r="85" spans="1:12">
      <c r="A85" s="7" t="s">
        <v>75</v>
      </c>
      <c r="B85" s="2"/>
      <c r="C85" s="1"/>
      <c r="D85" s="1"/>
      <c r="E85" s="1"/>
      <c r="F85" s="1"/>
      <c r="G85" s="9"/>
      <c r="H85" s="9"/>
      <c r="I85" s="1"/>
      <c r="J85" s="1"/>
      <c r="K85" s="1"/>
      <c r="L85" s="1"/>
    </row>
    <row r="86" spans="1:12">
      <c r="A86" s="24" t="s">
        <v>76</v>
      </c>
      <c r="B86" s="25" t="s">
        <v>77</v>
      </c>
      <c r="C86" s="69" t="s">
        <v>3</v>
      </c>
      <c r="D86" s="71"/>
      <c r="E86" s="83" t="s">
        <v>78</v>
      </c>
      <c r="F86" s="84"/>
      <c r="G86" s="26" t="s">
        <v>9</v>
      </c>
      <c r="H86" s="69" t="s">
        <v>79</v>
      </c>
      <c r="I86" s="70"/>
      <c r="J86" s="71"/>
      <c r="K86" s="10"/>
      <c r="L86" s="2"/>
    </row>
    <row r="87" spans="1:12">
      <c r="A87" s="46" t="s">
        <v>13</v>
      </c>
      <c r="B87" s="47" t="s">
        <v>14</v>
      </c>
      <c r="C87" s="40">
        <v>70</v>
      </c>
      <c r="D87" s="40">
        <v>85</v>
      </c>
      <c r="E87" s="40">
        <v>72</v>
      </c>
      <c r="F87" s="40">
        <v>85</v>
      </c>
      <c r="G87" s="31">
        <f t="shared" ref="G87:G89" si="13">((C87+D87)/2-(E87+F87)/2)/((E87+F87)/2)*100</f>
        <v>-1.2738853503184715</v>
      </c>
      <c r="H87" s="69" t="s">
        <v>130</v>
      </c>
      <c r="I87" s="70"/>
      <c r="J87" s="71"/>
      <c r="K87" s="10"/>
      <c r="L87" s="2"/>
    </row>
    <row r="88" spans="1:12">
      <c r="A88" s="46" t="s">
        <v>93</v>
      </c>
      <c r="B88" s="47" t="s">
        <v>14</v>
      </c>
      <c r="C88" s="40">
        <v>55</v>
      </c>
      <c r="D88" s="40">
        <v>65</v>
      </c>
      <c r="E88" s="40">
        <v>55</v>
      </c>
      <c r="F88" s="40">
        <v>68</v>
      </c>
      <c r="G88" s="31">
        <f t="shared" si="13"/>
        <v>-2.4390243902439024</v>
      </c>
      <c r="H88" s="69" t="s">
        <v>130</v>
      </c>
      <c r="I88" s="70"/>
      <c r="J88" s="71"/>
      <c r="K88" s="10"/>
      <c r="L88" s="2"/>
    </row>
    <row r="89" spans="1:12">
      <c r="A89" s="46" t="s">
        <v>15</v>
      </c>
      <c r="B89" s="47" t="s">
        <v>14</v>
      </c>
      <c r="C89" s="40">
        <v>50</v>
      </c>
      <c r="D89" s="40">
        <v>55</v>
      </c>
      <c r="E89" s="40">
        <v>50</v>
      </c>
      <c r="F89" s="40">
        <v>60</v>
      </c>
      <c r="G89" s="31">
        <f t="shared" si="13"/>
        <v>-4.5454545454545459</v>
      </c>
      <c r="H89" s="69" t="s">
        <v>130</v>
      </c>
      <c r="I89" s="70"/>
      <c r="J89" s="71"/>
      <c r="K89" s="10"/>
      <c r="L89" s="2"/>
    </row>
    <row r="90" spans="1:12">
      <c r="A90" s="46" t="s">
        <v>17</v>
      </c>
      <c r="B90" s="47" t="s">
        <v>14</v>
      </c>
      <c r="C90" s="40">
        <v>45</v>
      </c>
      <c r="D90" s="40">
        <v>50</v>
      </c>
      <c r="E90" s="40">
        <v>40</v>
      </c>
      <c r="F90" s="40">
        <v>45</v>
      </c>
      <c r="G90" s="31">
        <f t="shared" ref="G90:G96" si="14">((C90+D90)/2-(E90+F90)/2)/((E90+F90)/2)*100</f>
        <v>11.76470588235294</v>
      </c>
      <c r="H90" s="69" t="s">
        <v>123</v>
      </c>
      <c r="I90" s="70"/>
      <c r="J90" s="71"/>
      <c r="K90" s="10"/>
      <c r="L90" s="2"/>
    </row>
    <row r="91" spans="1:12">
      <c r="A91" s="46" t="s">
        <v>20</v>
      </c>
      <c r="B91" s="47" t="s">
        <v>14</v>
      </c>
      <c r="C91" s="40">
        <v>60</v>
      </c>
      <c r="D91" s="40">
        <v>60</v>
      </c>
      <c r="E91" s="40">
        <v>58</v>
      </c>
      <c r="F91" s="40">
        <v>60</v>
      </c>
      <c r="G91" s="31">
        <f t="shared" si="14"/>
        <v>1.6949152542372881</v>
      </c>
      <c r="H91" s="69" t="s">
        <v>125</v>
      </c>
      <c r="I91" s="70"/>
      <c r="J91" s="71"/>
      <c r="K91" s="10"/>
      <c r="L91" s="2"/>
    </row>
    <row r="92" spans="1:12">
      <c r="A92" s="46" t="s">
        <v>23</v>
      </c>
      <c r="B92" s="47" t="s">
        <v>24</v>
      </c>
      <c r="C92" s="42">
        <v>186</v>
      </c>
      <c r="D92" s="40">
        <v>195</v>
      </c>
      <c r="E92" s="42">
        <v>185</v>
      </c>
      <c r="F92" s="40">
        <v>195</v>
      </c>
      <c r="G92" s="31">
        <f t="shared" si="14"/>
        <v>0.26315789473684209</v>
      </c>
      <c r="H92" s="69" t="s">
        <v>124</v>
      </c>
      <c r="I92" s="70"/>
      <c r="J92" s="71"/>
      <c r="K92" s="10"/>
      <c r="L92" s="2"/>
    </row>
    <row r="93" spans="1:12">
      <c r="A93" s="46" t="s">
        <v>101</v>
      </c>
      <c r="B93" s="47" t="s">
        <v>14</v>
      </c>
      <c r="C93" s="42">
        <v>50</v>
      </c>
      <c r="D93" s="42">
        <v>60</v>
      </c>
      <c r="E93" s="42">
        <v>45</v>
      </c>
      <c r="F93" s="42">
        <v>55</v>
      </c>
      <c r="G93" s="31">
        <f t="shared" si="14"/>
        <v>10</v>
      </c>
      <c r="H93" s="69" t="s">
        <v>125</v>
      </c>
      <c r="I93" s="70"/>
      <c r="J93" s="71"/>
      <c r="K93" s="10"/>
      <c r="L93" s="2"/>
    </row>
    <row r="94" spans="1:12">
      <c r="A94" s="46" t="s">
        <v>40</v>
      </c>
      <c r="B94" s="47" t="s">
        <v>14</v>
      </c>
      <c r="C94" s="40">
        <v>100</v>
      </c>
      <c r="D94" s="40">
        <v>130</v>
      </c>
      <c r="E94" s="40">
        <v>100</v>
      </c>
      <c r="F94" s="40">
        <v>140</v>
      </c>
      <c r="G94" s="31">
        <f t="shared" si="14"/>
        <v>-4.1666666666666661</v>
      </c>
      <c r="H94" s="69" t="s">
        <v>130</v>
      </c>
      <c r="I94" s="70"/>
      <c r="J94" s="71"/>
      <c r="K94" s="10"/>
      <c r="L94" s="2"/>
    </row>
    <row r="95" spans="1:12">
      <c r="A95" s="46" t="s">
        <v>41</v>
      </c>
      <c r="B95" s="47" t="s">
        <v>14</v>
      </c>
      <c r="C95" s="42">
        <v>170</v>
      </c>
      <c r="D95" s="40">
        <v>200</v>
      </c>
      <c r="E95" s="42">
        <v>140</v>
      </c>
      <c r="F95" s="40">
        <v>220</v>
      </c>
      <c r="G95" s="31">
        <f t="shared" ref="G95:G99" si="15">((C95+D95)/2-(E95+F95)/2)/((E95+F95)/2)*100</f>
        <v>2.7777777777777777</v>
      </c>
      <c r="H95" s="69" t="s">
        <v>131</v>
      </c>
      <c r="I95" s="70"/>
      <c r="J95" s="71"/>
      <c r="K95" s="10"/>
      <c r="L95" s="2"/>
    </row>
    <row r="96" spans="1:12">
      <c r="A96" s="46" t="s">
        <v>47</v>
      </c>
      <c r="B96" s="47" t="s">
        <v>14</v>
      </c>
      <c r="C96" s="40">
        <v>160</v>
      </c>
      <c r="D96" s="40">
        <v>200</v>
      </c>
      <c r="E96" s="40">
        <v>130</v>
      </c>
      <c r="F96" s="40">
        <v>200</v>
      </c>
      <c r="G96" s="31">
        <f t="shared" si="14"/>
        <v>9.0909090909090917</v>
      </c>
      <c r="H96" s="69" t="s">
        <v>122</v>
      </c>
      <c r="I96" s="70"/>
      <c r="J96" s="71"/>
      <c r="K96" s="10"/>
      <c r="L96" s="2"/>
    </row>
    <row r="97" spans="1:12">
      <c r="A97" s="46" t="s">
        <v>105</v>
      </c>
      <c r="B97" s="53" t="s">
        <v>14</v>
      </c>
      <c r="C97" s="40">
        <v>240</v>
      </c>
      <c r="D97" s="40">
        <v>300</v>
      </c>
      <c r="E97" s="40">
        <v>120</v>
      </c>
      <c r="F97" s="40">
        <v>200</v>
      </c>
      <c r="G97" s="31">
        <f t="shared" si="15"/>
        <v>68.75</v>
      </c>
      <c r="H97" s="69" t="s">
        <v>131</v>
      </c>
      <c r="I97" s="70"/>
      <c r="J97" s="71"/>
      <c r="K97" s="10"/>
      <c r="L97" s="2"/>
    </row>
    <row r="98" spans="1:12">
      <c r="A98" s="46" t="s">
        <v>106</v>
      </c>
      <c r="B98" s="53" t="s">
        <v>14</v>
      </c>
      <c r="C98" s="40">
        <v>100</v>
      </c>
      <c r="D98" s="40">
        <v>140</v>
      </c>
      <c r="E98" s="40">
        <v>80</v>
      </c>
      <c r="F98" s="40">
        <v>120</v>
      </c>
      <c r="G98" s="31">
        <f t="shared" si="15"/>
        <v>20</v>
      </c>
      <c r="H98" s="69" t="s">
        <v>125</v>
      </c>
      <c r="I98" s="70"/>
      <c r="J98" s="71"/>
      <c r="K98" s="10"/>
      <c r="L98" s="2"/>
    </row>
    <row r="99" spans="1:12">
      <c r="A99" s="46" t="s">
        <v>107</v>
      </c>
      <c r="B99" s="53" t="s">
        <v>14</v>
      </c>
      <c r="C99" s="40">
        <v>80</v>
      </c>
      <c r="D99" s="40">
        <v>150</v>
      </c>
      <c r="E99" s="40">
        <v>80</v>
      </c>
      <c r="F99" s="40">
        <v>100</v>
      </c>
      <c r="G99" s="31">
        <f t="shared" si="15"/>
        <v>27.777777777777779</v>
      </c>
      <c r="H99" s="69" t="s">
        <v>125</v>
      </c>
      <c r="I99" s="70"/>
      <c r="J99" s="71"/>
      <c r="K99" s="10"/>
      <c r="L99" s="2"/>
    </row>
    <row r="100" spans="1:12">
      <c r="A100" s="64"/>
      <c r="B100" s="65"/>
      <c r="C100" s="66"/>
      <c r="D100" s="67"/>
      <c r="E100" s="66"/>
      <c r="F100" s="67"/>
      <c r="G100" s="68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114</v>
      </c>
      <c r="C102" s="2"/>
      <c r="E102" s="7"/>
      <c r="F102" s="14" t="s">
        <v>102</v>
      </c>
      <c r="G102" s="2"/>
      <c r="I102" s="15"/>
      <c r="J102" s="1"/>
      <c r="K102" s="2"/>
      <c r="L102" s="12"/>
    </row>
    <row r="103" spans="1:12">
      <c r="A103" s="16"/>
      <c r="B103" s="14" t="s">
        <v>113</v>
      </c>
      <c r="C103" s="1"/>
      <c r="E103" s="16"/>
      <c r="F103" s="14" t="s">
        <v>103</v>
      </c>
      <c r="G103" s="1"/>
      <c r="I103" s="2"/>
      <c r="J103" s="1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"/>
      <c r="C105" s="3"/>
      <c r="D105" s="3"/>
      <c r="E105" s="3"/>
      <c r="F105" s="3"/>
      <c r="G105" s="4"/>
      <c r="H105" s="17"/>
      <c r="I105" s="12"/>
      <c r="J105" s="12"/>
      <c r="K105" s="12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115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108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109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116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110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117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118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112</v>
      </c>
    </row>
  </sheetData>
  <mergeCells count="43">
    <mergeCell ref="H87:J87"/>
    <mergeCell ref="H88:J88"/>
    <mergeCell ref="H89:J89"/>
    <mergeCell ref="E86:F86"/>
    <mergeCell ref="H86:J86"/>
    <mergeCell ref="B81:L81"/>
    <mergeCell ref="B83:L83"/>
    <mergeCell ref="C86:D86"/>
    <mergeCell ref="H99:J99"/>
    <mergeCell ref="H97:J97"/>
    <mergeCell ref="H96:J96"/>
    <mergeCell ref="H92:J92"/>
    <mergeCell ref="H94:J94"/>
    <mergeCell ref="H93:J93"/>
    <mergeCell ref="H95:J95"/>
    <mergeCell ref="H91:J91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H98:J98"/>
    <mergeCell ref="H90:J90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2026-07-27T08:47:09Z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