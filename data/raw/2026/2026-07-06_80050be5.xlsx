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ly-2026\"/>
    </mc:Choice>
  </mc:AlternateContent>
  <xr:revisionPtr revIDLastSave="0" documentId="13_ncr:1_{EE627610-F41F-460D-B31A-745184AF0DD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price'!$A$1:$L$125</definedName>
  </definedNames>
  <calcPr calcId="191028"/>
</workbook>
</file>

<file path=xl/calcChain.xml><?xml version="1.0" encoding="utf-8"?>
<calcChain xmlns="http://schemas.openxmlformats.org/spreadsheetml/2006/main">
  <c r="G87" i="4" l="1"/>
  <c r="G86" i="4"/>
  <c r="G92" i="4"/>
  <c r="G96" i="4"/>
  <c r="G89" i="4"/>
  <c r="G88" i="4"/>
  <c r="G93" i="4"/>
  <c r="G94" i="4"/>
  <c r="G91" i="4"/>
  <c r="G90" i="4"/>
  <c r="G95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<sst xmlns="http://schemas.openxmlformats.org/spreadsheetml/2006/main" count="249" uniqueCount="135">
  <si>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</si>
  <si>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</si>
  <si>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</si>
  <si>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</si>
  <si>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</si>
  <si>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</si>
  <si>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</si>
  <si>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</si>
  <si>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</si>
  <si>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</si>
  <si>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</si>
  <si>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</si>
  <si>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</si>
  <si>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</si>
  <si>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</si>
  <si>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</si>
  <si>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</si>
  <si>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</si>
  <si>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</si>
  <si>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</si>
  <si>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</si>
  <si>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</si>
  <si>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</si>
  <si>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</si>
  <si>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</si>
  <si>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</si>
  <si>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</si>
  <si>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</si>
  <si>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</si>
  <si>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</si>
  <si>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</si>
  <si>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</si>
  <si>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</si>
  <si>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</si>
  <si>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</si>
  <si>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</si>
  <si>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</si>
  <si>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</si>
  <si>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</si>
  <si>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</si>
  <si>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</si>
  <si>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</si>
  <si>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</si>
  <si>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</si>
  <si>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</si>
  <si>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</si>
  <si>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</si>
  <si>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</si>
  <si>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</si>
  <si>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</si>
  <si>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</si>
  <si>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</si>
  <si>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</si>
  <si>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</si>
  <si>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</si>
  <si>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</si>
  <si>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</si>
  <si>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</si>
  <si>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</si>
  <si>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</si>
  <si>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</si>
  <si>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</si>
  <si>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</si>
  <si>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</si>
  <si>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</si>
  <si>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</si>
  <si>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</si>
  <si>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</si>
  <si>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</si>
  <si>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</si>
  <si>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</si>
  <si>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</si>
  <si>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</si>
  <si>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</si>
  <si>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</si>
  <si>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</si>
  <si>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</si>
  <si>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</si>
  <si>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</si>
  <si>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</si>
  <si>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</si>
  <si>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</si>
  <si>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</si>
  <si>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</si>
  <si>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</si>
  <si>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</si>
  <si>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</si>
  <si>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</si>
  <si>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</si>
  <si>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</si>
  <si>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</si>
  <si>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</si>
  <si>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</si>
  <si>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</si>
  <si>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</si>
  <si>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</si>
  <si>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</si>
  <si>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</si>
  <si>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</si>
  <si>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</si>
  <si>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</si>
  <si>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</si>
  <si>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</si>
  <si>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</si>
  <si>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</si>
  <si>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</si>
  <si>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</si>
  <si>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</si>
  <si>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</si>
  <si>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</si>
  <si>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</si>
  <si>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</si>
  <si>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</si>
  <si>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</si>
  <si>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</si>
  <si>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</si>
  <si>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</si>
  <si>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</si>
  <si>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</si>
  <si>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</si>
  <si>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</si>
  <si>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>(৩)  অন্যান্য পণ্যের মূল্য অপরিবর্তীত রয়েছে।</t>
  </si>
  <si>
    <t xml:space="preserve"> (মোঃ গোলাম খোরশেদ)   </t>
  </si>
  <si>
    <t xml:space="preserve"> অতিরিক্ত পরিচালক (বাণিজ্যিক)</t>
  </si>
  <si>
    <t>২৯-০৬-২০২৬ তারিখে মূল্য হ্রাস পেয়েছে।</t>
  </si>
  <si>
    <t>০২-০৭-২০২৬ তারিখে মূল্য হ্রাস পেয়েছে।</t>
  </si>
  <si>
    <t>০৫-০৭-২০২৬ তারিখে মূল্য বৃদ্ধি পেয়েছে।</t>
  </si>
  <si>
    <t>০৫-০৭-২০২৬ তারিখে মূল্য হ্রাস পেয়েছে।</t>
  </si>
  <si>
    <t xml:space="preserve">নং-২৬.০৫.০০০০.০১৭.৩১.০১.২৬-৫২৩                                                                                                           তারিখঃ ০৬-০৭-২০২৬ </t>
  </si>
  <si>
    <t xml:space="preserve">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১৬২</t>
  </si>
  <si>
    <t xml:space="preserve">সোমবার ০৬ জুলাই ২০২৬ খ্রিঃ, ২২ আষাঢ় ১৪৩৩ বাংলা, ২০ মহরম ১৪৪৮ হিজরি </t>
  </si>
  <si>
    <t>০৬-০৭-২০২৬ তারিখে মূল্য বৃদ্ধি পেয়েছে।</t>
  </si>
  <si>
    <t>০৬-০৭-২০২৬ তারিখে মূল্য হ্রাস পেয়েছে।</t>
  </si>
  <si>
    <t>(২)    সয়াবিন লুজ, রশুন (দেশী), মুরগী ব্রয়লার, কাঁচামরিচ, শসা   এর মূল্য বৃদ্ধি পেয়েছে।</t>
  </si>
  <si>
    <t>(১)    চাল (সরু, মোটা), আটা (খোলা), রশুন (আম), লেবু, বেগুন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</si>
</sst>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19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8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6" fontId="1" fillId="0" borderId="0" xfId="1" applyNumberFormat="1" applyFont="1" applyFill="1" applyBorder="1" applyAlignment="1">
      <alignment horizontal="center"/>
    </xf>
    <xf numFmtId="167" fontId="1" fillId="0" borderId="0" xfId="1" applyNumberFormat="1" applyFont="1" applyFill="1" applyBorder="1" applyAlignment="1">
      <alignment horizontal="center" vertical="center"/>
    </xf>
    <xf numFmtId="167" fontId="1" fillId="0" borderId="0" xfId="3" applyNumberFormat="1" applyFont="1" applyAlignment="1">
      <alignment horizontal="center" vertical="center"/>
    </xf>
    <xf numFmtId="166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6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5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69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7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8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6" fontId="13" fillId="0" borderId="1" xfId="1" applyNumberFormat="1" applyFont="1" applyFill="1" applyBorder="1" applyAlignment="1">
      <alignment horizontal="center"/>
    </xf>
    <xf numFmtId="166" fontId="13" fillId="2" borderId="1" xfId="3" applyNumberFormat="1" applyFont="1" applyFill="1" applyBorder="1" applyAlignment="1">
      <alignment horizontal="center"/>
    </xf>
    <xf numFmtId="166" fontId="13" fillId="6" borderId="1" xfId="1" applyNumberFormat="1" applyFont="1" applyFill="1" applyBorder="1" applyAlignment="1">
      <alignment horizontal="center"/>
    </xf>
    <xf numFmtId="166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6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6" fontId="13" fillId="0" borderId="1" xfId="1" applyNumberFormat="1" applyFont="1" applyFill="1" applyBorder="1" applyAlignment="1">
      <alignment horizontal="center" shrinkToFit="1"/>
    </xf>
    <xf numFmtId="167" fontId="13" fillId="0" borderId="1" xfId="1" applyNumberFormat="1" applyFont="1" applyFill="1" applyBorder="1" applyAlignment="1">
      <alignment horizontal="center" vertical="center" shrinkToFit="1"/>
    </xf>
    <xf numFmtId="167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4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6" fontId="1" fillId="0" borderId="1" xfId="1" applyNumberFormat="1" applyFont="1" applyFill="1" applyBorder="1" applyAlignment="1">
      <alignment horizontal="center"/>
    </xf>
    <xf numFmtId="166" fontId="1" fillId="2" borderId="1" xfId="3" applyNumberFormat="1" applyFont="1" applyFill="1" applyBorder="1" applyAlignment="1">
      <alignment horizontal="center"/>
    </xf>
    <xf numFmtId="166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6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13" fillId="0" borderId="0" xfId="3" applyFont="1" applyAlignment="1">
      <alignment horizontal="left" vertical="center" shrinkToFit="1"/>
    </xf>
    <xf numFmtId="0" fontId="13" fillId="0" borderId="0" xfId="3" applyFont="1" applyAlignment="1">
      <alignment horizontal="center" vertical="center" shrinkToFit="1"/>
    </xf>
    <xf numFmtId="166" fontId="13" fillId="0" borderId="0" xfId="1" applyNumberFormat="1" applyFont="1" applyFill="1" applyBorder="1" applyAlignment="1">
      <alignment horizontal="center"/>
    </xf>
    <xf numFmtId="166" fontId="13" fillId="0" borderId="0" xfId="1" applyNumberFormat="1" applyFont="1" applyBorder="1" applyAlignment="1">
      <alignment horizontal="right"/>
    </xf>
    <xf numFmtId="167" fontId="1" fillId="0" borderId="0" xfId="1" applyNumberFormat="1" applyFont="1" applyFill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43" fontId="1" fillId="0" borderId="2" xfId="1" applyFont="1" applyBorder="1" applyAlignment="1">
      <alignment horizontal="center" vertical="center" shrinkToFit="1"/>
    </xf>
    <xf numFmtId="43" fontId="1" fillId="0" borderId="3" xfId="1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43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4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4" fontId="1" fillId="0" borderId="2" xfId="3" applyNumberFormat="1" applyFont="1" applyBorder="1" applyAlignment="1">
      <alignment horizontal="center" vertical="center" shrinkToFit="1"/>
    </xf>
    <xf numFmtId="164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89</xdr:row>
      <xdr:rowOff>15357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0"/>
  <sheetViews>
    <sheetView tabSelected="1" zoomScale="93" zoomScaleNormal="93" workbookViewId="0">
      <selection activeCell="H86" sqref="H86:J86"/>
    </sheetView>
  </sheetViews>
  <sheetFormatPr defaultColWidth="8.796875" defaultRowHeight="21.75"/>
  <cols>
    <col min="1" max="1" width="17.796875" style="11" customWidth="1"/>
    <col min="2" max="2" width="9.796875" style="11" customWidth="1"/>
    <col min="3" max="3" width="9.5" style="11" customWidth="1"/>
    <col min="4" max="4" width="8.5" style="11" customWidth="1"/>
    <col min="5" max="5" width="9.09765625" style="11" customWidth="1"/>
    <col min="6" max="6" width="8.8984375" style="11" customWidth="1"/>
    <col min="7" max="7" width="8.796875" style="11" customWidth="1"/>
    <col min="8" max="8" width="8.59765625" style="11" customWidth="1"/>
    <col min="9" max="9" width="8.8984375" style="11" customWidth="1"/>
    <col min="10" max="10" width="10.69921875" style="11" customWidth="1"/>
    <col min="11" max="11" width="9.3984375" style="11" customWidth="1"/>
    <col min="12" max="12" width="10.296875" style="11" customWidth="1"/>
    <col min="13" max="13" width="0.19921875" style="53" customWidth="1"/>
    <col min="14" max="16384" width="8.796875" style="11"/>
  </cols>
  <sheetData>
    <row r="1" spans="1:18" ht="24.75">
      <c r="A1" s="77" t="s">
        <v>119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18">
      <c r="A2" s="78" t="s">
        <v>120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18">
      <c r="A3" s="79" t="s">
        <v>129</v>
      </c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</row>
    <row r="4" spans="1:18">
      <c r="A4" s="80" t="s">
        <v>130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P4" s="56"/>
      <c r="Q4" s="56"/>
      <c r="R4" s="56"/>
    </row>
    <row r="5" spans="1:18">
      <c r="A5" s="81" t="s">
        <v>128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P5" s="57"/>
      <c r="Q5" s="58"/>
    </row>
    <row r="6" spans="1:18" s="29" customFormat="1">
      <c r="A6" s="82" t="s">
        <v>1</v>
      </c>
      <c r="B6" s="82" t="s">
        <v>2</v>
      </c>
      <c r="C6" s="71" t="s">
        <v>3</v>
      </c>
      <c r="D6" s="73"/>
      <c r="E6" s="71" t="s">
        <v>4</v>
      </c>
      <c r="F6" s="73"/>
      <c r="G6" s="71" t="s">
        <v>5</v>
      </c>
      <c r="H6" s="73"/>
      <c r="I6" s="26" t="s">
        <v>6</v>
      </c>
      <c r="J6" s="71" t="s">
        <v>7</v>
      </c>
      <c r="K6" s="73"/>
      <c r="L6" s="28" t="s">
        <v>8</v>
      </c>
      <c r="M6" s="53"/>
    </row>
    <row r="7" spans="1:18" s="29" customFormat="1">
      <c r="A7" s="83"/>
      <c r="B7" s="83"/>
      <c r="C7" s="86">
        <v>46209</v>
      </c>
      <c r="D7" s="87"/>
      <c r="E7" s="86">
        <v>46202</v>
      </c>
      <c r="F7" s="87"/>
      <c r="G7" s="86">
        <v>46179</v>
      </c>
      <c r="H7" s="87"/>
      <c r="I7" s="26" t="s">
        <v>9</v>
      </c>
      <c r="J7" s="84">
        <v>45843</v>
      </c>
      <c r="K7" s="85"/>
      <c r="L7" s="26" t="s">
        <v>9</v>
      </c>
      <c r="M7" s="53"/>
    </row>
    <row r="8" spans="1:18" s="29" customFormat="1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31" t="s">
        <v>10</v>
      </c>
      <c r="H8" s="31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>
      <c r="A9" s="47" t="s">
        <v>13</v>
      </c>
      <c r="B9" s="48" t="s">
        <v>14</v>
      </c>
      <c r="C9" s="41">
        <v>70</v>
      </c>
      <c r="D9" s="41">
        <v>85</v>
      </c>
      <c r="E9" s="41">
        <v>72</v>
      </c>
      <c r="F9" s="41">
        <v>85</v>
      </c>
      <c r="G9" s="41">
        <v>70</v>
      </c>
      <c r="H9" s="41">
        <v>85</v>
      </c>
      <c r="I9" s="50">
        <f>((C9+D9)/2-(G9+H9)/2)/((G9+H9)/2)*100</f>
        <v>0</v>
      </c>
      <c r="J9" s="60">
        <v>75</v>
      </c>
      <c r="K9" s="60">
        <v>85</v>
      </c>
      <c r="L9" s="51">
        <f>((C9+D9)/2-(J9+K9)/2)/((J9+K9)/2)*100</f>
        <v>-3.125</v>
      </c>
      <c r="M9" s="53">
        <f>((C9+D9)/2-(E9+F9)/2)/((E9+F9)/2)*100</f>
        <v>-1.2738853503184715</v>
      </c>
    </row>
    <row r="10" spans="1:18" s="29" customFormat="1">
      <c r="A10" s="47" t="s">
        <v>93</v>
      </c>
      <c r="B10" s="48" t="s">
        <v>14</v>
      </c>
      <c r="C10" s="41">
        <v>55</v>
      </c>
      <c r="D10" s="41">
        <v>68</v>
      </c>
      <c r="E10" s="41">
        <v>55</v>
      </c>
      <c r="F10" s="41">
        <v>68</v>
      </c>
      <c r="G10" s="41">
        <v>54</v>
      </c>
      <c r="H10" s="41">
        <v>68</v>
      </c>
      <c r="I10" s="50">
        <f>((C10+D10)/2-(G10+H10)/2)/((G10+H10)/2)*100</f>
        <v>0.81967213114754101</v>
      </c>
      <c r="J10" s="60">
        <v>60</v>
      </c>
      <c r="K10" s="60">
        <v>65</v>
      </c>
      <c r="L10" s="51">
        <f>((C10+D10)/2-(J10+K10)/2)/((J10+K10)/2)*100</f>
        <v>-1.6</v>
      </c>
      <c r="M10" s="53">
        <f t="shared" ref="M10:M70" si="0">((C10+D10)/2-(E10+F10)/2)/((E10+F10)/2)*100</f>
        <v>0</v>
      </c>
    </row>
    <row r="11" spans="1:18" s="29" customFormat="1">
      <c r="A11" s="47" t="s">
        <v>15</v>
      </c>
      <c r="B11" s="48" t="s">
        <v>14</v>
      </c>
      <c r="C11" s="41">
        <v>48</v>
      </c>
      <c r="D11" s="41">
        <v>60</v>
      </c>
      <c r="E11" s="41">
        <v>50</v>
      </c>
      <c r="F11" s="41">
        <v>60</v>
      </c>
      <c r="G11" s="41">
        <v>50</v>
      </c>
      <c r="H11" s="41">
        <v>60</v>
      </c>
      <c r="I11" s="50">
        <f>((C11+D11)/2-(G11+H11)/2)/((G11+H11)/2)*100</f>
        <v>-1.8181818181818181</v>
      </c>
      <c r="J11" s="60">
        <v>55</v>
      </c>
      <c r="K11" s="60">
        <v>60</v>
      </c>
      <c r="L11" s="51">
        <f>((C11+D11)/2-(J11+K11)/2)/((J11+K11)/2)*100</f>
        <v>-6.0869565217391308</v>
      </c>
      <c r="M11" s="53">
        <f t="shared" si="0"/>
        <v>-1.8181818181818181</v>
      </c>
    </row>
    <row r="12" spans="1:18" s="29" customFormat="1" ht="18" customHeight="1">
      <c r="A12" s="33" t="s">
        <v>16</v>
      </c>
      <c r="B12" s="31"/>
      <c r="C12" s="42"/>
      <c r="D12" s="42"/>
      <c r="E12" s="42"/>
      <c r="F12" s="42"/>
      <c r="G12" s="42"/>
      <c r="H12" s="42"/>
      <c r="I12" s="31" t="s">
        <v>0</v>
      </c>
      <c r="J12" s="61"/>
      <c r="K12" s="61"/>
      <c r="L12" s="34"/>
      <c r="M12" s="53"/>
    </row>
    <row r="13" spans="1:18" s="29" customFormat="1">
      <c r="A13" s="47" t="s">
        <v>17</v>
      </c>
      <c r="B13" s="48" t="s">
        <v>14</v>
      </c>
      <c r="C13" s="41">
        <v>40</v>
      </c>
      <c r="D13" s="41">
        <v>45</v>
      </c>
      <c r="E13" s="41">
        <v>45</v>
      </c>
      <c r="F13" s="41">
        <v>46</v>
      </c>
      <c r="G13" s="41">
        <v>40</v>
      </c>
      <c r="H13" s="41">
        <v>46</v>
      </c>
      <c r="I13" s="50">
        <f>((C13+D13)/2-(G13+H13)/2)/((G13+H13)/2)*100</f>
        <v>-1.1627906976744187</v>
      </c>
      <c r="J13" s="60">
        <v>40</v>
      </c>
      <c r="K13" s="60">
        <v>45</v>
      </c>
      <c r="L13" s="51">
        <f>((C13+D13)/2-(J13+K13)/2)/((J13+K13)/2)*100</f>
        <v>0</v>
      </c>
      <c r="M13" s="53">
        <f t="shared" si="0"/>
        <v>-6.593406593406594</v>
      </c>
    </row>
    <row r="14" spans="1:18" s="29" customFormat="1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41">
        <v>55</v>
      </c>
      <c r="H14" s="41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41">
        <v>55</v>
      </c>
      <c r="H15" s="41">
        <v>60</v>
      </c>
      <c r="I15" s="50">
        <f>((C15+D15)/2-(G15+H15)/2)/((G15+H15)/2)*100</f>
        <v>0</v>
      </c>
      <c r="J15" s="60">
        <v>56</v>
      </c>
      <c r="K15" s="60">
        <v>60</v>
      </c>
      <c r="L15" s="51">
        <f>((C15+D15)/2-(J15+K15)/2)/((J15+K15)/2)*100</f>
        <v>-0.86206896551724133</v>
      </c>
      <c r="M15" s="53">
        <f t="shared" si="0"/>
        <v>0</v>
      </c>
    </row>
    <row r="16" spans="1:18" s="29" customFormat="1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41">
        <v>60</v>
      </c>
      <c r="H16" s="41">
        <v>75</v>
      </c>
      <c r="I16" s="50">
        <f>((C16+D16)/2-(G16+H16)/2)/((G16+H16)/2)*100</f>
        <v>0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>
      <c r="A17" s="33" t="s">
        <v>22</v>
      </c>
      <c r="B17" s="31"/>
      <c r="C17" s="42" t="s">
        <v>0</v>
      </c>
      <c r="D17" s="42"/>
      <c r="E17" s="42" t="s">
        <v>0</v>
      </c>
      <c r="F17" s="42"/>
      <c r="G17" s="42" t="s">
        <v>0</v>
      </c>
      <c r="H17" s="42"/>
      <c r="I17" s="34"/>
      <c r="J17" s="61" t="s">
        <v>0</v>
      </c>
      <c r="K17" s="61"/>
      <c r="L17" s="31"/>
      <c r="M17" s="53"/>
    </row>
    <row r="18" spans="1:13" s="29" customFormat="1">
      <c r="A18" s="47" t="s">
        <v>23</v>
      </c>
      <c r="B18" s="48" t="s">
        <v>24</v>
      </c>
      <c r="C18" s="43">
        <v>188</v>
      </c>
      <c r="D18" s="41">
        <v>195</v>
      </c>
      <c r="E18" s="43">
        <v>186</v>
      </c>
      <c r="F18" s="41">
        <v>192</v>
      </c>
      <c r="G18" s="43">
        <v>185</v>
      </c>
      <c r="H18" s="41">
        <v>195</v>
      </c>
      <c r="I18" s="50">
        <f t="shared" ref="I18:I24" si="1">((C18+D18)/2-(G18+H18)/2)/((G18+H18)/2)*100</f>
        <v>0.78947368421052633</v>
      </c>
      <c r="J18" s="60">
        <v>162</v>
      </c>
      <c r="K18" s="60">
        <v>170</v>
      </c>
      <c r="L18" s="51">
        <f t="shared" ref="L18:L24" si="2">((C18+D18)/2-(J18+K18)/2)/((J18+K18)/2)*100</f>
        <v>15.361445783132529</v>
      </c>
      <c r="M18" s="53">
        <f t="shared" si="0"/>
        <v>1.3227513227513228</v>
      </c>
    </row>
    <row r="19" spans="1:13" s="29" customFormat="1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41">
        <v>975</v>
      </c>
      <c r="H19" s="41">
        <v>975</v>
      </c>
      <c r="I19" s="50">
        <f t="shared" si="1"/>
        <v>0</v>
      </c>
      <c r="J19" s="60">
        <v>915</v>
      </c>
      <c r="K19" s="60">
        <v>920</v>
      </c>
      <c r="L19" s="51">
        <f t="shared" si="2"/>
        <v>6.2670299727520433</v>
      </c>
      <c r="M19" s="53">
        <f t="shared" si="0"/>
        <v>0</v>
      </c>
    </row>
    <row r="20" spans="1:13" s="29" customFormat="1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41">
        <v>398</v>
      </c>
      <c r="H20" s="41">
        <v>398</v>
      </c>
      <c r="I20" s="50">
        <f t="shared" si="1"/>
        <v>0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41">
        <v>199</v>
      </c>
      <c r="H21" s="41">
        <v>199</v>
      </c>
      <c r="I21" s="50">
        <f t="shared" si="1"/>
        <v>0</v>
      </c>
      <c r="J21" s="60">
        <v>185</v>
      </c>
      <c r="K21" s="60">
        <v>190</v>
      </c>
      <c r="L21" s="51">
        <f t="shared" si="2"/>
        <v>6.1333333333333329</v>
      </c>
      <c r="M21" s="53">
        <f t="shared" si="0"/>
        <v>0</v>
      </c>
    </row>
    <row r="22" spans="1:13" s="29" customFormat="1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41">
        <v>165</v>
      </c>
      <c r="H22" s="41">
        <v>170</v>
      </c>
      <c r="I22" s="50">
        <f t="shared" si="1"/>
        <v>0</v>
      </c>
      <c r="J22" s="60">
        <v>148</v>
      </c>
      <c r="K22" s="60">
        <v>155</v>
      </c>
      <c r="L22" s="51">
        <f t="shared" si="2"/>
        <v>10.561056105610561</v>
      </c>
      <c r="M22" s="53">
        <f t="shared" si="0"/>
        <v>0</v>
      </c>
    </row>
    <row r="23" spans="1:13" s="29" customFormat="1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41">
        <v>170</v>
      </c>
      <c r="H23" s="41">
        <v>175</v>
      </c>
      <c r="I23" s="50">
        <f t="shared" si="1"/>
        <v>0</v>
      </c>
      <c r="J23" s="60">
        <v>152</v>
      </c>
      <c r="K23" s="60">
        <v>160</v>
      </c>
      <c r="L23" s="51">
        <f t="shared" si="2"/>
        <v>10.576923076923077</v>
      </c>
      <c r="M23" s="53">
        <f t="shared" si="0"/>
        <v>0</v>
      </c>
    </row>
    <row r="24" spans="1:13" s="29" customFormat="1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41">
        <v>1030</v>
      </c>
      <c r="H24" s="41">
        <v>1140</v>
      </c>
      <c r="I24" s="50">
        <f t="shared" si="1"/>
        <v>0</v>
      </c>
      <c r="J24" s="60">
        <v>0</v>
      </c>
      <c r="K24" s="60">
        <v>0</v>
      </c>
      <c r="L24" s="51" t="e">
        <f t="shared" si="2"/>
        <v>#DIV/0!</v>
      </c>
      <c r="M24" s="53">
        <f t="shared" si="0"/>
        <v>0</v>
      </c>
    </row>
    <row r="25" spans="1:13" s="29" customFormat="1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44"/>
      <c r="H25" s="44" t="s">
        <v>32</v>
      </c>
      <c r="I25" s="34"/>
      <c r="J25" s="62"/>
      <c r="K25" s="62" t="s">
        <v>32</v>
      </c>
      <c r="L25" s="34"/>
      <c r="M25" s="53"/>
    </row>
    <row r="26" spans="1:13" s="52" customFormat="1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41">
        <v>90</v>
      </c>
      <c r="H26" s="41">
        <v>105</v>
      </c>
      <c r="I26" s="50">
        <f t="shared" ref="I26:I32" si="3">((C26+D26)/2-(G26+H26)/2)/((G26+H26)/2)*100</f>
        <v>0</v>
      </c>
      <c r="J26" s="60">
        <v>100</v>
      </c>
      <c r="K26" s="60">
        <v>110</v>
      </c>
      <c r="L26" s="51">
        <f t="shared" ref="L26:L32" si="4">((C26+D26)/2-(J26+K26)/2)/((J26+K26)/2)*100</f>
        <v>-7.1428571428571423</v>
      </c>
      <c r="M26" s="53">
        <f t="shared" si="0"/>
        <v>0</v>
      </c>
    </row>
    <row r="27" spans="1:13" s="52" customFormat="1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41">
        <v>115</v>
      </c>
      <c r="H27" s="41">
        <v>120</v>
      </c>
      <c r="I27" s="50">
        <f t="shared" si="3"/>
        <v>0</v>
      </c>
      <c r="J27" s="60">
        <v>110</v>
      </c>
      <c r="K27" s="60">
        <v>120</v>
      </c>
      <c r="L27" s="51">
        <f t="shared" si="4"/>
        <v>2.1739130434782608</v>
      </c>
      <c r="M27" s="53">
        <f t="shared" si="0"/>
        <v>0</v>
      </c>
    </row>
    <row r="28" spans="1:13" s="52" customFormat="1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41">
        <v>150</v>
      </c>
      <c r="H28" s="41">
        <v>160</v>
      </c>
      <c r="I28" s="50">
        <f t="shared" si="3"/>
        <v>0</v>
      </c>
      <c r="J28" s="60">
        <v>130</v>
      </c>
      <c r="K28" s="60">
        <v>135</v>
      </c>
      <c r="L28" s="51">
        <f t="shared" si="4"/>
        <v>16.981132075471699</v>
      </c>
      <c r="M28" s="53">
        <f t="shared" si="0"/>
        <v>0</v>
      </c>
    </row>
    <row r="29" spans="1:13" s="52" customFormat="1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41">
        <v>130</v>
      </c>
      <c r="H29" s="41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41">
        <v>60</v>
      </c>
      <c r="H30" s="41">
        <v>75</v>
      </c>
      <c r="I30" s="50">
        <f t="shared" si="3"/>
        <v>0</v>
      </c>
      <c r="J30" s="60">
        <v>70</v>
      </c>
      <c r="K30" s="60">
        <v>80</v>
      </c>
      <c r="L30" s="51">
        <f t="shared" si="4"/>
        <v>-10</v>
      </c>
      <c r="M30" s="53">
        <f t="shared" si="0"/>
        <v>0</v>
      </c>
    </row>
    <row r="31" spans="1:13" s="52" customFormat="1">
      <c r="A31" s="47" t="s">
        <v>37</v>
      </c>
      <c r="B31" s="48" t="s">
        <v>14</v>
      </c>
      <c r="C31" s="41">
        <v>90</v>
      </c>
      <c r="D31" s="41">
        <v>100</v>
      </c>
      <c r="E31" s="41">
        <v>90</v>
      </c>
      <c r="F31" s="41">
        <v>100</v>
      </c>
      <c r="G31" s="41">
        <v>85</v>
      </c>
      <c r="H31" s="41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0</v>
      </c>
    </row>
    <row r="32" spans="1:13" s="52" customFormat="1">
      <c r="A32" s="47" t="s">
        <v>100</v>
      </c>
      <c r="B32" s="48" t="s">
        <v>14</v>
      </c>
      <c r="C32" s="41">
        <v>25</v>
      </c>
      <c r="D32" s="41">
        <v>30</v>
      </c>
      <c r="E32" s="41">
        <v>25</v>
      </c>
      <c r="F32" s="41">
        <v>30</v>
      </c>
      <c r="G32" s="41">
        <v>20</v>
      </c>
      <c r="H32" s="41">
        <v>25</v>
      </c>
      <c r="I32" s="50">
        <f t="shared" si="3"/>
        <v>22.222222222222221</v>
      </c>
      <c r="J32" s="60">
        <v>20</v>
      </c>
      <c r="K32" s="60">
        <v>25</v>
      </c>
      <c r="L32" s="51">
        <f t="shared" si="4"/>
        <v>22.222222222222221</v>
      </c>
      <c r="M32" s="53">
        <f t="shared" si="0"/>
        <v>0</v>
      </c>
    </row>
    <row r="33" spans="1:13" s="29" customFormat="1">
      <c r="A33" s="33" t="s">
        <v>38</v>
      </c>
      <c r="B33" s="31"/>
      <c r="C33" s="44"/>
      <c r="D33" s="44"/>
      <c r="E33" s="44"/>
      <c r="F33" s="44"/>
      <c r="G33" s="44"/>
      <c r="H33" s="44"/>
      <c r="I33" s="34"/>
      <c r="J33" s="62"/>
      <c r="K33" s="62"/>
      <c r="L33" s="34"/>
      <c r="M33" s="53"/>
    </row>
    <row r="34" spans="1:13" s="52" customFormat="1">
      <c r="A34" s="47" t="s">
        <v>101</v>
      </c>
      <c r="B34" s="48" t="s">
        <v>14</v>
      </c>
      <c r="C34" s="43">
        <v>35</v>
      </c>
      <c r="D34" s="43">
        <v>45</v>
      </c>
      <c r="E34" s="43">
        <v>35</v>
      </c>
      <c r="F34" s="43">
        <v>45</v>
      </c>
      <c r="G34" s="43">
        <v>40</v>
      </c>
      <c r="H34" s="43">
        <v>45</v>
      </c>
      <c r="I34" s="50">
        <f t="shared" ref="I34:I49" si="5">((C34+D34)/2-(G34+H34)/2)/((G34+H34)/2)*100</f>
        <v>-5.8823529411764701</v>
      </c>
      <c r="J34" s="60">
        <v>55</v>
      </c>
      <c r="K34" s="60">
        <v>60</v>
      </c>
      <c r="L34" s="51">
        <f t="shared" ref="L34:L49" si="6">((C34+D34)/2-(J34+K34)/2)/((J34+K34)/2)*100</f>
        <v>-30.434782608695656</v>
      </c>
      <c r="M34" s="53">
        <f>((C34+D34)/2-(E34+F34)/2)/((E34+F34)/2)*100</f>
        <v>0</v>
      </c>
    </row>
    <row r="35" spans="1:13" s="52" customFormat="1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41">
        <v>0</v>
      </c>
      <c r="H35" s="41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>
      <c r="A36" s="47" t="s">
        <v>40</v>
      </c>
      <c r="B36" s="48" t="s">
        <v>14</v>
      </c>
      <c r="C36" s="41">
        <v>90</v>
      </c>
      <c r="D36" s="41">
        <v>140</v>
      </c>
      <c r="E36" s="41">
        <v>80</v>
      </c>
      <c r="F36" s="41">
        <v>140</v>
      </c>
      <c r="G36" s="41">
        <v>70</v>
      </c>
      <c r="H36" s="41">
        <v>140</v>
      </c>
      <c r="I36" s="50">
        <f t="shared" si="5"/>
        <v>9.5238095238095237</v>
      </c>
      <c r="J36" s="60">
        <v>110</v>
      </c>
      <c r="K36" s="60">
        <v>140</v>
      </c>
      <c r="L36" s="51">
        <f t="shared" si="6"/>
        <v>-8</v>
      </c>
      <c r="M36" s="53">
        <f t="shared" si="0"/>
        <v>4.5454545454545459</v>
      </c>
    </row>
    <row r="37" spans="1:13" s="52" customFormat="1">
      <c r="A37" s="47" t="s">
        <v>41</v>
      </c>
      <c r="B37" s="48" t="s">
        <v>14</v>
      </c>
      <c r="C37" s="43">
        <v>120</v>
      </c>
      <c r="D37" s="41">
        <v>200</v>
      </c>
      <c r="E37" s="43">
        <v>120</v>
      </c>
      <c r="F37" s="41">
        <v>210</v>
      </c>
      <c r="G37" s="43">
        <v>140</v>
      </c>
      <c r="H37" s="41">
        <v>220</v>
      </c>
      <c r="I37" s="50">
        <f t="shared" si="5"/>
        <v>-11.111111111111111</v>
      </c>
      <c r="J37" s="60">
        <v>150</v>
      </c>
      <c r="K37" s="60">
        <v>200</v>
      </c>
      <c r="L37" s="51">
        <f t="shared" si="6"/>
        <v>-8.5714285714285712</v>
      </c>
      <c r="M37" s="53">
        <f t="shared" si="0"/>
        <v>-3.0303030303030303</v>
      </c>
    </row>
    <row r="38" spans="1:13" s="52" customFormat="1">
      <c r="A38" s="47" t="s">
        <v>42</v>
      </c>
      <c r="B38" s="48" t="s">
        <v>14</v>
      </c>
      <c r="C38" s="41">
        <v>300</v>
      </c>
      <c r="D38" s="41">
        <v>380</v>
      </c>
      <c r="E38" s="41">
        <v>300</v>
      </c>
      <c r="F38" s="41">
        <v>380</v>
      </c>
      <c r="G38" s="41">
        <v>340</v>
      </c>
      <c r="H38" s="41">
        <v>380</v>
      </c>
      <c r="I38" s="50">
        <f t="shared" si="5"/>
        <v>-5.5555555555555554</v>
      </c>
      <c r="J38" s="60">
        <v>300</v>
      </c>
      <c r="K38" s="60">
        <v>350</v>
      </c>
      <c r="L38" s="51">
        <f t="shared" si="6"/>
        <v>4.6153846153846159</v>
      </c>
      <c r="M38" s="53">
        <f t="shared" si="0"/>
        <v>0</v>
      </c>
    </row>
    <row r="39" spans="1:13" s="52" customFormat="1">
      <c r="A39" s="47" t="s">
        <v>43</v>
      </c>
      <c r="B39" s="48" t="s">
        <v>14</v>
      </c>
      <c r="C39" s="43">
        <v>380</v>
      </c>
      <c r="D39" s="43">
        <v>450</v>
      </c>
      <c r="E39" s="43">
        <v>380</v>
      </c>
      <c r="F39" s="43">
        <v>450</v>
      </c>
      <c r="G39" s="43">
        <v>420</v>
      </c>
      <c r="H39" s="43">
        <v>450</v>
      </c>
      <c r="I39" s="50">
        <f t="shared" si="5"/>
        <v>-4.5977011494252871</v>
      </c>
      <c r="J39" s="60">
        <v>350</v>
      </c>
      <c r="K39" s="60">
        <v>450</v>
      </c>
      <c r="L39" s="51">
        <f t="shared" si="6"/>
        <v>3.75</v>
      </c>
      <c r="M39" s="53">
        <f t="shared" si="0"/>
        <v>0</v>
      </c>
    </row>
    <row r="40" spans="1:13" s="52" customFormat="1">
      <c r="A40" s="47" t="s">
        <v>44</v>
      </c>
      <c r="B40" s="48" t="s">
        <v>14</v>
      </c>
      <c r="C40" s="41">
        <v>320</v>
      </c>
      <c r="D40" s="41">
        <v>350</v>
      </c>
      <c r="E40" s="41">
        <v>320</v>
      </c>
      <c r="F40" s="41">
        <v>350</v>
      </c>
      <c r="G40" s="41">
        <v>280</v>
      </c>
      <c r="H40" s="41">
        <v>350</v>
      </c>
      <c r="I40" s="50">
        <f t="shared" si="5"/>
        <v>6.3492063492063489</v>
      </c>
      <c r="J40" s="60">
        <v>300</v>
      </c>
      <c r="K40" s="60">
        <v>400</v>
      </c>
      <c r="L40" s="51">
        <f t="shared" si="6"/>
        <v>-4.2857142857142856</v>
      </c>
      <c r="M40" s="53">
        <f t="shared" si="0"/>
        <v>0</v>
      </c>
    </row>
    <row r="41" spans="1:13" s="52" customFormat="1">
      <c r="A41" s="47" t="s">
        <v>45</v>
      </c>
      <c r="B41" s="48" t="s">
        <v>14</v>
      </c>
      <c r="C41" s="41">
        <v>300</v>
      </c>
      <c r="D41" s="41">
        <v>350</v>
      </c>
      <c r="E41" s="41">
        <v>300</v>
      </c>
      <c r="F41" s="41">
        <v>350</v>
      </c>
      <c r="G41" s="41">
        <v>250</v>
      </c>
      <c r="H41" s="41">
        <v>400</v>
      </c>
      <c r="I41" s="50">
        <f t="shared" si="5"/>
        <v>0</v>
      </c>
      <c r="J41" s="60">
        <v>280</v>
      </c>
      <c r="K41" s="60">
        <v>420</v>
      </c>
      <c r="L41" s="51">
        <f t="shared" si="6"/>
        <v>-7.1428571428571423</v>
      </c>
      <c r="M41" s="53">
        <f t="shared" si="0"/>
        <v>0</v>
      </c>
    </row>
    <row r="42" spans="1:13" s="52" customFormat="1">
      <c r="A42" s="47" t="s">
        <v>46</v>
      </c>
      <c r="B42" s="48" t="s">
        <v>14</v>
      </c>
      <c r="C42" s="41">
        <v>130</v>
      </c>
      <c r="D42" s="41">
        <v>160</v>
      </c>
      <c r="E42" s="41">
        <v>130</v>
      </c>
      <c r="F42" s="41">
        <v>160</v>
      </c>
      <c r="G42" s="41">
        <v>140</v>
      </c>
      <c r="H42" s="41">
        <v>150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0</v>
      </c>
    </row>
    <row r="43" spans="1:13" s="52" customFormat="1">
      <c r="A43" s="47" t="s">
        <v>47</v>
      </c>
      <c r="B43" s="48" t="s">
        <v>14</v>
      </c>
      <c r="C43" s="41">
        <v>120</v>
      </c>
      <c r="D43" s="41">
        <v>180</v>
      </c>
      <c r="E43" s="41">
        <v>120</v>
      </c>
      <c r="F43" s="41">
        <v>180</v>
      </c>
      <c r="G43" s="41">
        <v>150</v>
      </c>
      <c r="H43" s="41">
        <v>250</v>
      </c>
      <c r="I43" s="50">
        <f t="shared" si="5"/>
        <v>-25</v>
      </c>
      <c r="J43" s="60">
        <v>120</v>
      </c>
      <c r="K43" s="60">
        <v>200</v>
      </c>
      <c r="L43" s="51">
        <f t="shared" si="6"/>
        <v>-6.25</v>
      </c>
      <c r="M43" s="53">
        <f t="shared" si="0"/>
        <v>0</v>
      </c>
    </row>
    <row r="44" spans="1:13" s="52" customFormat="1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43">
        <v>600</v>
      </c>
      <c r="H44" s="41">
        <v>700</v>
      </c>
      <c r="I44" s="50">
        <f t="shared" si="5"/>
        <v>0</v>
      </c>
      <c r="J44" s="60">
        <v>640</v>
      </c>
      <c r="K44" s="60">
        <v>750</v>
      </c>
      <c r="L44" s="51">
        <f t="shared" si="6"/>
        <v>-6.4748201438848918</v>
      </c>
      <c r="M44" s="53">
        <f t="shared" si="0"/>
        <v>0</v>
      </c>
    </row>
    <row r="45" spans="1:13" s="52" customFormat="1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41">
        <v>500</v>
      </c>
      <c r="H45" s="41">
        <v>600</v>
      </c>
      <c r="I45" s="50">
        <f t="shared" si="5"/>
        <v>0</v>
      </c>
      <c r="J45" s="60">
        <v>500</v>
      </c>
      <c r="K45" s="60">
        <v>600</v>
      </c>
      <c r="L45" s="51">
        <f t="shared" si="6"/>
        <v>0</v>
      </c>
      <c r="M45" s="53">
        <f t="shared" si="0"/>
        <v>0</v>
      </c>
    </row>
    <row r="46" spans="1:13" s="52" customFormat="1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41">
        <v>1400</v>
      </c>
      <c r="H46" s="41">
        <v>1600</v>
      </c>
      <c r="I46" s="50">
        <f t="shared" si="5"/>
        <v>0</v>
      </c>
      <c r="J46" s="60">
        <v>1400</v>
      </c>
      <c r="K46" s="60">
        <v>1600</v>
      </c>
      <c r="L46" s="51">
        <f t="shared" si="6"/>
        <v>0</v>
      </c>
      <c r="M46" s="53">
        <f t="shared" si="0"/>
        <v>0</v>
      </c>
    </row>
    <row r="47" spans="1:13" s="52" customFormat="1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43">
        <v>4600</v>
      </c>
      <c r="H47" s="41">
        <v>5500</v>
      </c>
      <c r="I47" s="50">
        <f t="shared" si="5"/>
        <v>0</v>
      </c>
      <c r="J47" s="60">
        <v>4500</v>
      </c>
      <c r="K47" s="60">
        <v>5200</v>
      </c>
      <c r="L47" s="51">
        <f t="shared" si="6"/>
        <v>4.1237113402061851</v>
      </c>
      <c r="M47" s="53">
        <f t="shared" si="0"/>
        <v>0</v>
      </c>
    </row>
    <row r="48" spans="1:13" s="52" customFormat="1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41">
        <v>180</v>
      </c>
      <c r="H48" s="41">
        <v>280</v>
      </c>
      <c r="I48" s="50">
        <f t="shared" si="5"/>
        <v>0</v>
      </c>
      <c r="J48" s="60">
        <v>180</v>
      </c>
      <c r="K48" s="60">
        <v>280</v>
      </c>
      <c r="L48" s="51">
        <f t="shared" si="6"/>
        <v>0</v>
      </c>
      <c r="M48" s="53">
        <f t="shared" si="0"/>
        <v>0</v>
      </c>
    </row>
    <row r="49" spans="1:13" s="52" customFormat="1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41">
        <v>180</v>
      </c>
      <c r="H49" s="41">
        <v>220</v>
      </c>
      <c r="I49" s="50">
        <f t="shared" si="5"/>
        <v>0</v>
      </c>
      <c r="J49" s="60">
        <v>150</v>
      </c>
      <c r="K49" s="60">
        <v>220</v>
      </c>
      <c r="L49" s="51">
        <f t="shared" si="6"/>
        <v>8.1081081081081088</v>
      </c>
      <c r="M49" s="53">
        <f t="shared" si="0"/>
        <v>0</v>
      </c>
    </row>
    <row r="50" spans="1:13" s="29" customFormat="1">
      <c r="A50" s="30" t="s">
        <v>54</v>
      </c>
      <c r="B50" s="31"/>
      <c r="C50" s="44"/>
      <c r="D50" s="44"/>
      <c r="E50" s="44"/>
      <c r="F50" s="44"/>
      <c r="G50" s="44"/>
      <c r="H50" s="44"/>
      <c r="I50" s="34"/>
      <c r="J50" s="62"/>
      <c r="K50" s="62"/>
      <c r="L50" s="34"/>
      <c r="M50" s="53"/>
    </row>
    <row r="51" spans="1:13" s="52" customFormat="1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41">
        <v>300</v>
      </c>
      <c r="H51" s="41">
        <v>450</v>
      </c>
      <c r="I51" s="50">
        <f t="shared" ref="I51:I56" si="7">((C51+D51)/2-(G51+H51)/2)/((G51+H51)/2)*100</f>
        <v>0</v>
      </c>
      <c r="J51" s="60">
        <v>280</v>
      </c>
      <c r="K51" s="60">
        <v>400</v>
      </c>
      <c r="L51" s="51">
        <f t="shared" ref="L51:L56" si="8">((C51+D51)/2-(J51+K51)/2)/((J51+K51)/2)*100</f>
        <v>10.294117647058822</v>
      </c>
      <c r="M51" s="53">
        <f t="shared" si="0"/>
        <v>0</v>
      </c>
    </row>
    <row r="52" spans="1:13" s="52" customFormat="1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41">
        <v>800</v>
      </c>
      <c r="H52" s="41">
        <v>1800</v>
      </c>
      <c r="I52" s="50">
        <f t="shared" si="7"/>
        <v>0</v>
      </c>
      <c r="J52" s="60">
        <v>900</v>
      </c>
      <c r="K52" s="60">
        <v>1800</v>
      </c>
      <c r="L52" s="51">
        <f t="shared" si="8"/>
        <v>-3.7037037037037033</v>
      </c>
      <c r="M52" s="53">
        <f t="shared" si="0"/>
        <v>0</v>
      </c>
    </row>
    <row r="53" spans="1:13" s="52" customFormat="1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41">
        <v>780</v>
      </c>
      <c r="H53" s="41">
        <v>850</v>
      </c>
      <c r="I53" s="50">
        <f t="shared" si="7"/>
        <v>0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>
      <c r="A54" s="47" t="s">
        <v>85</v>
      </c>
      <c r="B54" s="48" t="s">
        <v>14</v>
      </c>
      <c r="C54" s="41">
        <v>1200</v>
      </c>
      <c r="D54" s="41">
        <v>1350</v>
      </c>
      <c r="E54" s="41">
        <v>1200</v>
      </c>
      <c r="F54" s="41">
        <v>1350</v>
      </c>
      <c r="G54" s="41">
        <v>1200</v>
      </c>
      <c r="H54" s="41">
        <v>1300</v>
      </c>
      <c r="I54" s="50">
        <f t="shared" si="7"/>
        <v>2</v>
      </c>
      <c r="J54" s="60">
        <v>1100</v>
      </c>
      <c r="K54" s="60">
        <v>1250</v>
      </c>
      <c r="L54" s="51">
        <f t="shared" si="8"/>
        <v>8.5106382978723403</v>
      </c>
      <c r="M54" s="53">
        <f t="shared" si="0"/>
        <v>0</v>
      </c>
    </row>
    <row r="55" spans="1:13" s="52" customFormat="1">
      <c r="A55" s="47" t="s">
        <v>57</v>
      </c>
      <c r="B55" s="48" t="s">
        <v>14</v>
      </c>
      <c r="C55" s="41">
        <v>170</v>
      </c>
      <c r="D55" s="41">
        <v>190</v>
      </c>
      <c r="E55" s="41">
        <v>160</v>
      </c>
      <c r="F55" s="41">
        <v>180</v>
      </c>
      <c r="G55" s="41">
        <v>180</v>
      </c>
      <c r="H55" s="41">
        <v>200</v>
      </c>
      <c r="I55" s="50">
        <f t="shared" si="7"/>
        <v>-5.2631578947368416</v>
      </c>
      <c r="J55" s="60">
        <v>150</v>
      </c>
      <c r="K55" s="60">
        <v>160</v>
      </c>
      <c r="L55" s="51">
        <f t="shared" si="8"/>
        <v>16.129032258064516</v>
      </c>
      <c r="M55" s="53">
        <f t="shared" si="0"/>
        <v>5.8823529411764701</v>
      </c>
    </row>
    <row r="56" spans="1:13" s="52" customFormat="1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41">
        <v>600</v>
      </c>
      <c r="H56" s="41">
        <v>750</v>
      </c>
      <c r="I56" s="50">
        <f t="shared" si="7"/>
        <v>0</v>
      </c>
      <c r="J56" s="60">
        <v>580</v>
      </c>
      <c r="K56" s="60">
        <v>700</v>
      </c>
      <c r="L56" s="51">
        <f t="shared" si="8"/>
        <v>5.46875</v>
      </c>
      <c r="M56" s="53">
        <f t="shared" si="0"/>
        <v>0</v>
      </c>
    </row>
    <row r="57" spans="1:13" s="29" customFormat="1">
      <c r="A57" s="35" t="s">
        <v>59</v>
      </c>
      <c r="B57" s="36"/>
      <c r="C57" s="45"/>
      <c r="D57" s="45"/>
      <c r="E57" s="45"/>
      <c r="F57" s="45"/>
      <c r="G57" s="45"/>
      <c r="H57" s="45"/>
      <c r="I57" s="36"/>
      <c r="J57" s="63"/>
      <c r="K57" s="63"/>
      <c r="L57" s="36"/>
      <c r="M57" s="53"/>
    </row>
    <row r="58" spans="1:13" s="52" customFormat="1" ht="23.25" customHeight="1">
      <c r="A58" s="47" t="s">
        <v>60</v>
      </c>
      <c r="B58" s="48" t="s">
        <v>61</v>
      </c>
      <c r="C58" s="41">
        <v>830</v>
      </c>
      <c r="D58" s="41">
        <v>900</v>
      </c>
      <c r="E58" s="41">
        <v>830</v>
      </c>
      <c r="F58" s="41">
        <v>900</v>
      </c>
      <c r="G58" s="41">
        <v>720</v>
      </c>
      <c r="H58" s="41">
        <v>860</v>
      </c>
      <c r="I58" s="50">
        <f>((C58+D58)/2-(G59+H59)/2)/((G59+H59)/2)*100</f>
        <v>-2.2598870056497176</v>
      </c>
      <c r="J58" s="60">
        <v>720</v>
      </c>
      <c r="K58" s="60">
        <v>860</v>
      </c>
      <c r="L58" s="51">
        <f>((C58+D58)/2-(J59+K59)/2)/((J59+K59)/2)*100</f>
        <v>-1.1428571428571428</v>
      </c>
      <c r="M58" s="53">
        <f t="shared" si="0"/>
        <v>0</v>
      </c>
    </row>
    <row r="59" spans="1:13" s="52" customFormat="1" ht="20.25" customHeight="1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41">
        <v>850</v>
      </c>
      <c r="H59" s="41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41">
        <v>830</v>
      </c>
      <c r="H60" s="41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41">
        <v>830</v>
      </c>
      <c r="H61" s="41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>
      <c r="A62" s="7"/>
      <c r="B62" s="1"/>
      <c r="C62" s="3"/>
      <c r="D62" s="3"/>
      <c r="E62" s="3"/>
      <c r="F62" s="3"/>
      <c r="G62" s="68"/>
      <c r="H62" s="68"/>
      <c r="I62" s="4"/>
      <c r="J62" s="3"/>
      <c r="K62" s="3"/>
      <c r="L62" s="5"/>
    </row>
    <row r="63" spans="1:13" ht="25.5" customHeight="1">
      <c r="A63" s="7"/>
      <c r="B63" s="1"/>
      <c r="C63" s="3"/>
      <c r="D63" s="3"/>
      <c r="E63" s="3"/>
      <c r="F63" s="3"/>
      <c r="G63" s="68"/>
      <c r="H63" s="68"/>
      <c r="I63" s="4"/>
      <c r="J63" s="3"/>
      <c r="K63" s="3"/>
      <c r="L63" s="5"/>
    </row>
    <row r="64" spans="1:13" ht="25.5" customHeight="1">
      <c r="A64" s="7"/>
      <c r="B64" s="1"/>
      <c r="C64" s="3"/>
      <c r="D64" s="3"/>
      <c r="E64" s="3"/>
      <c r="F64" s="3"/>
      <c r="G64" s="68"/>
      <c r="H64" s="68"/>
      <c r="I64" s="4"/>
      <c r="J64" s="3"/>
      <c r="K64" s="3"/>
      <c r="L64" s="5"/>
    </row>
    <row r="65" spans="1:13">
      <c r="A65" s="82" t="s">
        <v>1</v>
      </c>
      <c r="B65" s="82" t="s">
        <v>2</v>
      </c>
      <c r="C65" s="71" t="s">
        <v>3</v>
      </c>
      <c r="D65" s="73"/>
      <c r="E65" s="71" t="s">
        <v>4</v>
      </c>
      <c r="F65" s="73"/>
      <c r="G65" s="71" t="s">
        <v>5</v>
      </c>
      <c r="H65" s="73"/>
      <c r="I65" s="26" t="s">
        <v>6</v>
      </c>
      <c r="J65" s="71" t="s">
        <v>7</v>
      </c>
      <c r="K65" s="73"/>
      <c r="L65" s="26" t="s">
        <v>8</v>
      </c>
    </row>
    <row r="66" spans="1:13" ht="18" customHeight="1">
      <c r="A66" s="83"/>
      <c r="B66" s="83"/>
      <c r="C66" s="86">
        <v>46209</v>
      </c>
      <c r="D66" s="87"/>
      <c r="E66" s="86">
        <v>46202</v>
      </c>
      <c r="F66" s="87"/>
      <c r="G66" s="86">
        <v>46179</v>
      </c>
      <c r="H66" s="87"/>
      <c r="I66" s="26" t="s">
        <v>9</v>
      </c>
      <c r="J66" s="84">
        <v>45843</v>
      </c>
      <c r="K66" s="85"/>
      <c r="L66" s="26" t="s">
        <v>9</v>
      </c>
    </row>
    <row r="67" spans="1:1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31" t="s">
        <v>10</v>
      </c>
      <c r="H67" s="31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41">
        <v>105</v>
      </c>
      <c r="H68" s="41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41">
        <v>350</v>
      </c>
      <c r="H69" s="41">
        <v>550</v>
      </c>
      <c r="I69" s="50">
        <f>((C69+D69)/2-(G69+H69)/2)/((G69+H69)/2)*100</f>
        <v>0</v>
      </c>
      <c r="J69" s="60">
        <v>250</v>
      </c>
      <c r="K69" s="60">
        <v>550</v>
      </c>
      <c r="L69" s="51">
        <f t="shared" si="9"/>
        <v>12.5</v>
      </c>
      <c r="M69" s="53">
        <f t="shared" si="0"/>
        <v>0</v>
      </c>
    </row>
    <row r="70" spans="1:13" s="53" customFormat="1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41">
        <v>38</v>
      </c>
      <c r="H70" s="41">
        <v>42</v>
      </c>
      <c r="I70" s="50">
        <f t="shared" ref="I70" si="10">((C70+D70)/2-(G72+H72)/2)/((G72+H72)/2)*100</f>
        <v>-60</v>
      </c>
      <c r="J70" s="60">
        <v>38</v>
      </c>
      <c r="K70" s="60">
        <v>42</v>
      </c>
      <c r="L70" s="51">
        <f t="shared" si="9"/>
        <v>0</v>
      </c>
      <c r="M70" s="53">
        <f t="shared" si="0"/>
        <v>0</v>
      </c>
    </row>
    <row r="71" spans="1:13" s="53" customFormat="1" ht="19.5">
      <c r="A71" s="47" t="s">
        <v>104</v>
      </c>
      <c r="B71" s="54" t="s">
        <v>69</v>
      </c>
      <c r="C71" s="41">
        <v>20</v>
      </c>
      <c r="D71" s="41">
        <v>25</v>
      </c>
      <c r="E71" s="41">
        <v>20</v>
      </c>
      <c r="F71" s="41">
        <v>30</v>
      </c>
      <c r="G71" s="41">
        <v>20</v>
      </c>
      <c r="H71" s="41">
        <v>40</v>
      </c>
      <c r="I71" s="50">
        <f t="shared" ref="I71:I78" si="11">((C71+D71)/2-(G71+H71)/2)/((G71+H71)/2)*100</f>
        <v>-25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-10</v>
      </c>
    </row>
    <row r="72" spans="1:13" s="53" customFormat="1" ht="19.5">
      <c r="A72" s="47" t="s">
        <v>105</v>
      </c>
      <c r="B72" s="54" t="s">
        <v>14</v>
      </c>
      <c r="C72" s="41">
        <v>80</v>
      </c>
      <c r="D72" s="41">
        <v>150</v>
      </c>
      <c r="E72" s="41">
        <v>80</v>
      </c>
      <c r="F72" s="41">
        <v>120</v>
      </c>
      <c r="G72" s="41">
        <v>80</v>
      </c>
      <c r="H72" s="41">
        <v>120</v>
      </c>
      <c r="I72" s="50">
        <f t="shared" si="11"/>
        <v>15</v>
      </c>
      <c r="J72" s="49">
        <v>60</v>
      </c>
      <c r="K72" s="49">
        <v>120</v>
      </c>
      <c r="L72" s="51">
        <f t="shared" si="9"/>
        <v>27.777777777777779</v>
      </c>
      <c r="M72" s="53">
        <f t="shared" si="12"/>
        <v>15</v>
      </c>
    </row>
    <row r="73" spans="1:13" s="53" customFormat="1" ht="19.5">
      <c r="A73" s="47" t="s">
        <v>106</v>
      </c>
      <c r="B73" s="54" t="s">
        <v>14</v>
      </c>
      <c r="C73" s="41">
        <v>60</v>
      </c>
      <c r="D73" s="41">
        <v>100</v>
      </c>
      <c r="E73" s="41">
        <v>80</v>
      </c>
      <c r="F73" s="41">
        <v>90</v>
      </c>
      <c r="G73" s="41">
        <v>80</v>
      </c>
      <c r="H73" s="41">
        <v>110</v>
      </c>
      <c r="I73" s="50">
        <f t="shared" si="11"/>
        <v>-15.789473684210526</v>
      </c>
      <c r="J73" s="49">
        <v>60</v>
      </c>
      <c r="K73" s="49">
        <v>100</v>
      </c>
      <c r="L73" s="51">
        <f t="shared" si="9"/>
        <v>0</v>
      </c>
      <c r="M73" s="53">
        <f t="shared" si="12"/>
        <v>-5.8823529411764701</v>
      </c>
    </row>
    <row r="74" spans="1:13" s="53" customFormat="1" ht="19.5">
      <c r="A74" s="47" t="s">
        <v>107</v>
      </c>
      <c r="B74" s="54" t="s">
        <v>14</v>
      </c>
      <c r="C74" s="41">
        <v>60</v>
      </c>
      <c r="D74" s="41">
        <v>80</v>
      </c>
      <c r="E74" s="41">
        <v>50</v>
      </c>
      <c r="F74" s="41">
        <v>80</v>
      </c>
      <c r="G74" s="41">
        <v>50</v>
      </c>
      <c r="H74" s="41">
        <v>80</v>
      </c>
      <c r="I74" s="50">
        <f t="shared" si="11"/>
        <v>7.6923076923076925</v>
      </c>
      <c r="J74" s="49">
        <v>50</v>
      </c>
      <c r="K74" s="49">
        <v>80</v>
      </c>
      <c r="L74" s="51">
        <f t="shared" si="9"/>
        <v>7.6923076923076925</v>
      </c>
      <c r="M74" s="53">
        <f t="shared" si="12"/>
        <v>7.6923076923076925</v>
      </c>
    </row>
    <row r="75" spans="1:13" s="53" customFormat="1" ht="18.75" customHeight="1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46">
        <v>45</v>
      </c>
      <c r="H75" s="46">
        <v>50</v>
      </c>
      <c r="I75" s="50">
        <f t="shared" si="11"/>
        <v>0</v>
      </c>
      <c r="J75" s="64">
        <v>40</v>
      </c>
      <c r="K75" s="64">
        <v>46</v>
      </c>
      <c r="L75" s="51">
        <f t="shared" si="9"/>
        <v>10.465116279069768</v>
      </c>
      <c r="M75" s="53">
        <f t="shared" si="12"/>
        <v>0</v>
      </c>
    </row>
    <row r="76" spans="1:13" s="53" customFormat="1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46">
        <v>34</v>
      </c>
      <c r="H76" s="46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>
      <c r="A77" s="47" t="s">
        <v>72</v>
      </c>
      <c r="B77" s="48" t="s">
        <v>73</v>
      </c>
      <c r="C77" s="41">
        <v>88000</v>
      </c>
      <c r="D77" s="41">
        <v>92000</v>
      </c>
      <c r="E77" s="41">
        <v>88000</v>
      </c>
      <c r="F77" s="41">
        <v>92000</v>
      </c>
      <c r="G77" s="41">
        <v>85000</v>
      </c>
      <c r="H77" s="41">
        <v>90000</v>
      </c>
      <c r="I77" s="50">
        <f t="shared" si="11"/>
        <v>2.8571428571428572</v>
      </c>
      <c r="J77" s="60">
        <v>85000</v>
      </c>
      <c r="K77" s="60">
        <v>91500</v>
      </c>
      <c r="L77" s="51">
        <f t="shared" si="9"/>
        <v>1.9830028328611897</v>
      </c>
      <c r="M77" s="53">
        <f t="shared" si="12"/>
        <v>0</v>
      </c>
    </row>
    <row r="78" spans="1:13" s="53" customFormat="1">
      <c r="A78" s="47" t="s">
        <v>74</v>
      </c>
      <c r="B78" s="48" t="s">
        <v>73</v>
      </c>
      <c r="C78" s="41">
        <v>83500</v>
      </c>
      <c r="D78" s="46">
        <v>84000</v>
      </c>
      <c r="E78" s="41">
        <v>83500</v>
      </c>
      <c r="F78" s="46">
        <v>84000</v>
      </c>
      <c r="G78" s="41">
        <v>81000</v>
      </c>
      <c r="H78" s="46">
        <v>83000</v>
      </c>
      <c r="I78" s="50">
        <f t="shared" si="11"/>
        <v>2.1341463414634148</v>
      </c>
      <c r="J78" s="60">
        <v>78000</v>
      </c>
      <c r="K78" s="64">
        <v>82500</v>
      </c>
      <c r="L78" s="51">
        <f t="shared" si="9"/>
        <v>4.361370716510903</v>
      </c>
      <c r="M78" s="53">
        <f t="shared" si="12"/>
        <v>0</v>
      </c>
    </row>
    <row r="79" spans="1:13" ht="23.25" customHeight="1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>
      <c r="A81" s="7"/>
      <c r="B81" s="76" t="s">
        <v>134</v>
      </c>
      <c r="C81" s="76"/>
      <c r="D81" s="76"/>
      <c r="E81" s="76"/>
      <c r="F81" s="76"/>
      <c r="G81" s="76"/>
      <c r="H81" s="76"/>
      <c r="I81" s="76"/>
      <c r="J81" s="76"/>
      <c r="K81" s="76"/>
      <c r="L81" s="76"/>
    </row>
    <row r="82" spans="1:12">
      <c r="A82" s="7"/>
      <c r="B82" s="76" t="s">
        <v>133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</row>
    <row r="83" spans="1:12">
      <c r="A83" s="7"/>
      <c r="B83" s="7" t="s">
        <v>121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>
      <c r="A85" s="25" t="s">
        <v>76</v>
      </c>
      <c r="B85" s="26" t="s">
        <v>77</v>
      </c>
      <c r="C85" s="71" t="s">
        <v>3</v>
      </c>
      <c r="D85" s="73"/>
      <c r="E85" s="74" t="s">
        <v>78</v>
      </c>
      <c r="F85" s="75"/>
      <c r="G85" s="27" t="s">
        <v>9</v>
      </c>
      <c r="H85" s="71" t="s">
        <v>79</v>
      </c>
      <c r="I85" s="72"/>
      <c r="J85" s="73"/>
      <c r="K85" s="10"/>
      <c r="L85" s="2"/>
    </row>
    <row r="86" spans="1:12">
      <c r="A86" s="47" t="s">
        <v>13</v>
      </c>
      <c r="B86" s="48" t="s">
        <v>14</v>
      </c>
      <c r="C86" s="41">
        <v>70</v>
      </c>
      <c r="D86" s="41">
        <v>85</v>
      </c>
      <c r="E86" s="41">
        <v>72</v>
      </c>
      <c r="F86" s="41">
        <v>85</v>
      </c>
      <c r="G86" s="32">
        <f t="shared" ref="G86:G87" si="13">((C86+D86)/2-(E86+F86)/2)/((E86+F86)/2)*100</f>
        <v>-1.2738853503184715</v>
      </c>
      <c r="H86" s="71" t="s">
        <v>132</v>
      </c>
      <c r="I86" s="72"/>
      <c r="J86" s="73"/>
      <c r="K86" s="10"/>
      <c r="L86" s="2"/>
    </row>
    <row r="87" spans="1:12">
      <c r="A87" s="47" t="s">
        <v>15</v>
      </c>
      <c r="B87" s="48" t="s">
        <v>14</v>
      </c>
      <c r="C87" s="41">
        <v>48</v>
      </c>
      <c r="D87" s="41">
        <v>60</v>
      </c>
      <c r="E87" s="41">
        <v>50</v>
      </c>
      <c r="F87" s="41">
        <v>60</v>
      </c>
      <c r="G87" s="32">
        <f t="shared" si="13"/>
        <v>-1.8181818181818181</v>
      </c>
      <c r="H87" s="71" t="s">
        <v>132</v>
      </c>
      <c r="I87" s="72"/>
      <c r="J87" s="73"/>
      <c r="K87" s="10"/>
      <c r="L87" s="2"/>
    </row>
    <row r="88" spans="1:12">
      <c r="A88" s="47" t="s">
        <v>17</v>
      </c>
      <c r="B88" s="48" t="s">
        <v>14</v>
      </c>
      <c r="C88" s="41">
        <v>40</v>
      </c>
      <c r="D88" s="41">
        <v>45</v>
      </c>
      <c r="E88" s="41">
        <v>45</v>
      </c>
      <c r="F88" s="41">
        <v>46</v>
      </c>
      <c r="G88" s="32">
        <f t="shared" ref="G88:G89" si="14">((C88+D88)/2-(E88+F88)/2)/((E88+F88)/2)*100</f>
        <v>-6.593406593406594</v>
      </c>
      <c r="H88" s="71" t="s">
        <v>127</v>
      </c>
      <c r="I88" s="72"/>
      <c r="J88" s="73"/>
      <c r="K88" s="10"/>
      <c r="L88" s="2"/>
    </row>
    <row r="89" spans="1:12">
      <c r="A89" s="47" t="s">
        <v>23</v>
      </c>
      <c r="B89" s="48" t="s">
        <v>24</v>
      </c>
      <c r="C89" s="43">
        <v>188</v>
      </c>
      <c r="D89" s="41">
        <v>195</v>
      </c>
      <c r="E89" s="43">
        <v>186</v>
      </c>
      <c r="F89" s="41">
        <v>192</v>
      </c>
      <c r="G89" s="32">
        <f t="shared" si="14"/>
        <v>1.3227513227513228</v>
      </c>
      <c r="H89" s="71" t="s">
        <v>126</v>
      </c>
      <c r="I89" s="72"/>
      <c r="J89" s="73"/>
      <c r="K89" s="10"/>
      <c r="L89" s="2"/>
    </row>
    <row r="90" spans="1:12">
      <c r="A90" s="47" t="s">
        <v>40</v>
      </c>
      <c r="B90" s="48" t="s">
        <v>14</v>
      </c>
      <c r="C90" s="41">
        <v>90</v>
      </c>
      <c r="D90" s="41">
        <v>140</v>
      </c>
      <c r="E90" s="41">
        <v>80</v>
      </c>
      <c r="F90" s="41">
        <v>140</v>
      </c>
      <c r="G90" s="32">
        <f t="shared" ref="G90:G96" si="15">((C90+D90)/2-(E90+F90)/2)/((E90+F90)/2)*100</f>
        <v>4.5454545454545459</v>
      </c>
      <c r="H90" s="71" t="s">
        <v>131</v>
      </c>
      <c r="I90" s="72"/>
      <c r="J90" s="73"/>
      <c r="K90" s="10"/>
      <c r="L90" s="2"/>
    </row>
    <row r="91" spans="1:12">
      <c r="A91" s="47" t="s">
        <v>41</v>
      </c>
      <c r="B91" s="48" t="s">
        <v>14</v>
      </c>
      <c r="C91" s="43">
        <v>120</v>
      </c>
      <c r="D91" s="41">
        <v>200</v>
      </c>
      <c r="E91" s="43">
        <v>120</v>
      </c>
      <c r="F91" s="41">
        <v>210</v>
      </c>
      <c r="G91" s="32">
        <f t="shared" si="15"/>
        <v>-3.0303030303030303</v>
      </c>
      <c r="H91" s="71" t="s">
        <v>124</v>
      </c>
      <c r="I91" s="72"/>
      <c r="J91" s="73"/>
      <c r="K91" s="10"/>
      <c r="L91" s="2"/>
    </row>
    <row r="92" spans="1:12">
      <c r="A92" s="47" t="s">
        <v>57</v>
      </c>
      <c r="B92" s="48" t="s">
        <v>14</v>
      </c>
      <c r="C92" s="43">
        <v>170</v>
      </c>
      <c r="D92" s="41">
        <v>190</v>
      </c>
      <c r="E92" s="43">
        <v>160</v>
      </c>
      <c r="F92" s="41">
        <v>180</v>
      </c>
      <c r="G92" s="32">
        <f t="shared" si="15"/>
        <v>5.8823529411764701</v>
      </c>
      <c r="H92" s="71" t="s">
        <v>131</v>
      </c>
      <c r="I92" s="72"/>
      <c r="J92" s="73"/>
      <c r="K92" s="10"/>
      <c r="L92" s="2"/>
    </row>
    <row r="93" spans="1:12">
      <c r="A93" s="47" t="s">
        <v>104</v>
      </c>
      <c r="B93" s="54" t="s">
        <v>69</v>
      </c>
      <c r="C93" s="41">
        <v>20</v>
      </c>
      <c r="D93" s="41">
        <v>25</v>
      </c>
      <c r="E93" s="41">
        <v>20</v>
      </c>
      <c r="F93" s="41">
        <v>30</v>
      </c>
      <c r="G93" s="32">
        <f t="shared" si="15"/>
        <v>-10</v>
      </c>
      <c r="H93" s="71" t="s">
        <v>125</v>
      </c>
      <c r="I93" s="72"/>
      <c r="J93" s="73"/>
      <c r="K93" s="10"/>
      <c r="L93" s="2"/>
    </row>
    <row r="94" spans="1:12">
      <c r="A94" s="47" t="s">
        <v>105</v>
      </c>
      <c r="B94" s="54" t="s">
        <v>14</v>
      </c>
      <c r="C94" s="41">
        <v>80</v>
      </c>
      <c r="D94" s="41">
        <v>150</v>
      </c>
      <c r="E94" s="41">
        <v>80</v>
      </c>
      <c r="F94" s="41">
        <v>120</v>
      </c>
      <c r="G94" s="32">
        <f t="shared" si="15"/>
        <v>15</v>
      </c>
      <c r="H94" s="71" t="s">
        <v>126</v>
      </c>
      <c r="I94" s="72"/>
      <c r="J94" s="73"/>
      <c r="K94" s="10"/>
      <c r="L94" s="2"/>
    </row>
    <row r="95" spans="1:12">
      <c r="A95" s="47" t="s">
        <v>106</v>
      </c>
      <c r="B95" s="54" t="s">
        <v>14</v>
      </c>
      <c r="C95" s="41">
        <v>60</v>
      </c>
      <c r="D95" s="41">
        <v>100</v>
      </c>
      <c r="E95" s="41">
        <v>80</v>
      </c>
      <c r="F95" s="41">
        <v>90</v>
      </c>
      <c r="G95" s="32">
        <f t="shared" si="15"/>
        <v>-5.8823529411764701</v>
      </c>
      <c r="H95" s="71" t="s">
        <v>127</v>
      </c>
      <c r="I95" s="72"/>
      <c r="J95" s="73"/>
      <c r="K95" s="10"/>
      <c r="L95" s="55"/>
    </row>
    <row r="96" spans="1:12">
      <c r="A96" s="47" t="s">
        <v>107</v>
      </c>
      <c r="B96" s="54" t="s">
        <v>14</v>
      </c>
      <c r="C96" s="41">
        <v>60</v>
      </c>
      <c r="D96" s="41">
        <v>80</v>
      </c>
      <c r="E96" s="41">
        <v>50</v>
      </c>
      <c r="F96" s="41">
        <v>80</v>
      </c>
      <c r="G96" s="32">
        <f t="shared" si="15"/>
        <v>7.6923076923076925</v>
      </c>
      <c r="H96" s="71" t="s">
        <v>126</v>
      </c>
      <c r="I96" s="72"/>
      <c r="J96" s="73"/>
      <c r="K96" s="10"/>
      <c r="L96" s="12"/>
    </row>
    <row r="97" spans="1:12">
      <c r="A97" s="66"/>
      <c r="B97" s="67"/>
      <c r="C97" s="68"/>
      <c r="D97" s="69"/>
      <c r="E97" s="68"/>
      <c r="F97" s="69"/>
      <c r="G97" s="70"/>
      <c r="H97" s="7"/>
      <c r="I97" s="1"/>
      <c r="J97" s="1"/>
      <c r="K97" s="10"/>
      <c r="L97" s="12"/>
    </row>
    <row r="98" spans="1:12">
      <c r="A98" s="7"/>
      <c r="B98" s="13"/>
      <c r="C98" s="3"/>
      <c r="D98" s="3"/>
      <c r="E98" s="3"/>
      <c r="F98" s="3"/>
      <c r="G98" s="4"/>
      <c r="H98" s="7"/>
      <c r="I98" s="1"/>
      <c r="J98" s="1"/>
      <c r="K98" s="12"/>
      <c r="L98" s="12"/>
    </row>
    <row r="99" spans="1:12">
      <c r="A99" s="7"/>
      <c r="B99" s="14" t="s">
        <v>114</v>
      </c>
      <c r="C99" s="2"/>
      <c r="E99" s="7"/>
      <c r="F99" s="14" t="s">
        <v>102</v>
      </c>
      <c r="G99" s="2"/>
      <c r="I99" s="15"/>
      <c r="J99" s="1" t="s">
        <v>122</v>
      </c>
      <c r="K99" s="2"/>
      <c r="L99" s="12"/>
    </row>
    <row r="100" spans="1:12">
      <c r="A100" s="16"/>
      <c r="B100" s="14" t="s">
        <v>113</v>
      </c>
      <c r="C100" s="1"/>
      <c r="E100" s="16"/>
      <c r="F100" s="14" t="s">
        <v>103</v>
      </c>
      <c r="G100" s="1"/>
      <c r="I100" s="17"/>
      <c r="J100" s="1" t="s">
        <v>123</v>
      </c>
      <c r="L100" s="12"/>
    </row>
    <row r="101" spans="1:12">
      <c r="A101" s="7"/>
      <c r="B101" s="13"/>
      <c r="C101" s="3"/>
      <c r="D101" s="3"/>
      <c r="E101" s="3"/>
      <c r="F101" s="3"/>
      <c r="G101" s="4"/>
      <c r="H101" s="7"/>
      <c r="I101" s="1"/>
      <c r="J101" s="1"/>
      <c r="K101" s="12"/>
      <c r="L101" s="12"/>
    </row>
    <row r="102" spans="1:12">
      <c r="A102" s="7"/>
      <c r="B102" s="1"/>
      <c r="C102" s="3"/>
      <c r="D102" s="3"/>
      <c r="E102" s="3"/>
      <c r="F102" s="3"/>
      <c r="G102" s="4"/>
      <c r="H102" s="18"/>
      <c r="I102" s="12"/>
      <c r="J102" s="12"/>
      <c r="K102" s="12"/>
      <c r="L102" s="12"/>
    </row>
    <row r="103" spans="1:12">
      <c r="A103" s="7"/>
      <c r="C103" s="6"/>
      <c r="D103" s="6"/>
      <c r="E103" s="1"/>
      <c r="F103" s="6"/>
      <c r="G103" s="4"/>
      <c r="H103" s="18"/>
      <c r="I103" s="12"/>
      <c r="J103" s="12"/>
      <c r="K103" s="12"/>
      <c r="L103" s="12"/>
    </row>
    <row r="104" spans="1:12">
      <c r="A104" s="19" t="s">
        <v>86</v>
      </c>
      <c r="B104" s="20"/>
      <c r="C104" s="21"/>
      <c r="D104" s="20"/>
      <c r="E104" s="21"/>
      <c r="F104" s="21"/>
      <c r="G104" s="21"/>
      <c r="H104" s="22"/>
      <c r="I104" s="2"/>
      <c r="J104" s="2"/>
      <c r="K104" s="2"/>
      <c r="L104" s="2"/>
    </row>
    <row r="105" spans="1:12">
      <c r="A105" s="23" t="s">
        <v>115</v>
      </c>
      <c r="B105" s="20"/>
      <c r="C105" s="21"/>
      <c r="D105" s="20"/>
      <c r="E105" s="21"/>
      <c r="F105" s="21"/>
      <c r="G105" s="20"/>
      <c r="H105" s="22"/>
      <c r="I105" s="2"/>
      <c r="J105" s="2"/>
      <c r="K105" s="2"/>
      <c r="L105" s="2"/>
    </row>
    <row r="106" spans="1:12">
      <c r="A106" s="23" t="s">
        <v>108</v>
      </c>
      <c r="B106" s="20"/>
      <c r="C106" s="20"/>
      <c r="D106" s="20"/>
      <c r="E106" s="20"/>
      <c r="F106" s="21"/>
      <c r="G106" s="20"/>
      <c r="H106" s="22"/>
      <c r="I106" s="2"/>
      <c r="J106" s="2"/>
      <c r="K106" s="2"/>
      <c r="L106" s="2"/>
    </row>
    <row r="107" spans="1:12">
      <c r="A107" s="23" t="s">
        <v>80</v>
      </c>
      <c r="B107" s="20"/>
      <c r="C107" s="20"/>
      <c r="D107" s="20"/>
      <c r="E107" s="20"/>
      <c r="F107" s="22"/>
      <c r="G107" s="22"/>
      <c r="H107" s="22"/>
      <c r="I107" s="2"/>
      <c r="J107" s="2"/>
      <c r="K107" s="2"/>
      <c r="L107" s="2"/>
    </row>
    <row r="108" spans="1:12">
      <c r="A108" s="23" t="s">
        <v>109</v>
      </c>
      <c r="B108" s="20"/>
      <c r="C108" s="20"/>
      <c r="D108" s="20"/>
      <c r="E108" s="20"/>
      <c r="F108" s="20"/>
      <c r="G108" s="22"/>
      <c r="H108" s="22"/>
      <c r="I108" s="2"/>
      <c r="J108" s="2"/>
      <c r="K108" s="2"/>
      <c r="L108" s="2"/>
    </row>
    <row r="109" spans="1:12">
      <c r="A109" s="23" t="s">
        <v>89</v>
      </c>
      <c r="B109" s="20"/>
      <c r="C109" s="20"/>
      <c r="D109" s="20"/>
      <c r="E109" s="20"/>
      <c r="F109" s="20"/>
      <c r="G109" s="20"/>
      <c r="H109" s="22"/>
      <c r="I109" s="2"/>
      <c r="J109" s="2"/>
      <c r="K109" s="2"/>
      <c r="L109" s="2"/>
    </row>
    <row r="110" spans="1:12">
      <c r="A110" s="23" t="s">
        <v>95</v>
      </c>
      <c r="B110" s="20"/>
      <c r="C110" s="20"/>
      <c r="D110" s="20"/>
      <c r="E110" s="20"/>
      <c r="F110" s="20"/>
      <c r="G110" s="20"/>
      <c r="H110" s="22"/>
      <c r="I110" s="2"/>
      <c r="J110" s="2"/>
      <c r="K110" s="2"/>
      <c r="L110" s="2"/>
    </row>
    <row r="111" spans="1:12">
      <c r="A111" s="23" t="s">
        <v>88</v>
      </c>
      <c r="B111" s="20"/>
      <c r="C111" s="20"/>
      <c r="D111" s="20"/>
      <c r="E111" s="20"/>
      <c r="F111" s="20"/>
      <c r="G111" s="20"/>
      <c r="H111" s="22"/>
      <c r="I111" s="2"/>
      <c r="J111" s="2"/>
      <c r="K111" s="2"/>
      <c r="L111" s="2"/>
    </row>
    <row r="112" spans="1:12">
      <c r="A112" s="23" t="s">
        <v>87</v>
      </c>
      <c r="B112" s="20"/>
      <c r="C112" s="20"/>
      <c r="D112" s="20"/>
      <c r="E112" s="20"/>
      <c r="F112" s="20"/>
      <c r="G112" s="20"/>
      <c r="H112" s="22"/>
      <c r="I112" s="2"/>
      <c r="J112" s="2"/>
      <c r="K112" s="2"/>
      <c r="L112" s="2"/>
    </row>
    <row r="113" spans="1:12">
      <c r="A113" s="23" t="s">
        <v>81</v>
      </c>
      <c r="B113" s="20"/>
      <c r="C113" s="20"/>
      <c r="D113" s="20"/>
      <c r="E113" s="20"/>
      <c r="F113" s="20"/>
      <c r="G113" s="20"/>
      <c r="H113" s="22"/>
      <c r="I113" s="2"/>
      <c r="J113" s="2"/>
      <c r="K113" s="2"/>
      <c r="L113" s="2"/>
    </row>
    <row r="114" spans="1:12">
      <c r="A114" s="23" t="s">
        <v>90</v>
      </c>
      <c r="B114" s="20"/>
      <c r="C114" s="20"/>
      <c r="D114" s="20"/>
      <c r="E114" s="20"/>
      <c r="F114" s="20"/>
      <c r="G114" s="20"/>
      <c r="H114" s="22"/>
      <c r="I114" s="2"/>
      <c r="J114" s="2"/>
      <c r="K114" s="2"/>
      <c r="L114" s="2"/>
    </row>
    <row r="115" spans="1:12">
      <c r="A115" s="23" t="s">
        <v>116</v>
      </c>
      <c r="B115" s="20"/>
      <c r="C115" s="20"/>
      <c r="D115" s="20"/>
      <c r="E115" s="20"/>
      <c r="F115" s="20"/>
      <c r="G115" s="20"/>
      <c r="H115" s="22"/>
      <c r="I115" s="2"/>
      <c r="J115" s="2"/>
      <c r="K115" s="2"/>
      <c r="L115" s="2"/>
    </row>
    <row r="116" spans="1:12">
      <c r="A116" s="23" t="s">
        <v>91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>
      <c r="A117" s="23" t="s">
        <v>92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>
      <c r="A118" s="23" t="s">
        <v>110</v>
      </c>
      <c r="B118" s="20"/>
      <c r="C118" s="20"/>
      <c r="D118" s="20"/>
      <c r="E118" s="20"/>
      <c r="F118" s="20"/>
      <c r="G118" s="20"/>
      <c r="H118" s="24"/>
      <c r="I118" s="12"/>
      <c r="J118" s="12"/>
      <c r="K118" s="12"/>
      <c r="L118" s="12"/>
    </row>
    <row r="119" spans="1:12">
      <c r="A119" s="23"/>
      <c r="B119" s="20"/>
      <c r="C119" s="20"/>
      <c r="D119" s="20"/>
      <c r="E119" s="20"/>
      <c r="F119" s="20"/>
      <c r="G119" s="20"/>
      <c r="H119" s="24"/>
      <c r="I119" s="12"/>
      <c r="J119" s="12"/>
      <c r="K119" s="12"/>
      <c r="L119" s="12"/>
    </row>
    <row r="120" spans="1:12">
      <c r="A120" s="19" t="s">
        <v>82</v>
      </c>
      <c r="B120" s="20"/>
      <c r="C120" s="20"/>
      <c r="D120" s="20"/>
      <c r="E120" s="20"/>
      <c r="F120" s="20"/>
      <c r="G120" s="20"/>
      <c r="H120" s="24"/>
      <c r="I120" s="12"/>
      <c r="J120" s="12"/>
      <c r="K120" s="12"/>
      <c r="L120" s="12"/>
    </row>
    <row r="121" spans="1:12">
      <c r="A121" s="23" t="s">
        <v>83</v>
      </c>
      <c r="B121" s="20"/>
      <c r="C121" s="20"/>
      <c r="D121" s="20"/>
      <c r="E121" s="20"/>
      <c r="F121" s="20"/>
      <c r="G121" s="20"/>
      <c r="H121" s="24"/>
      <c r="I121" s="12"/>
      <c r="J121" s="12"/>
      <c r="K121" s="12"/>
      <c r="L121" s="12"/>
    </row>
    <row r="122" spans="1:12">
      <c r="A122" s="23" t="s">
        <v>117</v>
      </c>
      <c r="B122" s="20"/>
      <c r="C122" s="20"/>
      <c r="D122" s="20"/>
      <c r="E122" s="20"/>
      <c r="F122" s="20"/>
      <c r="G122" s="20"/>
      <c r="H122" s="24"/>
      <c r="I122" s="12"/>
      <c r="J122" s="12"/>
      <c r="K122" s="12"/>
      <c r="L122" s="12"/>
    </row>
    <row r="123" spans="1:12">
      <c r="A123" s="23" t="s">
        <v>118</v>
      </c>
      <c r="B123" s="20"/>
      <c r="C123" s="20"/>
      <c r="D123" s="20"/>
      <c r="E123" s="20"/>
      <c r="F123" s="20"/>
      <c r="G123" s="20"/>
      <c r="H123" s="24"/>
      <c r="I123" s="12"/>
      <c r="J123" s="12"/>
      <c r="K123" s="12"/>
      <c r="L123" s="12"/>
    </row>
    <row r="124" spans="1:12">
      <c r="A124" s="23" t="s">
        <v>99</v>
      </c>
      <c r="B124" s="20"/>
      <c r="C124" s="20"/>
      <c r="D124" s="20"/>
      <c r="E124" s="20"/>
      <c r="F124" s="20"/>
      <c r="G124" s="20"/>
      <c r="H124" s="24"/>
      <c r="I124" s="12"/>
      <c r="J124" s="12"/>
      <c r="K124" s="12"/>
      <c r="L124" s="12"/>
    </row>
    <row r="440" spans="2:2">
      <c r="B440" s="11" t="s">
        <v>112</v>
      </c>
    </row>
  </sheetData>
  <mergeCells count="41">
    <mergeCell ref="H96:J96"/>
    <mergeCell ref="H89:J89"/>
    <mergeCell ref="H88:J88"/>
    <mergeCell ref="H90:J90"/>
    <mergeCell ref="A65:A66"/>
    <mergeCell ref="B65:B66"/>
    <mergeCell ref="J65:K65"/>
    <mergeCell ref="C66:D66"/>
    <mergeCell ref="J66:K66"/>
    <mergeCell ref="E66:F66"/>
    <mergeCell ref="G66:H66"/>
    <mergeCell ref="E65:F65"/>
    <mergeCell ref="G65:H65"/>
    <mergeCell ref="C65:D65"/>
    <mergeCell ref="B81:L81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H95:J95"/>
    <mergeCell ref="C85:D85"/>
    <mergeCell ref="E85:F85"/>
    <mergeCell ref="H85:J85"/>
    <mergeCell ref="B82:L82"/>
    <mergeCell ref="H94:J94"/>
    <mergeCell ref="H91:J91"/>
    <mergeCell ref="H93:J93"/>
    <mergeCell ref="H92:J92"/>
    <mergeCell ref="H86:J86"/>
    <mergeCell ref="H87:J87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'Daily retail price'!Print_Area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2026-06-30T08:56:03Z</cp:lastPrinted>
  <dcterms:created xsi:type="dcterms:W3CDTF">2021-06-05T07:13:00Z</dcterms:created>
  <dcterms:modified xsi:type="dcterms:W3CDTF">2026-07-06T07:41:30Z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