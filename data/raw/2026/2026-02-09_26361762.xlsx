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521E9427-9AF4-429F-84FC-EADECD8B83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9" i="4"/>
  <c r="G88" i="4"/>
  <c r="G86" i="4"/>
  <c r="G87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<sst xmlns="http://schemas.openxmlformats.org/spreadsheetml/2006/main" count="226" uniqueCount="129">
  <si>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</si>
  <si>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</si>
  <si>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</si>
  <si>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</si>
  <si>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</si>
  <si>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</si>
  <si>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</si>
  <si>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</si>
  <si>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</si>
  <si>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</si>
  <si>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</si>
  <si>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</si>
  <si>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</si>
  <si>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</si>
  <si>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</si>
  <si>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</si>
  <si>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</si>
  <si>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</si>
  <si>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</si>
  <si>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</si>
  <si>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</si>
  <si>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</si>
  <si>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</si>
  <si>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</si>
  <si>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</si>
  <si>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</si>
  <si>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</si>
  <si>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</si>
  <si>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</si>
  <si>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</si>
  <si>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</si>
  <si>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</si>
  <si>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</si>
  <si>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</si>
  <si>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</si>
  <si>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</si>
  <si>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</si>
  <si>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</si>
  <si>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</si>
  <si>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</si>
  <si>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</si>
  <si>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</si>
  <si>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</si>
  <si>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</si>
  <si>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</si>
  <si>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</si>
  <si>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</si>
  <si>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</si>
  <si>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</si>
  <si>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</si>
  <si>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</si>
  <si>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</si>
  <si>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</si>
  <si>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</si>
  <si>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</si>
  <si>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</si>
  <si>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</si>
  <si>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</si>
  <si>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</si>
  <si>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</si>
  <si>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</si>
  <si>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</si>
  <si>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</si>
  <si>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</si>
  <si>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</si>
  <si>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</si>
  <si>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</si>
  <si>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</si>
  <si>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</si>
  <si>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</si>
  <si>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</si>
  <si>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</si>
  <si>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</si>
  <si>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</si>
  <si>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</si>
  <si>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</si>
  <si>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</si>
  <si>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</si>
  <si>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</si>
  <si>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</si>
  <si>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</si>
  <si>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</si>
  <si>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</si>
  <si>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</si>
  <si>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</si>
  <si>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</si>
  <si>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</si>
  <si>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</si>
  <si>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</si>
  <si>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</si>
  <si>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</si>
  <si>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</si>
  <si>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</si>
  <si>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</si>
  <si>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</si>
  <si>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</si>
  <si>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</si>
  <si>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</si>
  <si>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</si>
  <si>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</si>
  <si>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</si>
  <si>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</si>
  <si>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</si>
  <si>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</si>
  <si>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</si>
  <si>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</si>
  <si>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</si>
  <si>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</si>
  <si>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</si>
  <si>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</si>
  <si>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</si>
  <si>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</si>
  <si>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</si>
  <si>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</si>
  <si>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</si>
  <si>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</si>
  <si>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</si>
  <si>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০৩-০২-২০২৬ তারিখে মূল্য বৃদ্ধি পেয়েছে।</t>
  </si>
  <si>
    <t>০৩-০২-২০২৬ তারিখে মূল্য হ্রাস পেয়েছে।</t>
  </si>
  <si>
    <t xml:space="preserve">যে সকল বাজার হতে তথ্য সংগ্রহ করা হয়েছেঃ- রামপুরা, নিউমার্কেট, মিরপুর-৬, মহাখালী  বাজার।   </t>
  </si>
  <si>
    <t>০৮-০২-২০২৬ তারিখে মূল্য বৃদ্ধি পেয়েছে।</t>
  </si>
  <si>
    <t>স্মারক নং-২৬.০৫.০০০০.০১৭.৩১.০১.২৬-১২৫</t>
  </si>
  <si>
    <t xml:space="preserve">   সিরিয়াল নংঃ     ০৩৯</t>
  </si>
  <si>
    <t xml:space="preserve">সোমবার ০৯ ফেব্রুয়ারী ২০২৬ খ্রিঃ, ২৬ মাঘ ১৪৩২ বাংলা, ২০ শাবান ১৪৪৭ হিজরি </t>
  </si>
  <si>
    <t xml:space="preserve"> (মোঃ গোলাম খোরশেদ)   </t>
  </si>
  <si>
    <t xml:space="preserve"> অতিরিক্ত পরিচালক (বাণিজ্যিক)</t>
  </si>
  <si>
    <t>০৯-০২-২০২৬ তারিখে মূল্য হ্রাস পেয়েছে।</t>
  </si>
  <si>
    <t>(১)    আলু, পেঁয়াজ (আম), লবঙ্গ    এর মূল্য হ্রাস পেয়েছে।</t>
  </si>
  <si>
    <t>(২)    রশুন (আম), ‍মুরগী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</si>
</sst>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5"/>
  <sheetViews>
    <sheetView tabSelected="1" topLeftCell="A80" zoomScale="112" zoomScaleNormal="112" workbookViewId="0">
      <selection activeCell="B81" sqref="B81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122</v>
      </c>
      <c r="L6" s="88"/>
    </row>
    <row r="7" spans="1:12" ht="19.5" customHeight="1">
      <c r="A7" s="17"/>
      <c r="B7" s="8"/>
      <c r="C7" s="8"/>
      <c r="D7" s="17"/>
      <c r="E7" s="8"/>
      <c r="F7" s="8" t="s">
        <v>123</v>
      </c>
      <c r="G7" s="8"/>
      <c r="H7" s="8"/>
      <c r="I7" s="8"/>
      <c r="J7" s="8"/>
      <c r="K7" s="8"/>
      <c r="L7" s="49"/>
    </row>
    <row r="8" spans="1:12" ht="21.75">
      <c r="A8" s="20" t="s">
        <v>121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46062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46062</v>
      </c>
      <c r="D10" s="88"/>
      <c r="E10" s="89">
        <v>46055</v>
      </c>
      <c r="F10" s="88"/>
      <c r="G10" s="89">
        <v>46031</v>
      </c>
      <c r="H10" s="88"/>
      <c r="I10" s="26" t="s">
        <v>12</v>
      </c>
      <c r="J10" s="89">
        <v>45697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174</v>
      </c>
      <c r="H21" s="29">
        <v>185</v>
      </c>
      <c r="I21" s="30">
        <f t="shared" ref="I21:I27" si="0">((C21+D21)/2-(G21+H21)/2)/((G21+H21)/2)*100</f>
        <v>0.2785515320334262</v>
      </c>
      <c r="J21" s="29">
        <v>180</v>
      </c>
      <c r="K21" s="29">
        <v>185</v>
      </c>
      <c r="L21" s="31">
        <f t="shared" ref="L21:L27" si="1">((C21+D21)/2-(J21+K21)/2)/((J21+K21)/2)*100</f>
        <v>-1.3698630136986301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348</v>
      </c>
      <c r="K23" s="29">
        <v>350</v>
      </c>
      <c r="L23" s="31">
        <f t="shared" si="1"/>
        <v>11.74785100286533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148</v>
      </c>
      <c r="K25" s="29">
        <v>155</v>
      </c>
      <c r="L25" s="31">
        <f t="shared" si="1"/>
        <v>4.6204620462046204</v>
      </c>
    </row>
    <row r="26" spans="1:12" ht="21.75">
      <c r="A26" s="69" t="s">
        <v>104</v>
      </c>
      <c r="B26" s="6" t="s">
        <v>28</v>
      </c>
      <c r="C26" s="29">
        <v>160</v>
      </c>
      <c r="D26" s="29">
        <v>165</v>
      </c>
      <c r="E26" s="29">
        <v>160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155</v>
      </c>
      <c r="K26" s="29">
        <v>160</v>
      </c>
      <c r="L26" s="31">
        <f t="shared" si="1"/>
        <v>3.1746031746031744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130</v>
      </c>
      <c r="I30" s="30">
        <f t="shared" si="2"/>
        <v>-4.1666666666666661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8.695652173913043</v>
      </c>
      <c r="J33" s="29">
        <v>70</v>
      </c>
      <c r="K33" s="29">
        <v>85</v>
      </c>
      <c r="L33" s="31">
        <f t="shared" si="3"/>
        <v>-19.35483870967742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110</v>
      </c>
      <c r="K34" s="29">
        <v>120</v>
      </c>
      <c r="L34" s="31">
        <f t="shared" si="3"/>
        <v>-23.913043478260871</v>
      </c>
    </row>
    <row r="35" spans="1:12" ht="21.75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30</v>
      </c>
      <c r="G35" s="29">
        <v>25</v>
      </c>
      <c r="H35" s="29">
        <v>35</v>
      </c>
      <c r="I35" s="30">
        <f t="shared" si="2"/>
        <v>-25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50</v>
      </c>
      <c r="D37" s="29">
        <v>60</v>
      </c>
      <c r="E37" s="29">
        <v>50</v>
      </c>
      <c r="F37" s="29">
        <v>60</v>
      </c>
      <c r="G37" s="29">
        <v>60</v>
      </c>
      <c r="H37" s="29">
        <v>70</v>
      </c>
      <c r="I37" s="30">
        <f t="shared" ref="I37:I52" si="4">((C37+D37)/2-(G37+H37)/2)/((G37+H37)/2)*100</f>
        <v>-15.384615384615385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60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-6.666666666666667</v>
      </c>
      <c r="J38" s="29">
        <v>50</v>
      </c>
      <c r="K38" s="29">
        <v>65</v>
      </c>
      <c r="L38" s="31">
        <f t="shared" si="5"/>
        <v>21.739130434782609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150</v>
      </c>
      <c r="K39" s="29">
        <v>240</v>
      </c>
      <c r="L39" s="31">
        <f t="shared" si="5"/>
        <v>-43.589743589743591</v>
      </c>
    </row>
    <row r="40" spans="1:12" ht="21.75">
      <c r="A40" s="69" t="s">
        <v>45</v>
      </c>
      <c r="B40" s="6" t="s">
        <v>18</v>
      </c>
      <c r="C40" s="29">
        <v>180</v>
      </c>
      <c r="D40" s="29">
        <v>200</v>
      </c>
      <c r="E40" s="29">
        <v>170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90</v>
      </c>
      <c r="K45" s="29">
        <v>150</v>
      </c>
      <c r="L45" s="31">
        <f t="shared" si="5"/>
        <v>41.666666666666671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190</v>
      </c>
      <c r="E58" s="29">
        <v>170</v>
      </c>
      <c r="F58" s="29">
        <v>185</v>
      </c>
      <c r="G58" s="29">
        <v>160</v>
      </c>
      <c r="H58" s="29">
        <v>170</v>
      </c>
      <c r="I58" s="30">
        <f t="shared" si="6"/>
        <v>12.121212121212121</v>
      </c>
      <c r="J58" s="29">
        <v>180</v>
      </c>
      <c r="K58" s="29">
        <v>210</v>
      </c>
      <c r="L58" s="31">
        <f t="shared" si="7"/>
        <v>-5.1282051282051277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46062</v>
      </c>
      <c r="D69" s="88"/>
      <c r="E69" s="89">
        <v>46055</v>
      </c>
      <c r="F69" s="88"/>
      <c r="G69" s="89">
        <v>46031</v>
      </c>
      <c r="H69" s="88"/>
      <c r="I69" s="26" t="s">
        <v>12</v>
      </c>
      <c r="J69" s="89">
        <v>45697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115</v>
      </c>
      <c r="I71" s="30">
        <f>((C71+D71)/2-(G71+H71)/2)/((G71+H71)/2)*100</f>
        <v>-5.5813953488372094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46</v>
      </c>
      <c r="L74" s="31">
        <f t="shared" si="8"/>
        <v>-17.777777777777779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119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128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113</v>
      </c>
      <c r="B85" s="6" t="s">
        <v>18</v>
      </c>
      <c r="C85" s="29">
        <v>20</v>
      </c>
      <c r="D85" s="29">
        <v>25</v>
      </c>
      <c r="E85" s="29">
        <v>20</v>
      </c>
      <c r="F85" s="29">
        <v>30</v>
      </c>
      <c r="G85" s="7">
        <f>((C85+D85)/2-(E85+F85)/2)/((E85+F85)/2)*100</f>
        <v>-10</v>
      </c>
      <c r="H85" s="5" t="s">
        <v>126</v>
      </c>
      <c r="I85" s="6"/>
      <c r="J85" s="6"/>
      <c r="K85" s="50"/>
      <c r="L85" s="17"/>
    </row>
    <row r="86" spans="1:12" ht="21.75">
      <c r="A86" s="69" t="s">
        <v>43</v>
      </c>
      <c r="B86" s="6" t="s">
        <v>18</v>
      </c>
      <c r="C86" s="29">
        <v>60</v>
      </c>
      <c r="D86" s="29">
        <v>80</v>
      </c>
      <c r="E86" s="29">
        <v>70</v>
      </c>
      <c r="F86" s="29">
        <v>80</v>
      </c>
      <c r="G86" s="7">
        <f t="shared" ref="G86:G89" si="10">((C86+D86)/2-(E86+F86)/2)/((E86+F86)/2)*100</f>
        <v>-6.666666666666667</v>
      </c>
      <c r="H86" s="5" t="s">
        <v>118</v>
      </c>
      <c r="I86" s="6"/>
      <c r="J86" s="6"/>
      <c r="K86" s="50"/>
      <c r="L86" s="17"/>
    </row>
    <row r="87" spans="1:12" ht="21.75">
      <c r="A87" s="69" t="s">
        <v>45</v>
      </c>
      <c r="B87" s="6" t="s">
        <v>18</v>
      </c>
      <c r="C87" s="29">
        <v>180</v>
      </c>
      <c r="D87" s="29">
        <v>200</v>
      </c>
      <c r="E87" s="29">
        <v>170</v>
      </c>
      <c r="F87" s="29">
        <v>200</v>
      </c>
      <c r="G87" s="7">
        <f t="shared" si="10"/>
        <v>2.7027027027027026</v>
      </c>
      <c r="H87" s="5" t="s">
        <v>117</v>
      </c>
      <c r="I87" s="6"/>
      <c r="J87" s="6"/>
      <c r="K87" s="50"/>
      <c r="L87" s="17"/>
    </row>
    <row r="88" spans="1:12" ht="21.75">
      <c r="A88" s="69" t="s">
        <v>54</v>
      </c>
      <c r="B88" s="6" t="s">
        <v>18</v>
      </c>
      <c r="C88" s="29">
        <v>1300</v>
      </c>
      <c r="D88" s="29">
        <v>1600</v>
      </c>
      <c r="E88" s="29">
        <v>1350</v>
      </c>
      <c r="F88" s="29">
        <v>1600</v>
      </c>
      <c r="G88" s="7">
        <f t="shared" si="10"/>
        <v>-1.6949152542372881</v>
      </c>
      <c r="H88" s="5" t="s">
        <v>118</v>
      </c>
      <c r="I88" s="6"/>
      <c r="J88" s="6"/>
      <c r="K88" s="50"/>
      <c r="L88" s="17"/>
    </row>
    <row r="89" spans="1:12" ht="21.75">
      <c r="A89" s="69" t="s">
        <v>61</v>
      </c>
      <c r="B89" s="6" t="s">
        <v>18</v>
      </c>
      <c r="C89" s="29">
        <v>180</v>
      </c>
      <c r="D89" s="29">
        <v>190</v>
      </c>
      <c r="E89" s="29">
        <v>170</v>
      </c>
      <c r="F89" s="29">
        <v>185</v>
      </c>
      <c r="G89" s="7">
        <f t="shared" si="10"/>
        <v>4.225352112676056</v>
      </c>
      <c r="H89" s="5" t="s">
        <v>120</v>
      </c>
      <c r="I89" s="6"/>
      <c r="J89" s="6"/>
      <c r="K89" s="50"/>
      <c r="L89" s="17"/>
    </row>
    <row r="90" spans="1:12" ht="24.75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4.75">
      <c r="A91" s="1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41"/>
      <c r="B92" s="42" t="s">
        <v>115</v>
      </c>
      <c r="C92" s="10"/>
      <c r="E92" s="84"/>
      <c r="F92" s="85"/>
      <c r="G92" s="86"/>
      <c r="I92" s="12"/>
      <c r="J92" s="13" t="s">
        <v>124</v>
      </c>
      <c r="K92" s="10"/>
    </row>
    <row r="93" spans="1:12" ht="24.75">
      <c r="A93" s="43"/>
      <c r="B93" s="42" t="s">
        <v>116</v>
      </c>
      <c r="C93" s="13"/>
      <c r="E93" s="43"/>
      <c r="F93" s="85"/>
      <c r="G93" s="86"/>
      <c r="I93" s="76"/>
      <c r="J93" s="13" t="s">
        <v>125</v>
      </c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91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84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93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99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98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86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110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109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2026-02-09T08:10:05Z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