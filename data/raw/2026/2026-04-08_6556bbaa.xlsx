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13_ncr:1_{299A8EB5-6B9A-4D66-9592-5A610970CB7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93" i="4"/>
  <c r="G94" i="4"/>
  <c r="G95" i="4"/>
  <c r="G90" i="4" l="1"/>
  <c r="G89" i="4"/>
  <c r="G97" i="4"/>
  <c r="G96" i="4"/>
  <c r="G91" i="4"/>
  <c r="G87" i="4"/>
  <c r="G92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<sst xmlns="http://schemas.openxmlformats.org/spreadsheetml/2006/main" count="251" uniqueCount="134">
  <si>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</si>
  <si>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</si>
  <si>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</si>
  <si>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</si>
  <si>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</si>
  <si>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</si>
  <si>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</si>
  <si>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</si>
  <si>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</si>
  <si>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</si>
  <si>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</si>
  <si>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</si>
  <si>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</si>
  <si>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</si>
  <si>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</si>
  <si>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</si>
  <si>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</si>
  <si>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</si>
  <si>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</si>
  <si>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</si>
  <si>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</si>
  <si>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</si>
  <si>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</si>
  <si>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</si>
  <si>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</si>
  <si>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</si>
  <si>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</si>
  <si>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</si>
  <si>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</si>
  <si>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</si>
  <si>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</si>
  <si>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</si>
  <si>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</si>
  <si>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</si>
  <si>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</si>
  <si>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</si>
  <si>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</si>
  <si>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</si>
  <si>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</si>
  <si>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</si>
  <si>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</si>
  <si>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</si>
  <si>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</si>
  <si>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</si>
  <si>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</si>
  <si>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</si>
  <si>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</si>
  <si>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</si>
  <si>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</si>
  <si>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</si>
  <si>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</si>
  <si>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</si>
  <si>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</si>
  <si>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</si>
  <si>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</si>
  <si>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</si>
  <si>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</si>
  <si>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</si>
  <si>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</si>
  <si>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</si>
  <si>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</si>
  <si>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</si>
  <si>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</si>
  <si>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</si>
  <si>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</si>
  <si>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</si>
  <si>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</si>
  <si>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</si>
  <si>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</si>
  <si>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</si>
  <si>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</si>
  <si>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</si>
  <si>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</si>
  <si>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</si>
  <si>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</si>
  <si>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</si>
  <si>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</si>
  <si>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</si>
  <si>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</si>
  <si>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</si>
  <si>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</si>
  <si>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</si>
  <si>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</si>
  <si>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</si>
  <si>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</si>
  <si>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</si>
  <si>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</si>
  <si>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</si>
  <si>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</si>
  <si>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</si>
  <si>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</si>
  <si>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</si>
  <si>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</si>
  <si>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</si>
  <si>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</si>
  <si>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</si>
  <si>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</si>
  <si>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</si>
  <si>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</si>
  <si>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</si>
  <si>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</si>
  <si>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</si>
  <si>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</si>
  <si>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</si>
  <si>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</si>
  <si>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</si>
  <si>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</si>
  <si>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</si>
  <si>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</si>
  <si>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</si>
  <si>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</si>
  <si>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</si>
  <si>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</si>
  <si>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</si>
  <si>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</si>
  <si>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</si>
  <si>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</si>
  <si>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</si>
  <si>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</si>
  <si>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</si>
  <si>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</si>
  <si>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</si>
  <si>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০৫-০৪-২০২৬ তারিখে মূল্য বৃদ্ধি পেয়েছে।</t>
  </si>
  <si>
    <t>০৬-০৪-২০২৬ তারিখে মূল্য বৃদ্ধি পেয়েছে।</t>
  </si>
  <si>
    <t>০৬-০৪-২০২৬ তারিখে মূল্য হ্রাস পেয়েছে।</t>
  </si>
  <si>
    <t>০৭-০৪-২০২৬ তারিখে মূল্য বৃদ্ধি পেয়েছে।</t>
  </si>
  <si>
    <t xml:space="preserve">বুধবার ০৮ এপ্রিল ২০২৬ খ্রিঃ, ২৫ চৈত্র ১৪৩২ বাংলা, ১৯ শাওয়াল ১৪৪৭ হিজরি </t>
  </si>
  <si>
    <t xml:space="preserve">   সিরিয়াল নংঃ     ০৮৪</t>
  </si>
  <si>
    <t>০৮-০৪-২০২৬ তারিখে মূল্য হ্রাস পেয়েছে।</t>
  </si>
  <si>
    <t>০৮-০৪-২০২৬ তারিখে মূল্য বৃদ্ধি পেয়েছে।</t>
  </si>
  <si>
    <t>(১)    রশুন (আম), মুরগী ব্রয়লার  এর মূল্য হ্রাস পেয়েছে।</t>
  </si>
  <si>
    <t>(২)   পাম অয়েল (লুজ, সুপার), মসুর ডাল (বড়), আলু, চিনি, কাঁচামরিচ, বেগুন, শসা, ডিম   এর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</si>
  <si>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</si>
  <si>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স্মারক নং-২৬.০৫.০০০০.০১৭.৩১.০১.২৬-২৬৬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</si>
</sst>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6" fontId="3" fillId="0" borderId="0" xfId="1" applyNumberFormat="1" applyFont="1" applyBorder="1" applyAlignment="1">
      <alignment horizontal="right"/>
    </xf>
    <xf numFmtId="166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5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166" fontId="3" fillId="0" borderId="1" xfId="1" applyNumberFormat="1" applyFont="1" applyBorder="1" applyAlignment="1">
      <alignment horizontal="right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243281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4"/>
  <sheetViews>
    <sheetView tabSelected="1" topLeftCell="A7" zoomScale="95" zoomScaleNormal="95" workbookViewId="0">
      <selection activeCell="J76" activeCellId="8" sqref="J9:K15 J17:K17 J20:K28 J29:K29 J33:K39 J45:K52 J55:K57 J69:K69 J76:K76"/>
    </sheetView>
  </sheetViews>
  <sheetFormatPr defaultRowHeight="15.75"/>
  <cols>
    <col min="1" max="1" width="17.796875" customWidth="1"/>
    <col min="2" max="2" width="9.796875" customWidth="1"/>
    <col min="3" max="3" width="9.5" customWidth="1"/>
    <col min="4" max="4" width="8.5" customWidth="1"/>
    <col min="5" max="5" width="9.09765625" customWidth="1"/>
    <col min="6" max="6" width="8.8984375" customWidth="1"/>
    <col min="7" max="7" width="8.796875" customWidth="1"/>
    <col min="8" max="8" width="8.59765625" customWidth="1"/>
    <col min="9" max="9" width="8.8984375" customWidth="1"/>
    <col min="10" max="10" width="10.69921875" customWidth="1"/>
    <col min="11" max="11" width="9.3984375" customWidth="1"/>
    <col min="12" max="12" width="9.796875" customWidth="1"/>
  </cols>
  <sheetData>
    <row r="3" spans="1:12" ht="21.7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.7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.7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74" t="s">
        <v>127</v>
      </c>
      <c r="L5" s="73"/>
    </row>
    <row r="6" spans="1:12" ht="19.5" customHeight="1">
      <c r="A6" s="10"/>
      <c r="B6" s="8"/>
      <c r="C6" s="8"/>
      <c r="D6" s="10"/>
      <c r="E6" s="8"/>
      <c r="F6" s="8" t="s">
        <v>126</v>
      </c>
      <c r="G6" s="8"/>
      <c r="H6" s="8"/>
      <c r="I6" s="8"/>
      <c r="J6" s="8"/>
      <c r="K6" s="8"/>
      <c r="L6" s="30"/>
    </row>
    <row r="7" spans="1:12" ht="21.75">
      <c r="A7" s="13" t="s">
        <v>133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46120</v>
      </c>
    </row>
    <row r="8" spans="1:12" ht="19.5">
      <c r="A8" s="5" t="s">
        <v>4</v>
      </c>
      <c r="B8" s="6" t="s">
        <v>5</v>
      </c>
      <c r="C8" s="70" t="s">
        <v>6</v>
      </c>
      <c r="D8" s="71"/>
      <c r="E8" s="70" t="s">
        <v>7</v>
      </c>
      <c r="F8" s="71"/>
      <c r="G8" s="70" t="s">
        <v>8</v>
      </c>
      <c r="H8" s="71"/>
      <c r="I8" s="6" t="s">
        <v>9</v>
      </c>
      <c r="J8" s="70" t="s">
        <v>10</v>
      </c>
      <c r="K8" s="71"/>
      <c r="L8" s="55" t="s">
        <v>11</v>
      </c>
    </row>
    <row r="9" spans="1:12" ht="21.75">
      <c r="A9" s="5"/>
      <c r="B9" s="6"/>
      <c r="C9" s="72">
        <v>46120</v>
      </c>
      <c r="D9" s="73"/>
      <c r="E9" s="72">
        <v>46113</v>
      </c>
      <c r="F9" s="73"/>
      <c r="G9" s="72">
        <v>46089</v>
      </c>
      <c r="H9" s="73"/>
      <c r="I9" s="18" t="s">
        <v>12</v>
      </c>
      <c r="J9" s="72">
        <v>45755</v>
      </c>
      <c r="K9" s="73"/>
      <c r="L9" s="18" t="s">
        <v>12</v>
      </c>
    </row>
    <row r="10" spans="1:12" ht="21.7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.75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.75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.75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.75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46</v>
      </c>
      <c r="I15" s="21">
        <f>((C15+D15)/2-(G15+H15)/2)/((G15+H15)/2)*100</f>
        <v>-1.1627906976744187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.75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62</v>
      </c>
      <c r="I16" s="21">
        <f>((C16+D16)/2-(G16+H16)/2)/((G16+H16)/2)*100</f>
        <v>-5.982905982905983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.75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50</v>
      </c>
      <c r="K17" s="20">
        <v>60</v>
      </c>
      <c r="L17" s="22">
        <f>((C17+D17)/2-(J17+K17)/2)/((J17+K17)/2)*100</f>
        <v>-1.8181818181818181</v>
      </c>
    </row>
    <row r="18" spans="1:12" ht="21.75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.75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196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157</v>
      </c>
      <c r="K20" s="20">
        <v>166</v>
      </c>
      <c r="L20" s="22">
        <f t="shared" ref="L20:L26" si="1">((C20+D20)/2-(J20+K20)/2)/((J20+K20)/2)*100</f>
        <v>17.956656346749224</v>
      </c>
    </row>
    <row r="21" spans="1:12" ht="21.75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.75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.75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.75">
      <c r="A24" s="61" t="s">
        <v>32</v>
      </c>
      <c r="B24" s="6" t="s">
        <v>27</v>
      </c>
      <c r="C24" s="20">
        <v>164</v>
      </c>
      <c r="D24" s="20">
        <v>168</v>
      </c>
      <c r="E24" s="20">
        <v>160</v>
      </c>
      <c r="F24" s="20">
        <v>168</v>
      </c>
      <c r="G24" s="20">
        <v>150</v>
      </c>
      <c r="H24" s="20">
        <v>162</v>
      </c>
      <c r="I24" s="21">
        <f t="shared" si="0"/>
        <v>6.4102564102564097</v>
      </c>
      <c r="J24" s="20">
        <v>144</v>
      </c>
      <c r="K24" s="20">
        <v>150</v>
      </c>
      <c r="L24" s="22">
        <f t="shared" si="1"/>
        <v>12.925170068027212</v>
      </c>
    </row>
    <row r="25" spans="1:12" ht="21.75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3.0581039755351682</v>
      </c>
      <c r="J25" s="20">
        <v>150</v>
      </c>
      <c r="K25" s="20">
        <v>155</v>
      </c>
      <c r="L25" s="22">
        <f t="shared" si="1"/>
        <v>10.491803278688524</v>
      </c>
    </row>
    <row r="26" spans="1:12" ht="21.75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.75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.75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.75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.75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.75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.75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.75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.75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25</v>
      </c>
      <c r="L34" s="22">
        <f t="shared" si="3"/>
        <v>22.222222222222221</v>
      </c>
    </row>
    <row r="35" spans="1:12" ht="21.75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.75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55</v>
      </c>
      <c r="I36" s="21">
        <f t="shared" ref="I36:I51" si="4">((C36+D36)/2-(G36+H36)/2)/((G36+H36)/2)*100</f>
        <v>-11.76470588235294</v>
      </c>
      <c r="J36" s="20">
        <v>30</v>
      </c>
      <c r="K36" s="20">
        <v>50</v>
      </c>
      <c r="L36" s="22">
        <f t="shared" ref="L36:L51" si="5">((C36+D36)/2-(J36+K36)/2)/((J36+K36)/2)*100</f>
        <v>-6.25</v>
      </c>
    </row>
    <row r="37" spans="1:12" ht="21.75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.75">
      <c r="A38" s="61" t="s">
        <v>43</v>
      </c>
      <c r="B38" s="6" t="s">
        <v>17</v>
      </c>
      <c r="C38" s="20">
        <v>70</v>
      </c>
      <c r="D38" s="20">
        <v>130</v>
      </c>
      <c r="E38" s="20">
        <v>70</v>
      </c>
      <c r="F38" s="20">
        <v>130</v>
      </c>
      <c r="G38" s="20">
        <v>80</v>
      </c>
      <c r="H38" s="20">
        <v>130</v>
      </c>
      <c r="I38" s="21">
        <f t="shared" si="4"/>
        <v>-4.7619047619047619</v>
      </c>
      <c r="J38" s="20">
        <v>80</v>
      </c>
      <c r="K38" s="20">
        <v>160</v>
      </c>
      <c r="L38" s="22">
        <f t="shared" si="5"/>
        <v>-16.666666666666664</v>
      </c>
    </row>
    <row r="39" spans="1:12" ht="21.75">
      <c r="A39" s="61" t="s">
        <v>44</v>
      </c>
      <c r="B39" s="6" t="s">
        <v>17</v>
      </c>
      <c r="C39" s="20">
        <v>160</v>
      </c>
      <c r="D39" s="20">
        <v>220</v>
      </c>
      <c r="E39" s="20">
        <v>180</v>
      </c>
      <c r="F39" s="20">
        <v>220</v>
      </c>
      <c r="G39" s="20">
        <v>220</v>
      </c>
      <c r="H39" s="20">
        <v>245</v>
      </c>
      <c r="I39" s="21">
        <f t="shared" si="4"/>
        <v>-18.27956989247312</v>
      </c>
      <c r="J39" s="20">
        <v>190</v>
      </c>
      <c r="K39" s="20">
        <v>240</v>
      </c>
      <c r="L39" s="22">
        <f t="shared" si="5"/>
        <v>-11.627906976744185</v>
      </c>
    </row>
    <row r="40" spans="1:12" ht="21.75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.75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.75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.75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.75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.75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.75">
      <c r="A46" s="61" t="s">
        <v>51</v>
      </c>
      <c r="B46" s="6" t="s">
        <v>17</v>
      </c>
      <c r="C46" s="20">
        <v>620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.75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550</v>
      </c>
      <c r="L47" s="22">
        <f t="shared" si="5"/>
        <v>-4.7619047619047619</v>
      </c>
    </row>
    <row r="48" spans="1:12" ht="21.75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1350</v>
      </c>
      <c r="H48" s="20">
        <v>1600</v>
      </c>
      <c r="I48" s="21">
        <f t="shared" si="4"/>
        <v>1.6949152542372881</v>
      </c>
      <c r="J48" s="20">
        <v>1350</v>
      </c>
      <c r="K48" s="20">
        <v>1600</v>
      </c>
      <c r="L48" s="22">
        <f t="shared" si="5"/>
        <v>1.6949152542372881</v>
      </c>
    </row>
    <row r="49" spans="1:12" ht="21.75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.75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.75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.75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.75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.75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.75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.75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.75">
      <c r="A57" s="61" t="s">
        <v>60</v>
      </c>
      <c r="B57" s="6" t="s">
        <v>17</v>
      </c>
      <c r="C57" s="20">
        <v>160</v>
      </c>
      <c r="D57" s="20">
        <v>200</v>
      </c>
      <c r="E57" s="20">
        <v>180</v>
      </c>
      <c r="F57" s="20">
        <v>210</v>
      </c>
      <c r="G57" s="20">
        <v>200</v>
      </c>
      <c r="H57" s="20">
        <v>220</v>
      </c>
      <c r="I57" s="21">
        <f t="shared" si="6"/>
        <v>-14.285714285714285</v>
      </c>
      <c r="J57" s="20">
        <v>190</v>
      </c>
      <c r="K57" s="20">
        <v>220</v>
      </c>
      <c r="L57" s="22">
        <f t="shared" si="7"/>
        <v>-12.195121951219512</v>
      </c>
    </row>
    <row r="58" spans="1:12" ht="21.75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.75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.75">
      <c r="A66" s="61" t="s">
        <v>4</v>
      </c>
      <c r="B66" s="6" t="s">
        <v>5</v>
      </c>
      <c r="C66" s="70" t="s">
        <v>6</v>
      </c>
      <c r="D66" s="71"/>
      <c r="E66" s="70" t="s">
        <v>7</v>
      </c>
      <c r="F66" s="71"/>
      <c r="G66" s="70" t="s">
        <v>8</v>
      </c>
      <c r="H66" s="71"/>
      <c r="I66" s="6" t="s">
        <v>9</v>
      </c>
      <c r="J66" s="70" t="s">
        <v>10</v>
      </c>
      <c r="K66" s="71"/>
      <c r="L66" s="18" t="s">
        <v>11</v>
      </c>
    </row>
    <row r="67" spans="1:12" ht="18" customHeight="1">
      <c r="A67" s="66"/>
      <c r="B67" s="59"/>
      <c r="C67" s="72">
        <v>46120</v>
      </c>
      <c r="D67" s="73"/>
      <c r="E67" s="72">
        <v>46113</v>
      </c>
      <c r="F67" s="73"/>
      <c r="G67" s="72">
        <v>46089</v>
      </c>
      <c r="H67" s="73"/>
      <c r="I67" s="18" t="s">
        <v>12</v>
      </c>
      <c r="J67" s="72">
        <v>45755</v>
      </c>
      <c r="K67" s="73"/>
      <c r="L67" s="18" t="s">
        <v>12</v>
      </c>
    </row>
    <row r="68" spans="1:12" ht="21.7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>
      <c r="A69" s="61" t="s">
        <v>69</v>
      </c>
      <c r="B69" s="6" t="s">
        <v>17</v>
      </c>
      <c r="C69" s="20">
        <v>105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4.8780487804878048</v>
      </c>
      <c r="J69" s="20">
        <v>115</v>
      </c>
      <c r="K69" s="20">
        <v>120</v>
      </c>
      <c r="L69" s="22">
        <f t="shared" ref="L69:L79" si="8">((C69+D69)/2-(J69+K69)/2)/((J69+K69)/2)*100</f>
        <v>-8.5106382978723403</v>
      </c>
    </row>
    <row r="70" spans="1:12" ht="21.75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.75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.75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.75">
      <c r="A73" s="61" t="s">
        <v>113</v>
      </c>
      <c r="B73" s="53" t="s">
        <v>17</v>
      </c>
      <c r="C73" s="20">
        <v>40</v>
      </c>
      <c r="D73" s="20">
        <v>140</v>
      </c>
      <c r="E73" s="20">
        <v>40</v>
      </c>
      <c r="F73" s="20">
        <v>80</v>
      </c>
      <c r="G73" s="20">
        <v>100</v>
      </c>
      <c r="H73" s="20">
        <v>140</v>
      </c>
      <c r="I73" s="21">
        <f t="shared" si="9"/>
        <v>-25</v>
      </c>
      <c r="J73" s="20">
        <v>60</v>
      </c>
      <c r="K73" s="20">
        <v>80</v>
      </c>
      <c r="L73" s="22">
        <f t="shared" si="8"/>
        <v>28.571428571428569</v>
      </c>
    </row>
    <row r="74" spans="1:12" ht="21.75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60</v>
      </c>
      <c r="H74" s="20">
        <v>90</v>
      </c>
      <c r="I74" s="21">
        <f t="shared" si="9"/>
        <v>33.333333333333329</v>
      </c>
      <c r="J74" s="20">
        <v>50</v>
      </c>
      <c r="K74" s="20">
        <v>80</v>
      </c>
      <c r="L74" s="22">
        <f t="shared" si="8"/>
        <v>53.846153846153847</v>
      </c>
    </row>
    <row r="75" spans="1:12" ht="21.75">
      <c r="A75" s="61" t="s">
        <v>115</v>
      </c>
      <c r="B75" s="53" t="s">
        <v>17</v>
      </c>
      <c r="C75" s="20">
        <v>40</v>
      </c>
      <c r="D75" s="20">
        <v>80</v>
      </c>
      <c r="E75" s="20">
        <v>30</v>
      </c>
      <c r="F75" s="20">
        <v>70</v>
      </c>
      <c r="G75" s="20">
        <v>40</v>
      </c>
      <c r="H75" s="20">
        <v>90</v>
      </c>
      <c r="I75" s="21">
        <f t="shared" si="9"/>
        <v>-7.6923076923076925</v>
      </c>
      <c r="J75" s="20">
        <v>50</v>
      </c>
      <c r="K75" s="20">
        <v>80</v>
      </c>
      <c r="L75" s="22">
        <f t="shared" si="8"/>
        <v>-7.6923076923076925</v>
      </c>
    </row>
    <row r="76" spans="1:12" ht="18.75" customHeight="1">
      <c r="A76" s="61" t="s">
        <v>71</v>
      </c>
      <c r="B76" s="6" t="s">
        <v>72</v>
      </c>
      <c r="C76" s="28">
        <v>34</v>
      </c>
      <c r="D76" s="28">
        <v>40</v>
      </c>
      <c r="E76" s="28">
        <v>32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45</v>
      </c>
      <c r="L76" s="22">
        <f t="shared" si="8"/>
        <v>-10.843373493975903</v>
      </c>
    </row>
    <row r="77" spans="1:12" ht="21.75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.75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92500</v>
      </c>
      <c r="K78" s="20">
        <v>95000</v>
      </c>
      <c r="L78" s="22">
        <f t="shared" si="8"/>
        <v>-6.666666666666667</v>
      </c>
    </row>
    <row r="79" spans="1:12" ht="21.75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>
      <c r="A80" s="75" t="s">
        <v>132</v>
      </c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</row>
    <row r="81" spans="1:12" ht="19.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9.5">
      <c r="A82" s="1"/>
      <c r="B82" s="1" t="s">
        <v>130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9.5">
      <c r="A83" s="1"/>
      <c r="B83" s="1" t="s">
        <v>131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9.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9.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9.5">
      <c r="A86" s="5" t="s">
        <v>79</v>
      </c>
      <c r="B86" s="6" t="s">
        <v>80</v>
      </c>
      <c r="C86" s="70" t="s">
        <v>6</v>
      </c>
      <c r="D86" s="71"/>
      <c r="E86" s="77" t="s">
        <v>81</v>
      </c>
      <c r="F86" s="78"/>
      <c r="G86" s="41" t="s">
        <v>12</v>
      </c>
      <c r="H86" s="70" t="s">
        <v>82</v>
      </c>
      <c r="I86" s="79"/>
      <c r="J86" s="71"/>
      <c r="K86" s="44"/>
      <c r="L86" s="2"/>
    </row>
    <row r="87" spans="1:12" ht="19.5">
      <c r="A87" s="61" t="s">
        <v>32</v>
      </c>
      <c r="B87" s="6" t="s">
        <v>27</v>
      </c>
      <c r="C87" s="42">
        <v>164</v>
      </c>
      <c r="D87" s="42">
        <v>168</v>
      </c>
      <c r="E87" s="42">
        <v>160</v>
      </c>
      <c r="F87" s="42">
        <v>168</v>
      </c>
      <c r="G87" s="7">
        <f t="shared" ref="G87:G90" si="10">((C87+D87)/2-(E87+F87)/2)/((E87+F87)/2)*100</f>
        <v>1.2195121951219512</v>
      </c>
      <c r="H87" s="5" t="s">
        <v>123</v>
      </c>
      <c r="I87" s="6"/>
      <c r="J87" s="6"/>
      <c r="K87" s="44"/>
      <c r="L87" s="2"/>
    </row>
    <row r="88" spans="1:12" ht="19.5">
      <c r="A88" s="61" t="s">
        <v>99</v>
      </c>
      <c r="B88" s="6" t="s">
        <v>27</v>
      </c>
      <c r="C88" s="42">
        <v>165</v>
      </c>
      <c r="D88" s="42">
        <v>172</v>
      </c>
      <c r="E88" s="42">
        <v>165</v>
      </c>
      <c r="F88" s="42">
        <v>170</v>
      </c>
      <c r="G88" s="7">
        <f>((C88+D88)/2-(E88+F88)/2)/((E88+F88)/2)*100</f>
        <v>0.59701492537313439</v>
      </c>
      <c r="H88" s="5" t="s">
        <v>125</v>
      </c>
      <c r="I88" s="6"/>
      <c r="J88" s="6"/>
      <c r="K88" s="44"/>
      <c r="L88" s="2"/>
    </row>
    <row r="89" spans="1:12" ht="19.5">
      <c r="A89" s="61" t="s">
        <v>36</v>
      </c>
      <c r="B89" s="6" t="s">
        <v>17</v>
      </c>
      <c r="C89" s="42">
        <v>90</v>
      </c>
      <c r="D89" s="42">
        <v>105</v>
      </c>
      <c r="E89" s="42">
        <v>85</v>
      </c>
      <c r="F89" s="42">
        <v>105</v>
      </c>
      <c r="G89" s="7">
        <f t="shared" si="10"/>
        <v>2.6315789473684208</v>
      </c>
      <c r="H89" s="5" t="s">
        <v>123</v>
      </c>
      <c r="I89" s="6"/>
      <c r="J89" s="6"/>
      <c r="K89" s="44"/>
      <c r="L89" s="2"/>
    </row>
    <row r="90" spans="1:12" ht="19.5">
      <c r="A90" s="61" t="s">
        <v>108</v>
      </c>
      <c r="B90" s="6" t="s">
        <v>17</v>
      </c>
      <c r="C90" s="42">
        <v>25</v>
      </c>
      <c r="D90" s="42">
        <v>30</v>
      </c>
      <c r="E90" s="42">
        <v>20</v>
      </c>
      <c r="F90" s="42">
        <v>25</v>
      </c>
      <c r="G90" s="7">
        <f t="shared" si="10"/>
        <v>22.222222222222221</v>
      </c>
      <c r="H90" s="5" t="s">
        <v>129</v>
      </c>
      <c r="I90" s="6"/>
      <c r="J90" s="6"/>
      <c r="K90" s="44"/>
      <c r="L90" s="2"/>
    </row>
    <row r="91" spans="1:12" ht="19.5">
      <c r="A91" s="61" t="s">
        <v>44</v>
      </c>
      <c r="B91" s="6" t="s">
        <v>17</v>
      </c>
      <c r="C91" s="42">
        <v>160</v>
      </c>
      <c r="D91" s="42">
        <v>220</v>
      </c>
      <c r="E91" s="42">
        <v>180</v>
      </c>
      <c r="F91" s="42">
        <v>220</v>
      </c>
      <c r="G91" s="7">
        <f t="shared" ref="G91" si="11">((C91+D91)/2-(E91+F91)/2)/((E91+F91)/2)*100</f>
        <v>-5</v>
      </c>
      <c r="H91" s="5" t="s">
        <v>124</v>
      </c>
      <c r="I91" s="6"/>
      <c r="J91" s="6"/>
      <c r="K91" s="44"/>
      <c r="L91" s="2"/>
    </row>
    <row r="92" spans="1:12" ht="19.5">
      <c r="A92" s="61" t="s">
        <v>60</v>
      </c>
      <c r="B92" s="6" t="s">
        <v>17</v>
      </c>
      <c r="C92" s="42">
        <v>160</v>
      </c>
      <c r="D92" s="42">
        <v>200</v>
      </c>
      <c r="E92" s="42">
        <v>180</v>
      </c>
      <c r="F92" s="42">
        <v>210</v>
      </c>
      <c r="G92" s="7">
        <f t="shared" ref="G92" si="12">((C92+D92)/2-(E92+F92)/2)/((E92+F92)/2)*100</f>
        <v>-7.6923076923076925</v>
      </c>
      <c r="H92" s="5" t="s">
        <v>128</v>
      </c>
      <c r="I92" s="6"/>
      <c r="J92" s="6"/>
      <c r="K92" s="44"/>
      <c r="L92" s="45"/>
    </row>
    <row r="93" spans="1:12" ht="19.5">
      <c r="A93" s="61" t="s">
        <v>113</v>
      </c>
      <c r="B93" s="53" t="s">
        <v>17</v>
      </c>
      <c r="C93" s="42">
        <v>40</v>
      </c>
      <c r="D93" s="42">
        <v>140</v>
      </c>
      <c r="E93" s="42">
        <v>40</v>
      </c>
      <c r="F93" s="42">
        <v>80</v>
      </c>
      <c r="G93" s="7">
        <f t="shared" ref="G93:G97" si="13">((C93+D93)/2-(E93+F93)/2)/((E93+F93)/2)*100</f>
        <v>50</v>
      </c>
      <c r="H93" s="5" t="s">
        <v>129</v>
      </c>
      <c r="I93" s="6"/>
      <c r="J93" s="6"/>
      <c r="K93" s="44"/>
      <c r="L93" s="45"/>
    </row>
    <row r="94" spans="1:12" ht="19.5">
      <c r="A94" s="61" t="s">
        <v>114</v>
      </c>
      <c r="B94" s="53" t="s">
        <v>17</v>
      </c>
      <c r="C94" s="42">
        <v>80</v>
      </c>
      <c r="D94" s="42">
        <v>120</v>
      </c>
      <c r="E94" s="42">
        <v>40</v>
      </c>
      <c r="F94" s="42">
        <v>70</v>
      </c>
      <c r="G94" s="7">
        <f t="shared" si="13"/>
        <v>81.818181818181827</v>
      </c>
      <c r="H94" s="5" t="s">
        <v>129</v>
      </c>
      <c r="I94" s="6"/>
      <c r="J94" s="6"/>
      <c r="K94" s="44"/>
      <c r="L94" s="45"/>
    </row>
    <row r="95" spans="1:12" ht="19.5">
      <c r="A95" s="61" t="s">
        <v>115</v>
      </c>
      <c r="B95" s="53" t="s">
        <v>17</v>
      </c>
      <c r="C95" s="42">
        <v>40</v>
      </c>
      <c r="D95" s="42">
        <v>80</v>
      </c>
      <c r="E95" s="42">
        <v>30</v>
      </c>
      <c r="F95" s="42">
        <v>70</v>
      </c>
      <c r="G95" s="7">
        <f t="shared" si="13"/>
        <v>20</v>
      </c>
      <c r="H95" s="5" t="s">
        <v>125</v>
      </c>
      <c r="I95" s="6"/>
      <c r="J95" s="6"/>
      <c r="K95" s="44"/>
      <c r="L95" s="45"/>
    </row>
    <row r="96" spans="1:12" ht="19.5">
      <c r="A96" s="61" t="s">
        <v>71</v>
      </c>
      <c r="B96" s="6" t="s">
        <v>72</v>
      </c>
      <c r="C96" s="69">
        <v>34</v>
      </c>
      <c r="D96" s="69">
        <v>40</v>
      </c>
      <c r="E96" s="69">
        <v>32</v>
      </c>
      <c r="F96" s="69">
        <v>40</v>
      </c>
      <c r="G96" s="7">
        <f t="shared" si="13"/>
        <v>2.7777777777777777</v>
      </c>
      <c r="H96" s="5" t="s">
        <v>122</v>
      </c>
      <c r="I96" s="6"/>
      <c r="J96" s="6"/>
      <c r="K96" s="45"/>
      <c r="L96" s="45"/>
    </row>
    <row r="97" spans="1:12" ht="19.5">
      <c r="A97" s="61" t="s">
        <v>69</v>
      </c>
      <c r="B97" s="6" t="s">
        <v>17</v>
      </c>
      <c r="C97" s="42">
        <v>105</v>
      </c>
      <c r="D97" s="42">
        <v>110</v>
      </c>
      <c r="E97" s="42">
        <v>100</v>
      </c>
      <c r="F97" s="42">
        <v>105</v>
      </c>
      <c r="G97" s="7">
        <f t="shared" si="13"/>
        <v>4.8780487804878048</v>
      </c>
      <c r="H97" s="5" t="s">
        <v>123</v>
      </c>
      <c r="I97" s="6"/>
      <c r="J97" s="6"/>
      <c r="K97" s="45"/>
      <c r="L97" s="45"/>
    </row>
    <row r="98" spans="1:12" ht="19.5">
      <c r="A98" s="1"/>
      <c r="B98" s="54"/>
      <c r="C98" s="37"/>
      <c r="D98" s="37"/>
      <c r="E98" s="37"/>
      <c r="F98" s="37"/>
      <c r="G98" s="9"/>
      <c r="H98" s="1"/>
      <c r="I98" s="3"/>
      <c r="J98" s="3"/>
      <c r="K98" s="45"/>
      <c r="L98" s="45"/>
    </row>
    <row r="99" spans="1:12" ht="19.5">
      <c r="A99" s="1"/>
      <c r="B99" s="3"/>
      <c r="C99" s="37"/>
      <c r="D99" s="37"/>
      <c r="E99" s="37"/>
      <c r="F99" s="37"/>
      <c r="G99" s="9"/>
      <c r="H99" s="46"/>
      <c r="I99" s="45"/>
      <c r="J99" s="45"/>
      <c r="K99" s="45"/>
      <c r="L99" s="45"/>
    </row>
    <row r="100" spans="1:12" ht="19.5">
      <c r="A100" s="1"/>
      <c r="B100" s="47"/>
      <c r="C100" s="48"/>
      <c r="D100" s="48"/>
      <c r="E100" s="3"/>
      <c r="F100" s="48"/>
      <c r="G100" s="9"/>
      <c r="H100" s="46"/>
      <c r="I100" s="45"/>
      <c r="J100" s="45"/>
      <c r="K100" s="45"/>
      <c r="L100" s="45"/>
    </row>
    <row r="101" spans="1:12" ht="19.5">
      <c r="A101" s="47"/>
      <c r="B101" s="1"/>
      <c r="C101" s="49" t="s">
        <v>110</v>
      </c>
      <c r="D101" s="2"/>
      <c r="E101" s="47"/>
      <c r="F101" s="50"/>
      <c r="G101" s="3" t="s">
        <v>120</v>
      </c>
      <c r="H101" s="2"/>
      <c r="I101" s="47"/>
    </row>
    <row r="102" spans="1:12" ht="19.5">
      <c r="A102" s="47"/>
      <c r="B102" s="51"/>
      <c r="C102" s="49" t="s">
        <v>111</v>
      </c>
      <c r="D102" s="3"/>
      <c r="E102" s="47"/>
      <c r="F102" s="52"/>
      <c r="G102" s="3" t="s">
        <v>121</v>
      </c>
      <c r="H102" s="47"/>
      <c r="I102" s="47"/>
    </row>
    <row r="103" spans="1:12" ht="19.5">
      <c r="A103" s="1"/>
      <c r="B103" s="3"/>
      <c r="C103" s="48"/>
      <c r="D103" s="3"/>
      <c r="E103" s="48"/>
      <c r="F103" s="1"/>
      <c r="G103" s="3"/>
      <c r="H103" s="3"/>
      <c r="I103" s="2"/>
      <c r="J103" s="2"/>
      <c r="K103" s="2"/>
      <c r="L103" s="2"/>
    </row>
    <row r="104" spans="1:12" ht="19.5">
      <c r="A104" s="35" t="s">
        <v>89</v>
      </c>
      <c r="B104" s="33"/>
      <c r="C104" s="31"/>
      <c r="D104" s="33"/>
      <c r="E104" s="31"/>
      <c r="F104" s="31"/>
      <c r="G104" s="31"/>
      <c r="H104" s="32"/>
      <c r="I104" s="2"/>
      <c r="J104" s="2"/>
      <c r="K104" s="2"/>
      <c r="L104" s="2"/>
    </row>
    <row r="105" spans="1:12" ht="19.5">
      <c r="A105" s="34" t="s">
        <v>93</v>
      </c>
      <c r="B105" s="33"/>
      <c r="C105" s="31"/>
      <c r="D105" s="33"/>
      <c r="E105" s="31"/>
      <c r="F105" s="31"/>
      <c r="G105" s="33"/>
      <c r="H105" s="32"/>
      <c r="I105" s="2"/>
      <c r="J105" s="2"/>
      <c r="K105" s="2"/>
      <c r="L105" s="2"/>
    </row>
    <row r="106" spans="1:12" ht="19.5">
      <c r="A106" s="34" t="s">
        <v>117</v>
      </c>
      <c r="B106" s="33"/>
      <c r="C106" s="33"/>
      <c r="D106" s="33"/>
      <c r="E106" s="33"/>
      <c r="F106" s="31"/>
      <c r="G106" s="33"/>
      <c r="H106" s="32"/>
      <c r="I106" s="2"/>
      <c r="J106" s="2"/>
      <c r="K106" s="2"/>
      <c r="L106" s="2"/>
    </row>
    <row r="107" spans="1:12" ht="19.5">
      <c r="A107" s="34" t="s">
        <v>83</v>
      </c>
      <c r="B107" s="33"/>
      <c r="C107" s="33"/>
      <c r="D107" s="33"/>
      <c r="E107" s="33"/>
      <c r="F107" s="32"/>
      <c r="G107" s="32"/>
      <c r="H107" s="32"/>
      <c r="I107" s="2"/>
      <c r="J107" s="2"/>
      <c r="K107" s="2"/>
      <c r="L107" s="2"/>
    </row>
    <row r="108" spans="1:12" ht="19.5">
      <c r="A108" s="34" t="s">
        <v>118</v>
      </c>
      <c r="B108" s="33"/>
      <c r="C108" s="33"/>
      <c r="D108" s="33"/>
      <c r="E108" s="33"/>
      <c r="F108" s="33"/>
      <c r="G108" s="32"/>
      <c r="H108" s="32"/>
      <c r="I108" s="2"/>
      <c r="J108" s="2"/>
      <c r="K108" s="2"/>
      <c r="L108" s="2"/>
    </row>
    <row r="109" spans="1:12" ht="19.5">
      <c r="A109" s="34" t="s">
        <v>92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9.5">
      <c r="A110" s="34" t="s">
        <v>100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9.5">
      <c r="A111" s="34" t="s">
        <v>91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9.5">
      <c r="A112" s="34" t="s">
        <v>90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9.5">
      <c r="A113" s="34" t="s">
        <v>84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9.5">
      <c r="A114" s="34" t="s">
        <v>94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9.5">
      <c r="A115" s="34" t="s">
        <v>116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9.5">
      <c r="A116" s="34" t="s">
        <v>95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9.5">
      <c r="A117" s="34" t="s">
        <v>96</v>
      </c>
      <c r="B117" s="33"/>
      <c r="C117" s="33"/>
      <c r="D117" s="33"/>
      <c r="E117" s="33"/>
      <c r="F117" s="33"/>
      <c r="G117" s="33"/>
      <c r="H117" s="32"/>
      <c r="I117" s="2"/>
      <c r="J117" s="2"/>
      <c r="K117" s="2"/>
      <c r="L117" s="2"/>
    </row>
    <row r="118" spans="1:12" ht="19.5">
      <c r="A118" s="34" t="s">
        <v>119</v>
      </c>
      <c r="B118" s="33"/>
      <c r="C118" s="33"/>
      <c r="D118" s="33"/>
      <c r="E118" s="33"/>
      <c r="F118" s="33"/>
      <c r="G118" s="33"/>
      <c r="H118" s="36"/>
      <c r="I118" s="45"/>
      <c r="J118" s="45"/>
      <c r="K118" s="45"/>
      <c r="L118" s="45"/>
    </row>
    <row r="119" spans="1:12" ht="19.5">
      <c r="A119" s="34"/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9.5">
      <c r="A120" s="35" t="s">
        <v>85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9.5">
      <c r="A121" s="34" t="s">
        <v>86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9.5">
      <c r="A122" s="34" t="s">
        <v>106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9.5">
      <c r="A123" s="34" t="s">
        <v>105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  <row r="124" spans="1:12" ht="19.5">
      <c r="A124" s="34" t="s">
        <v>104</v>
      </c>
      <c r="B124" s="33"/>
      <c r="C124" s="33"/>
      <c r="D124" s="33"/>
      <c r="E124" s="33"/>
      <c r="F124" s="33"/>
      <c r="G124" s="33"/>
      <c r="H124" s="36"/>
      <c r="I124" s="45"/>
      <c r="J124" s="45"/>
      <c r="K124" s="45"/>
      <c r="L124" s="45"/>
    </row>
  </sheetData>
  <mergeCells count="21"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  <mergeCell ref="J8:K8"/>
    <mergeCell ref="C9:D9"/>
    <mergeCell ref="E9:F9"/>
    <mergeCell ref="G9:H9"/>
    <mergeCell ref="J9:K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2026-04-08T09:40:23Z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