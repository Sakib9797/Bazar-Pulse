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5D58A461-1E16-48B0-90B3-4D5FB61AF06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price'!$A$1:$L$119</definedName>
  </definedNames>
  <calcPr calcId="191028"/>
</workbook>
</file>

<file path=xl/calcChain.xml><?xml version="1.0" encoding="utf-8"?>
<calcChain xmlns="http://schemas.openxmlformats.org/spreadsheetml/2006/main">
  <c r="G87" i="4" l="1"/>
  <c r="G86" i="4"/>
  <c r="G88" i="4"/>
  <c r="G89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<sst xmlns="http://schemas.openxmlformats.org/spreadsheetml/2006/main" count="226" uniqueCount="130">
  <si>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</si>
  <si>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</si>
  <si>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</si>
  <si>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</si>
  <si>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</si>
  <si>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</si>
  <si>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</si>
  <si>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</si>
  <si>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</si>
  <si>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</si>
  <si>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</si>
  <si>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</si>
  <si>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</si>
  <si>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</si>
  <si>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</si>
  <si>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</si>
  <si>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</si>
  <si>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</si>
  <si>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</si>
  <si>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</si>
  <si>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</si>
  <si>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</si>
  <si>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</si>
  <si>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</si>
  <si>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</si>
  <si>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</si>
  <si>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</si>
  <si>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</si>
  <si>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</si>
  <si>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</si>
  <si>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</si>
  <si>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</si>
  <si>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</si>
  <si>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</si>
  <si>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</si>
  <si>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</si>
  <si>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</si>
  <si>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</si>
  <si>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</si>
  <si>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</si>
  <si>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</si>
  <si>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</si>
  <si>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</si>
  <si>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</si>
  <si>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</si>
  <si>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</si>
  <si>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</si>
  <si>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</si>
  <si>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</si>
  <si>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</si>
  <si>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</si>
  <si>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</si>
  <si>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</si>
  <si>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</si>
  <si>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</si>
  <si>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</si>
  <si>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</si>
  <si>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</si>
  <si>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</si>
  <si>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</si>
  <si>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</si>
  <si>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</si>
  <si>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</si>
  <si>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</si>
  <si>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</si>
  <si>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</si>
  <si>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</si>
  <si>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</si>
  <si>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</si>
  <si>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</si>
  <si>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</si>
  <si>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</si>
  <si>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</si>
  <si>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</si>
  <si>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</si>
  <si>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</si>
  <si>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</si>
  <si>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</si>
  <si>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</si>
  <si>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</si>
  <si>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</si>
  <si>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</si>
  <si>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</si>
  <si>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</si>
  <si>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</si>
  <si>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</si>
  <si>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</si>
  <si>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</si>
  <si>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</si>
  <si>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</si>
  <si>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</si>
  <si>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</si>
  <si>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</si>
  <si>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</si>
  <si>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</si>
  <si>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</si>
  <si>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</si>
  <si>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</si>
  <si>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</si>
  <si>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</si>
  <si>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</si>
  <si>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</si>
  <si>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</si>
  <si>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</si>
  <si>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</si>
  <si>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</si>
  <si>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</si>
  <si>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</si>
  <si>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</si>
  <si>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</si>
  <si>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</si>
  <si>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</si>
  <si>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</si>
  <si>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</si>
  <si>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</si>
  <si>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</si>
  <si>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</si>
  <si>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</si>
  <si>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</si>
  <si>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</si>
  <si>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</si>
  <si>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</si>
  <si>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০৬-০৭-২০২৬ তারিখে মূল্য হ্রাস পেয়েছে।</t>
  </si>
  <si>
    <t>০৭-০৭-২০২৬ তারিখে মূল্য হ্রাস পেয়েছে।</t>
  </si>
  <si>
    <t xml:space="preserve">নং-২৬.০৫.০০০০.০১৭.৩১.০১.২৬-৫৩৭                                                                                                           তারিখঃ ১২-০৭-২০২৬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</si>
  <si>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১৬৮</t>
  </si>
  <si>
    <t xml:space="preserve">রবিবার ১২ জুলাই ২০২৬ খ্রিঃ, ২৮ আষাঢ় ১৪৩৩ বাংলা, ২৬ মহরম ১৪৪৮ হিজরি </t>
  </si>
  <si>
    <t>১২-০৭-২০২৬ তারিখে মূল্য বৃদ্ধি পেয়েছে।</t>
  </si>
  <si>
    <t>(১)    চাল (সরু, মোটা), বেগুন  এর মূল্য হ্রাস পেয়েছে।</t>
  </si>
  <si>
    <t>(২)    মুরগী ব্রয়লার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</si>
</sst>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4"/>
  <sheetViews>
    <sheetView tabSelected="1" topLeftCell="A76" zoomScale="93" zoomScaleNormal="93" workbookViewId="0">
      <selection activeCell="B82" sqref="B82:L82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82" t="s">
        <v>119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8">
      <c r="A2" s="83" t="s">
        <v>120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8">
      <c r="A3" s="84" t="s">
        <v>125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8">
      <c r="A4" s="85" t="s">
        <v>126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P4" s="55"/>
      <c r="Q4" s="55"/>
      <c r="R4" s="55"/>
    </row>
    <row r="5" spans="1:18">
      <c r="A5" s="86" t="s">
        <v>124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P5" s="56"/>
      <c r="Q5" s="57"/>
    </row>
    <row r="6" spans="1:18" s="28" customFormat="1">
      <c r="A6" s="75" t="s">
        <v>1</v>
      </c>
      <c r="B6" s="75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5" t="s">
        <v>6</v>
      </c>
      <c r="J6" s="72" t="s">
        <v>7</v>
      </c>
      <c r="K6" s="74"/>
      <c r="L6" s="27" t="s">
        <v>8</v>
      </c>
      <c r="M6" s="52"/>
    </row>
    <row r="7" spans="1:18" s="28" customFormat="1">
      <c r="A7" s="76"/>
      <c r="B7" s="76"/>
      <c r="C7" s="77">
        <v>46215</v>
      </c>
      <c r="D7" s="78"/>
      <c r="E7" s="77">
        <v>46208</v>
      </c>
      <c r="F7" s="78"/>
      <c r="G7" s="77">
        <v>46185</v>
      </c>
      <c r="H7" s="78"/>
      <c r="I7" s="25" t="s">
        <v>9</v>
      </c>
      <c r="J7" s="79">
        <v>45850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70</v>
      </c>
      <c r="H9" s="40">
        <v>85</v>
      </c>
      <c r="I9" s="49">
        <f>((C9+D9)/2-(G9+H9)/2)/((G9+H9)/2)*100</f>
        <v>0</v>
      </c>
      <c r="J9" s="59">
        <v>75</v>
      </c>
      <c r="K9" s="59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48</v>
      </c>
      <c r="D11" s="40">
        <v>60</v>
      </c>
      <c r="E11" s="40">
        <v>50</v>
      </c>
      <c r="F11" s="40">
        <v>60</v>
      </c>
      <c r="G11" s="40">
        <v>52</v>
      </c>
      <c r="H11" s="40">
        <v>60</v>
      </c>
      <c r="I11" s="49">
        <f>((C11+D11)/2-(G11+H11)/2)/((G11+H11)/2)*100</f>
        <v>-3.5714285714285712</v>
      </c>
      <c r="J11" s="59">
        <v>55</v>
      </c>
      <c r="K11" s="59">
        <v>60</v>
      </c>
      <c r="L11" s="50">
        <f>((C11+D11)/2-(J11+K11)/2)/((J11+K11)/2)*100</f>
        <v>-6.0869565217391308</v>
      </c>
      <c r="M11" s="52">
        <f t="shared" si="0"/>
        <v>-1.8181818181818181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56</v>
      </c>
      <c r="K15" s="59">
        <v>60</v>
      </c>
      <c r="L15" s="50">
        <f>((C15+D15)/2-(J15+K15)/2)/((J15+K15)/2)*100</f>
        <v>-0.86206896551724133</v>
      </c>
      <c r="M15" s="52">
        <f t="shared" si="0"/>
        <v>0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>
      <c r="A18" s="46" t="s">
        <v>23</v>
      </c>
      <c r="B18" s="47" t="s">
        <v>24</v>
      </c>
      <c r="C18" s="42">
        <v>188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0.52493438320209973</v>
      </c>
      <c r="J18" s="59">
        <v>162</v>
      </c>
      <c r="K18" s="59">
        <v>170</v>
      </c>
      <c r="L18" s="50">
        <f t="shared" ref="L18:L24" si="2">((C18+D18)/2-(J18+K18)/2)/((J18+K18)/2)*100</f>
        <v>15.361445783132529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915</v>
      </c>
      <c r="K19" s="59">
        <v>920</v>
      </c>
      <c r="L19" s="50">
        <f t="shared" si="2"/>
        <v>6.2670299727520433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375</v>
      </c>
      <c r="K20" s="59">
        <v>378</v>
      </c>
      <c r="L20" s="50">
        <f t="shared" si="2"/>
        <v>5.7104913678618852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148</v>
      </c>
      <c r="K22" s="59">
        <v>155</v>
      </c>
      <c r="L22" s="50">
        <f t="shared" si="2"/>
        <v>10.561056105610561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100</v>
      </c>
      <c r="K26" s="59">
        <v>110</v>
      </c>
      <c r="L26" s="50">
        <f t="shared" ref="L26:L32" si="4">((C26+D26)/2-(J26+K26)/2)/((J26+K26)/2)*100</f>
        <v>-7.1428571428571423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110</v>
      </c>
      <c r="K27" s="59">
        <v>120</v>
      </c>
      <c r="L27" s="50">
        <f t="shared" si="4"/>
        <v>2.1739130434782608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135</v>
      </c>
      <c r="L28" s="50">
        <f t="shared" si="4"/>
        <v>19.230769230769234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70</v>
      </c>
      <c r="K30" s="59">
        <v>80</v>
      </c>
      <c r="L30" s="50">
        <f t="shared" si="4"/>
        <v>-10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>
      <c r="A34" s="46" t="s">
        <v>101</v>
      </c>
      <c r="B34" s="47" t="s">
        <v>14</v>
      </c>
      <c r="C34" s="42">
        <v>35</v>
      </c>
      <c r="D34" s="42">
        <v>45</v>
      </c>
      <c r="E34" s="42">
        <v>35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0</v>
      </c>
      <c r="J34" s="59">
        <v>55</v>
      </c>
      <c r="K34" s="59">
        <v>65</v>
      </c>
      <c r="L34" s="50">
        <f t="shared" ref="L34:L49" si="6">((C34+D34)/2-(J34+K34)/2)/((J34+K34)/2)*100</f>
        <v>-33.333333333333329</v>
      </c>
      <c r="M34" s="52">
        <f>((C34+D34)/2-(E34+F34)/2)/((E34+F34)/2)*100</f>
        <v>0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90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15</v>
      </c>
      <c r="J36" s="59">
        <v>110</v>
      </c>
      <c r="K36" s="59">
        <v>150</v>
      </c>
      <c r="L36" s="50">
        <f t="shared" si="6"/>
        <v>-11.538461538461538</v>
      </c>
      <c r="M36" s="52">
        <f t="shared" si="0"/>
        <v>0</v>
      </c>
    </row>
    <row r="37" spans="1:13" s="51" customFormat="1">
      <c r="A37" s="46" t="s">
        <v>41</v>
      </c>
      <c r="B37" s="47" t="s">
        <v>14</v>
      </c>
      <c r="C37" s="42">
        <v>120</v>
      </c>
      <c r="D37" s="40">
        <v>200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-8.5714285714285712</v>
      </c>
      <c r="J37" s="59">
        <v>160</v>
      </c>
      <c r="K37" s="59">
        <v>200</v>
      </c>
      <c r="L37" s="50">
        <f t="shared" si="6"/>
        <v>-11.111111111111111</v>
      </c>
      <c r="M37" s="52">
        <f t="shared" si="0"/>
        <v>0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370</v>
      </c>
      <c r="I38" s="49">
        <f t="shared" si="5"/>
        <v>1.4925373134328357</v>
      </c>
      <c r="J38" s="59">
        <v>300</v>
      </c>
      <c r="K38" s="59">
        <v>350</v>
      </c>
      <c r="L38" s="50">
        <f t="shared" si="6"/>
        <v>4.6153846153846159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400</v>
      </c>
      <c r="K39" s="59">
        <v>450</v>
      </c>
      <c r="L39" s="50">
        <f t="shared" si="6"/>
        <v>-2.3529411764705883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280</v>
      </c>
      <c r="K41" s="59">
        <v>420</v>
      </c>
      <c r="L41" s="50">
        <f t="shared" si="6"/>
        <v>-7.1428571428571423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120</v>
      </c>
      <c r="D43" s="40">
        <v>180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-11.76470588235294</v>
      </c>
      <c r="J43" s="59">
        <v>150</v>
      </c>
      <c r="K43" s="59">
        <v>200</v>
      </c>
      <c r="L43" s="50">
        <f t="shared" si="6"/>
        <v>-14.285714285714285</v>
      </c>
      <c r="M43" s="52">
        <f t="shared" si="0"/>
        <v>0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650</v>
      </c>
      <c r="K44" s="59">
        <v>750</v>
      </c>
      <c r="L44" s="50">
        <f t="shared" si="6"/>
        <v>-7.1428571428571423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500</v>
      </c>
      <c r="K45" s="59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150</v>
      </c>
      <c r="K49" s="59">
        <v>220</v>
      </c>
      <c r="L49" s="50">
        <f t="shared" si="6"/>
        <v>8.1081081081081088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280</v>
      </c>
      <c r="K51" s="59">
        <v>400</v>
      </c>
      <c r="L51" s="50">
        <f t="shared" ref="L51:L56" si="8">((C51+D51)/2-(J51+K51)/2)/((J51+K51)/2)*100</f>
        <v>10.294117647058822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1300</v>
      </c>
      <c r="I54" s="49">
        <f t="shared" si="7"/>
        <v>2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160</v>
      </c>
      <c r="F55" s="40">
        <v>180</v>
      </c>
      <c r="G55" s="40">
        <v>170</v>
      </c>
      <c r="H55" s="40">
        <v>200</v>
      </c>
      <c r="I55" s="49">
        <f t="shared" si="7"/>
        <v>2.7027027027027026</v>
      </c>
      <c r="J55" s="59">
        <v>160</v>
      </c>
      <c r="K55" s="59">
        <v>170</v>
      </c>
      <c r="L55" s="50">
        <f t="shared" si="8"/>
        <v>15.151515151515152</v>
      </c>
      <c r="M55" s="52">
        <f t="shared" si="0"/>
        <v>11.76470588235294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7"/>
      <c r="K62" s="67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7"/>
      <c r="K63" s="67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7"/>
      <c r="K64" s="67"/>
      <c r="L64" s="5"/>
    </row>
    <row r="65" spans="1:13">
      <c r="A65" s="75" t="s">
        <v>1</v>
      </c>
      <c r="B65" s="75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5" t="s">
        <v>6</v>
      </c>
      <c r="J65" s="72" t="s">
        <v>7</v>
      </c>
      <c r="K65" s="74"/>
      <c r="L65" s="25" t="s">
        <v>8</v>
      </c>
    </row>
    <row r="66" spans="1:13" ht="18" customHeight="1">
      <c r="A66" s="76"/>
      <c r="B66" s="76"/>
      <c r="C66" s="77">
        <v>46215</v>
      </c>
      <c r="D66" s="78"/>
      <c r="E66" s="77">
        <v>46208</v>
      </c>
      <c r="F66" s="78"/>
      <c r="G66" s="77">
        <v>46185</v>
      </c>
      <c r="H66" s="78"/>
      <c r="I66" s="25" t="s">
        <v>9</v>
      </c>
      <c r="J66" s="79">
        <v>45850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110</v>
      </c>
      <c r="K68" s="59">
        <v>120</v>
      </c>
      <c r="L68" s="50">
        <f t="shared" ref="L68:L78" si="9">((C68+D68)/2-(J68+K68)/2)/((J68+K68)/2)*100</f>
        <v>-6.5217391304347823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-57.894736842105267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40</v>
      </c>
      <c r="I71" s="49">
        <f t="shared" ref="I71:I78" si="11">((C71+D71)/2-(G71+H71)/2)/((G71+H71)/2)*100</f>
        <v>-25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80</v>
      </c>
      <c r="D72" s="40">
        <v>150</v>
      </c>
      <c r="E72" s="40">
        <v>80</v>
      </c>
      <c r="F72" s="40">
        <v>150</v>
      </c>
      <c r="G72" s="40">
        <v>70</v>
      </c>
      <c r="H72" s="40">
        <v>120</v>
      </c>
      <c r="I72" s="49">
        <f t="shared" si="11"/>
        <v>21.052631578947366</v>
      </c>
      <c r="J72" s="48">
        <v>60</v>
      </c>
      <c r="K72" s="48">
        <v>120</v>
      </c>
      <c r="L72" s="50">
        <f t="shared" si="9"/>
        <v>27.777777777777779</v>
      </c>
      <c r="M72" s="52">
        <f t="shared" si="12"/>
        <v>0</v>
      </c>
    </row>
    <row r="73" spans="1:13" s="52" customFormat="1" ht="19.5">
      <c r="A73" s="46" t="s">
        <v>106</v>
      </c>
      <c r="B73" s="53" t="s">
        <v>14</v>
      </c>
      <c r="C73" s="40">
        <v>60</v>
      </c>
      <c r="D73" s="40">
        <v>90</v>
      </c>
      <c r="E73" s="40">
        <v>60</v>
      </c>
      <c r="F73" s="40">
        <v>100</v>
      </c>
      <c r="G73" s="40">
        <v>70</v>
      </c>
      <c r="H73" s="40">
        <v>110</v>
      </c>
      <c r="I73" s="49">
        <f t="shared" si="11"/>
        <v>-16.666666666666664</v>
      </c>
      <c r="J73" s="48">
        <v>60</v>
      </c>
      <c r="K73" s="48">
        <v>100</v>
      </c>
      <c r="L73" s="50">
        <f t="shared" si="9"/>
        <v>-6.25</v>
      </c>
      <c r="M73" s="52">
        <f t="shared" si="12"/>
        <v>-6.25</v>
      </c>
    </row>
    <row r="74" spans="1:13" s="52" customFormat="1" ht="19.5">
      <c r="A74" s="46" t="s">
        <v>107</v>
      </c>
      <c r="B74" s="53" t="s">
        <v>14</v>
      </c>
      <c r="C74" s="40">
        <v>60</v>
      </c>
      <c r="D74" s="40">
        <v>80</v>
      </c>
      <c r="E74" s="40">
        <v>60</v>
      </c>
      <c r="F74" s="40">
        <v>80</v>
      </c>
      <c r="G74" s="40">
        <v>60</v>
      </c>
      <c r="H74" s="40">
        <v>80</v>
      </c>
      <c r="I74" s="49">
        <f t="shared" si="11"/>
        <v>0</v>
      </c>
      <c r="J74" s="48">
        <v>50</v>
      </c>
      <c r="K74" s="48">
        <v>80</v>
      </c>
      <c r="L74" s="50">
        <f t="shared" si="9"/>
        <v>7.6923076923076925</v>
      </c>
      <c r="M74" s="52">
        <f t="shared" si="12"/>
        <v>0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3">
        <v>40</v>
      </c>
      <c r="K75" s="63">
        <v>46</v>
      </c>
      <c r="L75" s="50">
        <f t="shared" si="9"/>
        <v>10.465116279069768</v>
      </c>
      <c r="M75" s="52">
        <f t="shared" si="12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85000</v>
      </c>
      <c r="H77" s="40">
        <v>90000</v>
      </c>
      <c r="I77" s="49">
        <f t="shared" si="11"/>
        <v>2.8571428571428572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81000</v>
      </c>
      <c r="H78" s="45">
        <v>83000</v>
      </c>
      <c r="I78" s="49">
        <f t="shared" si="11"/>
        <v>2.1341463414634148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1" t="s">
        <v>128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2">
      <c r="A82" s="7"/>
      <c r="B82" s="81" t="s">
        <v>129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2" t="s">
        <v>3</v>
      </c>
      <c r="D85" s="74"/>
      <c r="E85" s="87" t="s">
        <v>78</v>
      </c>
      <c r="F85" s="88"/>
      <c r="G85" s="26" t="s">
        <v>9</v>
      </c>
      <c r="H85" s="72" t="s">
        <v>79</v>
      </c>
      <c r="I85" s="73"/>
      <c r="J85" s="74"/>
      <c r="K85" s="10"/>
      <c r="L85" s="2"/>
    </row>
    <row r="86" spans="1:12">
      <c r="A86" s="46" t="s">
        <v>13</v>
      </c>
      <c r="B86" s="47" t="s">
        <v>14</v>
      </c>
      <c r="C86" s="40">
        <v>70</v>
      </c>
      <c r="D86" s="40">
        <v>85</v>
      </c>
      <c r="E86" s="40">
        <v>72</v>
      </c>
      <c r="F86" s="40">
        <v>85</v>
      </c>
      <c r="G86" s="31">
        <f t="shared" ref="G86:G87" si="13">((C86+D86)/2-(E86+F86)/2)/((E86+F86)/2)*100</f>
        <v>-1.2738853503184715</v>
      </c>
      <c r="H86" s="72" t="s">
        <v>122</v>
      </c>
      <c r="I86" s="73"/>
      <c r="J86" s="74"/>
      <c r="K86" s="10"/>
      <c r="L86" s="2"/>
    </row>
    <row r="87" spans="1:12">
      <c r="A87" s="46" t="s">
        <v>15</v>
      </c>
      <c r="B87" s="47" t="s">
        <v>14</v>
      </c>
      <c r="C87" s="40">
        <v>48</v>
      </c>
      <c r="D87" s="40">
        <v>60</v>
      </c>
      <c r="E87" s="40">
        <v>50</v>
      </c>
      <c r="F87" s="40">
        <v>60</v>
      </c>
      <c r="G87" s="31">
        <f t="shared" si="13"/>
        <v>-1.8181818181818181</v>
      </c>
      <c r="H87" s="72" t="s">
        <v>122</v>
      </c>
      <c r="I87" s="73"/>
      <c r="J87" s="74"/>
      <c r="K87" s="10"/>
      <c r="L87" s="2"/>
    </row>
    <row r="88" spans="1:12">
      <c r="A88" s="46" t="s">
        <v>57</v>
      </c>
      <c r="B88" s="47" t="s">
        <v>14</v>
      </c>
      <c r="C88" s="40">
        <v>180</v>
      </c>
      <c r="D88" s="40">
        <v>200</v>
      </c>
      <c r="E88" s="40">
        <v>160</v>
      </c>
      <c r="F88" s="40">
        <v>180</v>
      </c>
      <c r="G88" s="31">
        <f t="shared" ref="G88:G89" si="14">((C88+D88)/2-(E88+F88)/2)/((E88+F88)/2)*100</f>
        <v>11.76470588235294</v>
      </c>
      <c r="H88" s="72" t="s">
        <v>127</v>
      </c>
      <c r="I88" s="73"/>
      <c r="J88" s="74"/>
      <c r="K88" s="10"/>
      <c r="L88" s="2"/>
    </row>
    <row r="89" spans="1:12">
      <c r="A89" s="46" t="s">
        <v>106</v>
      </c>
      <c r="B89" s="53" t="s">
        <v>14</v>
      </c>
      <c r="C89" s="40">
        <v>60</v>
      </c>
      <c r="D89" s="40">
        <v>90</v>
      </c>
      <c r="E89" s="40">
        <v>60</v>
      </c>
      <c r="F89" s="40">
        <v>100</v>
      </c>
      <c r="G89" s="31">
        <f t="shared" si="14"/>
        <v>-6.25</v>
      </c>
      <c r="H89" s="72" t="s">
        <v>123</v>
      </c>
      <c r="I89" s="73"/>
      <c r="J89" s="74"/>
      <c r="K89" s="10"/>
      <c r="L89" s="54"/>
    </row>
    <row r="90" spans="1:12">
      <c r="A90" s="65"/>
      <c r="B90" s="70"/>
      <c r="C90" s="67"/>
      <c r="D90" s="67"/>
      <c r="E90" s="67"/>
      <c r="F90" s="67"/>
      <c r="G90" s="69"/>
      <c r="H90" s="71"/>
      <c r="I90" s="71"/>
      <c r="J90" s="71"/>
      <c r="K90" s="10"/>
      <c r="L90" s="12"/>
    </row>
    <row r="91" spans="1:12">
      <c r="A91" s="65"/>
      <c r="B91" s="66"/>
      <c r="C91" s="67"/>
      <c r="D91" s="68"/>
      <c r="E91" s="67"/>
      <c r="F91" s="68"/>
      <c r="G91" s="69"/>
      <c r="H91" s="7"/>
      <c r="I91" s="1"/>
      <c r="J91" s="1"/>
      <c r="K91" s="10"/>
      <c r="L91" s="12"/>
    </row>
    <row r="92" spans="1:12">
      <c r="A92" s="7"/>
      <c r="B92" s="13"/>
      <c r="C92" s="3"/>
      <c r="D92" s="3"/>
      <c r="E92" s="3"/>
      <c r="F92" s="3"/>
      <c r="G92" s="4"/>
      <c r="H92" s="7"/>
      <c r="I92" s="1"/>
      <c r="J92" s="1"/>
      <c r="K92" s="12"/>
      <c r="L92" s="12"/>
    </row>
    <row r="93" spans="1:12">
      <c r="A93" s="7"/>
      <c r="B93" s="14" t="s">
        <v>114</v>
      </c>
      <c r="C93" s="2"/>
      <c r="E93" s="7"/>
      <c r="F93" s="14" t="s">
        <v>102</v>
      </c>
      <c r="G93" s="2"/>
      <c r="I93" s="15"/>
      <c r="J93" s="1"/>
      <c r="K93" s="2"/>
      <c r="L93" s="12"/>
    </row>
    <row r="94" spans="1:12">
      <c r="A94" s="16"/>
      <c r="B94" s="14" t="s">
        <v>113</v>
      </c>
      <c r="C94" s="1"/>
      <c r="E94" s="16"/>
      <c r="F94" s="14" t="s">
        <v>103</v>
      </c>
      <c r="G94" s="1"/>
      <c r="I94" s="2"/>
      <c r="J94" s="1"/>
      <c r="L94" s="12"/>
    </row>
    <row r="95" spans="1:12">
      <c r="A95" s="7"/>
      <c r="B95" s="13"/>
      <c r="C95" s="3"/>
      <c r="D95" s="3"/>
      <c r="E95" s="3"/>
      <c r="F95" s="3"/>
      <c r="G95" s="4"/>
      <c r="H95" s="7"/>
      <c r="I95" s="1"/>
      <c r="J95" s="1"/>
      <c r="K95" s="12"/>
      <c r="L95" s="12"/>
    </row>
    <row r="96" spans="1:12">
      <c r="A96" s="7"/>
      <c r="B96" s="1"/>
      <c r="C96" s="3"/>
      <c r="D96" s="3"/>
      <c r="E96" s="3"/>
      <c r="F96" s="3"/>
      <c r="G96" s="4"/>
      <c r="H96" s="17"/>
      <c r="I96" s="12"/>
      <c r="J96" s="12"/>
      <c r="K96" s="12"/>
      <c r="L96" s="12"/>
    </row>
    <row r="97" spans="1:12">
      <c r="A97" s="7"/>
      <c r="C97" s="6"/>
      <c r="D97" s="6"/>
      <c r="E97" s="1"/>
      <c r="F97" s="6"/>
      <c r="G97" s="4"/>
      <c r="H97" s="17"/>
      <c r="I97" s="12"/>
      <c r="J97" s="12"/>
      <c r="K97" s="12"/>
      <c r="L97" s="12"/>
    </row>
    <row r="98" spans="1:12">
      <c r="A98" s="18" t="s">
        <v>86</v>
      </c>
      <c r="B98" s="19"/>
      <c r="C98" s="20"/>
      <c r="D98" s="19"/>
      <c r="E98" s="20"/>
      <c r="F98" s="20"/>
      <c r="G98" s="20"/>
      <c r="H98" s="21"/>
      <c r="I98" s="2"/>
      <c r="J98" s="2"/>
      <c r="K98" s="2"/>
      <c r="L98" s="2"/>
    </row>
    <row r="99" spans="1:12">
      <c r="A99" s="22" t="s">
        <v>115</v>
      </c>
      <c r="B99" s="19"/>
      <c r="C99" s="20"/>
      <c r="D99" s="19"/>
      <c r="E99" s="20"/>
      <c r="F99" s="20"/>
      <c r="G99" s="19"/>
      <c r="H99" s="21"/>
      <c r="I99" s="2"/>
      <c r="J99" s="2"/>
      <c r="K99" s="2"/>
      <c r="L99" s="2"/>
    </row>
    <row r="100" spans="1:12">
      <c r="A100" s="22" t="s">
        <v>108</v>
      </c>
      <c r="B100" s="19"/>
      <c r="C100" s="19"/>
      <c r="D100" s="19"/>
      <c r="E100" s="19"/>
      <c r="F100" s="20"/>
      <c r="G100" s="19"/>
      <c r="H100" s="21"/>
      <c r="I100" s="2"/>
      <c r="J100" s="2"/>
      <c r="K100" s="2"/>
      <c r="L100" s="2"/>
    </row>
    <row r="101" spans="1:12">
      <c r="A101" s="22" t="s">
        <v>80</v>
      </c>
      <c r="B101" s="19"/>
      <c r="C101" s="19"/>
      <c r="D101" s="19"/>
      <c r="E101" s="19"/>
      <c r="F101" s="21"/>
      <c r="G101" s="21"/>
      <c r="H101" s="21"/>
      <c r="I101" s="2"/>
      <c r="J101" s="2"/>
      <c r="K101" s="2"/>
      <c r="L101" s="2"/>
    </row>
    <row r="102" spans="1:12">
      <c r="A102" s="22" t="s">
        <v>109</v>
      </c>
      <c r="B102" s="19"/>
      <c r="C102" s="19"/>
      <c r="D102" s="19"/>
      <c r="E102" s="19"/>
      <c r="F102" s="19"/>
      <c r="G102" s="21"/>
      <c r="H102" s="21"/>
      <c r="I102" s="2"/>
      <c r="J102" s="2"/>
      <c r="K102" s="2"/>
      <c r="L102" s="2"/>
    </row>
    <row r="103" spans="1:12">
      <c r="A103" s="22" t="s">
        <v>89</v>
      </c>
      <c r="B103" s="19"/>
      <c r="C103" s="19"/>
      <c r="D103" s="19"/>
      <c r="E103" s="19"/>
      <c r="F103" s="19"/>
      <c r="G103" s="19"/>
      <c r="H103" s="21"/>
      <c r="I103" s="2"/>
      <c r="J103" s="2"/>
      <c r="K103" s="2"/>
      <c r="L103" s="2"/>
    </row>
    <row r="104" spans="1:12">
      <c r="A104" s="22" t="s">
        <v>95</v>
      </c>
      <c r="B104" s="19"/>
      <c r="C104" s="19"/>
      <c r="D104" s="19"/>
      <c r="E104" s="19"/>
      <c r="F104" s="19"/>
      <c r="G104" s="19"/>
      <c r="H104" s="21"/>
      <c r="I104" s="2"/>
      <c r="J104" s="2"/>
      <c r="K104" s="2"/>
      <c r="L104" s="2"/>
    </row>
    <row r="105" spans="1:12">
      <c r="A105" s="22" t="s">
        <v>88</v>
      </c>
      <c r="B105" s="19"/>
      <c r="C105" s="19"/>
      <c r="D105" s="19"/>
      <c r="E105" s="19"/>
      <c r="F105" s="19"/>
      <c r="G105" s="19"/>
      <c r="H105" s="21"/>
      <c r="I105" s="2"/>
      <c r="J105" s="2"/>
      <c r="K105" s="2"/>
      <c r="L105" s="2"/>
    </row>
    <row r="106" spans="1:12">
      <c r="A106" s="22" t="s">
        <v>87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>
      <c r="A107" s="22" t="s">
        <v>81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90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116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91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92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110</v>
      </c>
      <c r="B112" s="19"/>
      <c r="C112" s="19"/>
      <c r="D112" s="19"/>
      <c r="E112" s="19"/>
      <c r="F112" s="19"/>
      <c r="G112" s="19"/>
      <c r="H112" s="23"/>
      <c r="I112" s="12"/>
      <c r="J112" s="12"/>
      <c r="K112" s="12"/>
      <c r="L112" s="12"/>
    </row>
    <row r="113" spans="1:12">
      <c r="A113" s="22"/>
      <c r="B113" s="19"/>
      <c r="C113" s="19"/>
      <c r="D113" s="19"/>
      <c r="E113" s="19"/>
      <c r="F113" s="19"/>
      <c r="G113" s="19"/>
      <c r="H113" s="23"/>
      <c r="I113" s="12"/>
      <c r="J113" s="12"/>
      <c r="K113" s="12"/>
      <c r="L113" s="12"/>
    </row>
    <row r="114" spans="1:12">
      <c r="A114" s="18" t="s">
        <v>82</v>
      </c>
      <c r="B114" s="19"/>
      <c r="C114" s="19"/>
      <c r="D114" s="19"/>
      <c r="E114" s="19"/>
      <c r="F114" s="19"/>
      <c r="G114" s="19"/>
      <c r="H114" s="23"/>
      <c r="I114" s="12"/>
      <c r="J114" s="12"/>
      <c r="K114" s="12"/>
      <c r="L114" s="12"/>
    </row>
    <row r="115" spans="1:12">
      <c r="A115" s="22" t="s">
        <v>83</v>
      </c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>
      <c r="A116" s="22" t="s">
        <v>117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 t="s">
        <v>118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 t="s">
        <v>99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434" spans="2:2">
      <c r="B434" s="11" t="s">
        <v>112</v>
      </c>
    </row>
  </sheetData>
  <mergeCells count="34">
    <mergeCell ref="E85:F85"/>
    <mergeCell ref="H85:J85"/>
    <mergeCell ref="B82:L82"/>
    <mergeCell ref="H88:J88"/>
    <mergeCell ref="H86:J86"/>
    <mergeCell ref="H87:J87"/>
    <mergeCell ref="C85:D8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B81:L81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2026-07-12T08:09:28Z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