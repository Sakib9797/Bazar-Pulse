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8_{2E7FA473-4ABD-5A43-99F3-E053DB9E8F8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8" i="4"/>
  <c r="G90" i="4"/>
  <c r="G93" i="4"/>
  <c r="G89" i="4"/>
  <c r="G95" i="4"/>
  <c r="G94" i="4"/>
  <c r="G87" i="4"/>
  <c r="G86" i="4"/>
  <c r="G92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<sst xmlns="http://schemas.openxmlformats.org/spreadsheetml/2006/main" count="247" uniqueCount="137">
  <si>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</si>
  <si>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</si>
  <si>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</si>
  <si>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</si>
  <si>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</si>
  <si>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</si>
  <si>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</si>
  <si>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</si>
  <si>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</si>
  <si>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</si>
  <si>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</si>
  <si>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</si>
  <si>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</si>
  <si>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</si>
  <si>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</si>
  <si>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</si>
  <si>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</si>
  <si>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</si>
  <si>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</si>
  <si>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</si>
  <si>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</si>
  <si>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</si>
  <si>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</si>
  <si>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</si>
  <si>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</si>
  <si>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</si>
  <si>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</si>
  <si>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</si>
  <si>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</si>
  <si>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</si>
  <si>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</si>
  <si>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</si>
  <si>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</si>
  <si>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</si>
  <si>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</si>
  <si>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</si>
  <si>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</si>
  <si>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</si>
  <si>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</si>
  <si>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</si>
  <si>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</si>
  <si>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</si>
  <si>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</si>
  <si>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</si>
  <si>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</si>
  <si>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</si>
  <si>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</si>
  <si>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</si>
  <si>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</si>
  <si>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</si>
  <si>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</si>
  <si>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</si>
  <si>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</si>
  <si>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</si>
  <si>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</si>
  <si>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</si>
  <si>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</si>
  <si>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</si>
  <si>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</si>
  <si>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</si>
  <si>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</si>
  <si>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</si>
  <si>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</si>
  <si>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</si>
  <si>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</si>
  <si>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</si>
  <si>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</si>
  <si>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</si>
  <si>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</si>
  <si>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</si>
  <si>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</si>
  <si>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</si>
  <si>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</si>
  <si>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</si>
  <si>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</si>
  <si>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</si>
  <si>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</si>
  <si>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</si>
  <si>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</si>
  <si>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</si>
  <si>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</si>
  <si>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</si>
  <si>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</si>
  <si>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</si>
  <si>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</si>
  <si>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</si>
  <si>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</si>
  <si>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</si>
  <si>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</si>
  <si>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</si>
  <si>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</si>
  <si>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</si>
  <si>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</si>
  <si>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</si>
  <si>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</si>
  <si>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</si>
  <si>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</si>
  <si>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</si>
  <si>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</si>
  <si>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</si>
  <si>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</si>
  <si>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</si>
  <si>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</si>
  <si>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</si>
  <si>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</si>
  <si>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</si>
  <si>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</si>
  <si>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</si>
  <si>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</si>
  <si>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</si>
  <si>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</si>
  <si>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</si>
  <si>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</si>
  <si>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</si>
  <si>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</si>
  <si>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</si>
  <si>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</si>
  <si>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</si>
  <si>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</si>
  <si>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</si>
  <si>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</si>
  <si>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</si>
  <si>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>১৩-০৭-২০২৬ তারিখে মূল্য বৃদ্ধি পেয়েছে।</t>
  </si>
  <si>
    <t>১৫-০৭-২০২৬ তারিখে মূল্য হ্রাস পেয়েছে।</t>
  </si>
  <si>
    <t>(৩)  অন্যান্য পণ্যের মূল্য অপরিবর্তীত রয়েছে।</t>
  </si>
  <si>
    <t>১৬-০৭-২০২৬ তারিখে মূল্য বৃদ্ধি পেয়েছে।</t>
  </si>
  <si>
    <t xml:space="preserve">নং-২৬.০৫.০০০০.০১৭.৩১.০১.২৬-৫৬৯                                                                                                           তারিখঃ ১৮-০৭-২০২৬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</si>
  <si>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১৭৪</t>
  </si>
  <si>
    <t xml:space="preserve">শনিবার ১৮ জুলাই ২০২৬ খ্রিঃ, ০৩ শ্রাবণ ১৪৩৩ বাংলা, ০৩ সফর ১৪৪৮ হিজরি </t>
  </si>
  <si>
    <t>১৭-০৭-২০২৬ তারিখে মূল্য বৃদ্ধি পেয়েছে।</t>
  </si>
  <si>
    <t>১৮-০৭-২০২৬ তারিখে মূল্য বৃদ্ধি পেয়েছে।</t>
  </si>
  <si>
    <t>১৭-০৭-২০২৬ তারিখে মূল্য হ্রাস পেয়েছে।</t>
  </si>
  <si>
    <t>(২)    সয়াবিন তেল লুজ, ডিম   এর মূল্য হ্রাস পেয়েছে।</t>
  </si>
  <si>
    <t>(১)    চাল (সরু, মোটা), রশুন (দেশী, আম), আদা (আম), কাঁচামরিচ, বেগুন, মুরগী ব্রয়লার,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</si>
</sst>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F1" zoomScale="93" zoomScaleNormal="93" workbookViewId="0">
      <selection activeCell="B81" sqref="B81:L81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2" customWidth="1"/>
    <col min="14" max="16384" width="8.8359375" style="11"/>
  </cols>
  <sheetData>
    <row r="1" spans="1:18" ht="23.25" x14ac:dyDescent="0.3">
      <c r="A1" s="85" t="s">
        <v>119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 x14ac:dyDescent="0.3">
      <c r="A2" s="86" t="s">
        <v>120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 x14ac:dyDescent="0.3">
      <c r="A3" s="87" t="s">
        <v>127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 x14ac:dyDescent="0.3">
      <c r="A4" s="88" t="s">
        <v>128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5"/>
      <c r="Q4" s="55"/>
      <c r="R4" s="55"/>
    </row>
    <row r="5" spans="1:18" x14ac:dyDescent="0.3">
      <c r="A5" s="89" t="s">
        <v>126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6"/>
      <c r="Q5" s="57"/>
    </row>
    <row r="6" spans="1:18" s="28" customFormat="1" x14ac:dyDescent="0.3">
      <c r="A6" s="76" t="s">
        <v>1</v>
      </c>
      <c r="B6" s="76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5" t="s">
        <v>6</v>
      </c>
      <c r="J6" s="73" t="s">
        <v>7</v>
      </c>
      <c r="K6" s="75"/>
      <c r="L6" s="27" t="s">
        <v>8</v>
      </c>
      <c r="M6" s="52"/>
    </row>
    <row r="7" spans="1:18" s="28" customFormat="1" x14ac:dyDescent="0.3">
      <c r="A7" s="77"/>
      <c r="B7" s="77"/>
      <c r="C7" s="78">
        <v>46221</v>
      </c>
      <c r="D7" s="79"/>
      <c r="E7" s="78">
        <v>46214</v>
      </c>
      <c r="F7" s="79"/>
      <c r="G7" s="78">
        <v>46191</v>
      </c>
      <c r="H7" s="79"/>
      <c r="I7" s="25" t="s">
        <v>9</v>
      </c>
      <c r="J7" s="80">
        <v>45856</v>
      </c>
      <c r="K7" s="81"/>
      <c r="L7" s="25" t="s">
        <v>9</v>
      </c>
      <c r="M7" s="52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 x14ac:dyDescent="0.3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 x14ac:dyDescent="0.3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 x14ac:dyDescent="0.3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 x14ac:dyDescent="0.3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 x14ac:dyDescent="0.3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 x14ac:dyDescent="0.3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 x14ac:dyDescent="0.3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 x14ac:dyDescent="0.3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 x14ac:dyDescent="0.3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 x14ac:dyDescent="0.3">
      <c r="A18" s="46" t="s">
        <v>23</v>
      </c>
      <c r="B18" s="47" t="s">
        <v>24</v>
      </c>
      <c r="C18" s="42">
        <v>185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-0.26246719160104987</v>
      </c>
      <c r="J18" s="59">
        <v>160</v>
      </c>
      <c r="K18" s="59">
        <v>170</v>
      </c>
      <c r="L18" s="50">
        <f t="shared" ref="L18:L24" si="2">((C18+D18)/2-(J18+K18)/2)/((J18+K18)/2)*100</f>
        <v>15.151515151515152</v>
      </c>
      <c r="M18" s="52">
        <f t="shared" si="0"/>
        <v>-0.7832898172323759</v>
      </c>
    </row>
    <row r="19" spans="1:13" s="28" customFormat="1" x14ac:dyDescent="0.3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 x14ac:dyDescent="0.3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 x14ac:dyDescent="0.3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 x14ac:dyDescent="0.3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 x14ac:dyDescent="0.3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 x14ac:dyDescent="0.3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 x14ac:dyDescent="0.3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 x14ac:dyDescent="0.3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95</v>
      </c>
      <c r="K26" s="59">
        <v>110</v>
      </c>
      <c r="L26" s="50">
        <f t="shared" ref="L26:L32" si="4">((C26+D26)/2-(J26+K26)/2)/((J26+K26)/2)*100</f>
        <v>-4.8780487804878048</v>
      </c>
      <c r="M26" s="52">
        <f t="shared" si="0"/>
        <v>0</v>
      </c>
    </row>
    <row r="27" spans="1:13" s="51" customFormat="1" x14ac:dyDescent="0.3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 x14ac:dyDescent="0.3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 x14ac:dyDescent="0.3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 x14ac:dyDescent="0.3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55</v>
      </c>
      <c r="K30" s="59">
        <v>80</v>
      </c>
      <c r="L30" s="50">
        <f t="shared" si="4"/>
        <v>0</v>
      </c>
      <c r="M30" s="52">
        <f t="shared" si="0"/>
        <v>0</v>
      </c>
    </row>
    <row r="31" spans="1:13" s="51" customFormat="1" x14ac:dyDescent="0.3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 x14ac:dyDescent="0.3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 x14ac:dyDescent="0.3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 x14ac:dyDescent="0.3">
      <c r="A34" s="46" t="s">
        <v>101</v>
      </c>
      <c r="B34" s="47" t="s">
        <v>14</v>
      </c>
      <c r="C34" s="42">
        <v>40</v>
      </c>
      <c r="D34" s="42">
        <v>45</v>
      </c>
      <c r="E34" s="42">
        <v>40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6.25</v>
      </c>
      <c r="J34" s="59">
        <v>60</v>
      </c>
      <c r="K34" s="59">
        <v>65</v>
      </c>
      <c r="L34" s="50">
        <f t="shared" ref="L34:L49" si="6">((C34+D34)/2-(J34+K34)/2)/((J34+K34)/2)*100</f>
        <v>-32</v>
      </c>
      <c r="M34" s="52">
        <f>((C34+D34)/2-(E34+F34)/2)/((E34+F34)/2)*100</f>
        <v>0</v>
      </c>
    </row>
    <row r="35" spans="1:13" s="51" customFormat="1" x14ac:dyDescent="0.3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 x14ac:dyDescent="0.3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 x14ac:dyDescent="0.3">
      <c r="A37" s="46" t="s">
        <v>41</v>
      </c>
      <c r="B37" s="47" t="s">
        <v>14</v>
      </c>
      <c r="C37" s="42">
        <v>140</v>
      </c>
      <c r="D37" s="40">
        <v>220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2.8571428571428572</v>
      </c>
      <c r="J37" s="59">
        <v>160</v>
      </c>
      <c r="K37" s="59">
        <v>200</v>
      </c>
      <c r="L37" s="50">
        <f t="shared" si="6"/>
        <v>0</v>
      </c>
      <c r="M37" s="52">
        <f t="shared" si="0"/>
        <v>12.5</v>
      </c>
    </row>
    <row r="38" spans="1:13" s="51" customFormat="1" x14ac:dyDescent="0.3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 x14ac:dyDescent="0.3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 x14ac:dyDescent="0.3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 x14ac:dyDescent="0.3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 x14ac:dyDescent="0.3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 x14ac:dyDescent="0.3">
      <c r="A43" s="46" t="s">
        <v>47</v>
      </c>
      <c r="B43" s="47" t="s">
        <v>14</v>
      </c>
      <c r="C43" s="40">
        <v>120</v>
      </c>
      <c r="D43" s="40">
        <v>200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-5.8823529411764701</v>
      </c>
      <c r="J43" s="59">
        <v>120</v>
      </c>
      <c r="K43" s="59">
        <v>200</v>
      </c>
      <c r="L43" s="50">
        <f t="shared" si="6"/>
        <v>0</v>
      </c>
      <c r="M43" s="52">
        <f t="shared" si="0"/>
        <v>6.666666666666667</v>
      </c>
    </row>
    <row r="44" spans="1:13" s="51" customFormat="1" x14ac:dyDescent="0.3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 x14ac:dyDescent="0.3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480</v>
      </c>
      <c r="K45" s="59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 x14ac:dyDescent="0.3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 x14ac:dyDescent="0.3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 x14ac:dyDescent="0.3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 x14ac:dyDescent="0.3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 x14ac:dyDescent="0.3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 x14ac:dyDescent="0.3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 x14ac:dyDescent="0.3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 x14ac:dyDescent="0.3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 x14ac:dyDescent="0.3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 x14ac:dyDescent="0.3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160</v>
      </c>
      <c r="K55" s="59">
        <v>170</v>
      </c>
      <c r="L55" s="50">
        <f t="shared" si="8"/>
        <v>15.151515151515152</v>
      </c>
      <c r="M55" s="52">
        <f t="shared" si="0"/>
        <v>2.7027027027027026</v>
      </c>
    </row>
    <row r="56" spans="1:13" s="51" customFormat="1" x14ac:dyDescent="0.3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 x14ac:dyDescent="0.3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 x14ac:dyDescent="0.3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 x14ac:dyDescent="0.3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 x14ac:dyDescent="0.3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 x14ac:dyDescent="0.3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 x14ac:dyDescent="0.3">
      <c r="A65" s="76" t="s">
        <v>1</v>
      </c>
      <c r="B65" s="76" t="s">
        <v>2</v>
      </c>
      <c r="C65" s="73" t="s">
        <v>3</v>
      </c>
      <c r="D65" s="75"/>
      <c r="E65" s="73" t="s">
        <v>4</v>
      </c>
      <c r="F65" s="75"/>
      <c r="G65" s="73" t="s">
        <v>5</v>
      </c>
      <c r="H65" s="75"/>
      <c r="I65" s="25" t="s">
        <v>6</v>
      </c>
      <c r="J65" s="73" t="s">
        <v>7</v>
      </c>
      <c r="K65" s="75"/>
      <c r="L65" s="25" t="s">
        <v>8</v>
      </c>
    </row>
    <row r="66" spans="1:13" ht="18" customHeight="1" x14ac:dyDescent="0.3">
      <c r="A66" s="77"/>
      <c r="B66" s="77"/>
      <c r="C66" s="78">
        <v>46221</v>
      </c>
      <c r="D66" s="79"/>
      <c r="E66" s="78">
        <v>46214</v>
      </c>
      <c r="F66" s="79"/>
      <c r="G66" s="78">
        <v>46191</v>
      </c>
      <c r="H66" s="79"/>
      <c r="I66" s="25" t="s">
        <v>9</v>
      </c>
      <c r="J66" s="80">
        <v>45856</v>
      </c>
      <c r="K66" s="81"/>
      <c r="L66" s="25" t="s">
        <v>9</v>
      </c>
    </row>
    <row r="67" spans="1:13" x14ac:dyDescent="0.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 x14ac:dyDescent="0.3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106</v>
      </c>
      <c r="K68" s="59">
        <v>115</v>
      </c>
      <c r="L68" s="50">
        <f t="shared" ref="L68:L78" si="9">((C68+D68)/2-(J68+K68)/2)/((J68+K68)/2)*100</f>
        <v>-2.7149321266968327</v>
      </c>
      <c r="M68" s="52">
        <f t="shared" si="0"/>
        <v>0</v>
      </c>
    </row>
    <row r="69" spans="1:13" s="52" customFormat="1" x14ac:dyDescent="0.3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 x14ac:dyDescent="0.3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8.75" x14ac:dyDescent="0.2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8.75" x14ac:dyDescent="0.25">
      <c r="A72" s="46" t="s">
        <v>105</v>
      </c>
      <c r="B72" s="53" t="s">
        <v>14</v>
      </c>
      <c r="C72" s="40">
        <v>120</v>
      </c>
      <c r="D72" s="40">
        <v>200</v>
      </c>
      <c r="E72" s="40">
        <v>80</v>
      </c>
      <c r="F72" s="40">
        <v>150</v>
      </c>
      <c r="G72" s="40">
        <v>60</v>
      </c>
      <c r="H72" s="40">
        <v>120</v>
      </c>
      <c r="I72" s="49">
        <f t="shared" si="11"/>
        <v>77.777777777777786</v>
      </c>
      <c r="J72" s="48">
        <v>60</v>
      </c>
      <c r="K72" s="48">
        <v>120</v>
      </c>
      <c r="L72" s="50">
        <f t="shared" si="9"/>
        <v>77.777777777777786</v>
      </c>
      <c r="M72" s="52">
        <f t="shared" si="12"/>
        <v>39.130434782608695</v>
      </c>
    </row>
    <row r="73" spans="1:13" s="52" customFormat="1" ht="18.75" x14ac:dyDescent="0.25">
      <c r="A73" s="46" t="s">
        <v>106</v>
      </c>
      <c r="B73" s="53" t="s">
        <v>14</v>
      </c>
      <c r="C73" s="40">
        <v>80</v>
      </c>
      <c r="D73" s="40">
        <v>120</v>
      </c>
      <c r="E73" s="40">
        <v>60</v>
      </c>
      <c r="F73" s="40">
        <v>90</v>
      </c>
      <c r="G73" s="40">
        <v>70</v>
      </c>
      <c r="H73" s="40">
        <v>90</v>
      </c>
      <c r="I73" s="49">
        <f t="shared" si="11"/>
        <v>25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33.333333333333329</v>
      </c>
    </row>
    <row r="74" spans="1:13" s="52" customFormat="1" ht="18.75" x14ac:dyDescent="0.25">
      <c r="A74" s="46" t="s">
        <v>107</v>
      </c>
      <c r="B74" s="53" t="s">
        <v>14</v>
      </c>
      <c r="C74" s="40">
        <v>70</v>
      </c>
      <c r="D74" s="40">
        <v>90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23.076923076923077</v>
      </c>
      <c r="J74" s="48">
        <v>50</v>
      </c>
      <c r="K74" s="48">
        <v>120</v>
      </c>
      <c r="L74" s="50">
        <f t="shared" si="9"/>
        <v>-5.8823529411764701</v>
      </c>
      <c r="M74" s="52">
        <f t="shared" si="12"/>
        <v>14.285714285714285</v>
      </c>
    </row>
    <row r="75" spans="1:13" s="52" customFormat="1" ht="18.75" customHeight="1" x14ac:dyDescent="0.3">
      <c r="A75" s="46" t="s">
        <v>68</v>
      </c>
      <c r="B75" s="47" t="s">
        <v>69</v>
      </c>
      <c r="C75" s="45">
        <v>42</v>
      </c>
      <c r="D75" s="45">
        <v>45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-8.4210526315789469</v>
      </c>
      <c r="J75" s="63">
        <v>38</v>
      </c>
      <c r="K75" s="63">
        <v>46</v>
      </c>
      <c r="L75" s="50">
        <f t="shared" si="9"/>
        <v>3.5714285714285712</v>
      </c>
      <c r="M75" s="52">
        <f t="shared" si="12"/>
        <v>-8.4210526315789469</v>
      </c>
    </row>
    <row r="76" spans="1:13" s="52" customFormat="1" x14ac:dyDescent="0.3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 x14ac:dyDescent="0.3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 x14ac:dyDescent="0.3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 x14ac:dyDescent="0.3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84" t="s">
        <v>133</v>
      </c>
      <c r="C81" s="84"/>
      <c r="D81" s="84"/>
      <c r="E81" s="84"/>
      <c r="F81" s="84"/>
      <c r="G81" s="84"/>
      <c r="H81" s="84"/>
      <c r="I81" s="84"/>
      <c r="J81" s="84"/>
      <c r="K81" s="84"/>
      <c r="L81" s="84"/>
    </row>
    <row r="82" spans="1:12" x14ac:dyDescent="0.3">
      <c r="A82" s="7"/>
      <c r="B82" s="84" t="s">
        <v>132</v>
      </c>
      <c r="C82" s="84"/>
      <c r="D82" s="84"/>
      <c r="E82" s="84"/>
      <c r="F82" s="84"/>
      <c r="G82" s="84"/>
      <c r="H82" s="84"/>
      <c r="I82" s="84"/>
      <c r="J82" s="84"/>
      <c r="K82" s="84"/>
      <c r="L82" s="84"/>
    </row>
    <row r="83" spans="1:12" x14ac:dyDescent="0.3">
      <c r="A83" s="7"/>
      <c r="B83" s="7" t="s">
        <v>124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4" t="s">
        <v>76</v>
      </c>
      <c r="B85" s="25" t="s">
        <v>77</v>
      </c>
      <c r="C85" s="73" t="s">
        <v>3</v>
      </c>
      <c r="D85" s="75"/>
      <c r="E85" s="82" t="s">
        <v>78</v>
      </c>
      <c r="F85" s="83"/>
      <c r="G85" s="26" t="s">
        <v>9</v>
      </c>
      <c r="H85" s="73" t="s">
        <v>79</v>
      </c>
      <c r="I85" s="74"/>
      <c r="J85" s="75"/>
      <c r="K85" s="10"/>
      <c r="L85" s="2"/>
    </row>
    <row r="86" spans="1:12" x14ac:dyDescent="0.3">
      <c r="A86" s="46" t="s">
        <v>13</v>
      </c>
      <c r="B86" s="47" t="s">
        <v>14</v>
      </c>
      <c r="C86" s="40">
        <v>72</v>
      </c>
      <c r="D86" s="40">
        <v>85</v>
      </c>
      <c r="E86" s="40">
        <v>70</v>
      </c>
      <c r="F86" s="40">
        <v>85</v>
      </c>
      <c r="G86" s="31">
        <f t="shared" ref="G86:G91" si="13">((C86+D86)/2-(E86+F86)/2)/((E86+F86)/2)*100</f>
        <v>1.2903225806451613</v>
      </c>
      <c r="H86" s="73" t="s">
        <v>122</v>
      </c>
      <c r="I86" s="74"/>
      <c r="J86" s="75"/>
      <c r="K86" s="10"/>
      <c r="L86" s="2"/>
    </row>
    <row r="87" spans="1:12" x14ac:dyDescent="0.3">
      <c r="A87" s="46" t="s">
        <v>15</v>
      </c>
      <c r="B87" s="47" t="s">
        <v>14</v>
      </c>
      <c r="C87" s="40">
        <v>50</v>
      </c>
      <c r="D87" s="40">
        <v>60</v>
      </c>
      <c r="E87" s="40">
        <v>48</v>
      </c>
      <c r="F87" s="40">
        <v>60</v>
      </c>
      <c r="G87" s="31">
        <f t="shared" si="13"/>
        <v>1.8518518518518516</v>
      </c>
      <c r="H87" s="73" t="s">
        <v>122</v>
      </c>
      <c r="I87" s="74"/>
      <c r="J87" s="75"/>
      <c r="K87" s="10"/>
      <c r="L87" s="2"/>
    </row>
    <row r="88" spans="1:12" x14ac:dyDescent="0.3">
      <c r="A88" s="46" t="s">
        <v>23</v>
      </c>
      <c r="B88" s="47" t="s">
        <v>24</v>
      </c>
      <c r="C88" s="42">
        <v>185</v>
      </c>
      <c r="D88" s="40">
        <v>195</v>
      </c>
      <c r="E88" s="42">
        <v>188</v>
      </c>
      <c r="F88" s="40">
        <v>195</v>
      </c>
      <c r="G88" s="31">
        <f t="shared" si="13"/>
        <v>-0.7832898172323759</v>
      </c>
      <c r="H88" s="73" t="s">
        <v>131</v>
      </c>
      <c r="I88" s="74"/>
      <c r="J88" s="75"/>
      <c r="K88" s="10"/>
      <c r="L88" s="72"/>
    </row>
    <row r="89" spans="1:12" x14ac:dyDescent="0.3">
      <c r="A89" s="46" t="s">
        <v>40</v>
      </c>
      <c r="B89" s="47" t="s">
        <v>14</v>
      </c>
      <c r="C89" s="40">
        <v>100</v>
      </c>
      <c r="D89" s="40">
        <v>140</v>
      </c>
      <c r="E89" s="40">
        <v>90</v>
      </c>
      <c r="F89" s="40">
        <v>140</v>
      </c>
      <c r="G89" s="31">
        <f t="shared" si="13"/>
        <v>4.3478260869565215</v>
      </c>
      <c r="H89" s="73" t="s">
        <v>122</v>
      </c>
      <c r="I89" s="74"/>
      <c r="J89" s="75"/>
      <c r="K89" s="10"/>
      <c r="L89" s="2"/>
    </row>
    <row r="90" spans="1:12" x14ac:dyDescent="0.3">
      <c r="A90" s="46" t="s">
        <v>41</v>
      </c>
      <c r="B90" s="47" t="s">
        <v>14</v>
      </c>
      <c r="C90" s="42">
        <v>140</v>
      </c>
      <c r="D90" s="40">
        <v>220</v>
      </c>
      <c r="E90" s="42">
        <v>120</v>
      </c>
      <c r="F90" s="40">
        <v>200</v>
      </c>
      <c r="G90" s="31">
        <f t="shared" ref="G90:G96" si="14">((C90+D90)/2-(E90+F90)/2)/((E90+F90)/2)*100</f>
        <v>12.5</v>
      </c>
      <c r="H90" s="73" t="s">
        <v>129</v>
      </c>
      <c r="I90" s="74"/>
      <c r="J90" s="75"/>
      <c r="K90" s="10"/>
      <c r="L90" s="2"/>
    </row>
    <row r="91" spans="1:12" x14ac:dyDescent="0.3">
      <c r="A91" s="46" t="s">
        <v>47</v>
      </c>
      <c r="B91" s="47" t="s">
        <v>14</v>
      </c>
      <c r="C91" s="40">
        <v>120</v>
      </c>
      <c r="D91" s="40">
        <v>200</v>
      </c>
      <c r="E91" s="40">
        <v>120</v>
      </c>
      <c r="F91" s="40">
        <v>180</v>
      </c>
      <c r="G91" s="31">
        <f t="shared" si="13"/>
        <v>6.666666666666667</v>
      </c>
      <c r="H91" s="73" t="s">
        <v>130</v>
      </c>
      <c r="I91" s="74"/>
      <c r="J91" s="75"/>
      <c r="K91" s="10"/>
      <c r="L91" s="72"/>
    </row>
    <row r="92" spans="1:12" x14ac:dyDescent="0.3">
      <c r="A92" s="46" t="s">
        <v>57</v>
      </c>
      <c r="B92" s="47" t="s">
        <v>14</v>
      </c>
      <c r="C92" s="40">
        <v>180</v>
      </c>
      <c r="D92" s="40">
        <v>200</v>
      </c>
      <c r="E92" s="40">
        <v>180</v>
      </c>
      <c r="F92" s="40">
        <v>190</v>
      </c>
      <c r="G92" s="31">
        <f t="shared" si="14"/>
        <v>2.7027027027027026</v>
      </c>
      <c r="H92" s="73" t="s">
        <v>121</v>
      </c>
      <c r="I92" s="74"/>
      <c r="J92" s="75"/>
      <c r="K92" s="10"/>
      <c r="L92" s="2"/>
    </row>
    <row r="93" spans="1:12" x14ac:dyDescent="0.3">
      <c r="A93" s="46" t="s">
        <v>105</v>
      </c>
      <c r="B93" s="53" t="s">
        <v>14</v>
      </c>
      <c r="C93" s="40">
        <v>120</v>
      </c>
      <c r="D93" s="40">
        <v>200</v>
      </c>
      <c r="E93" s="40">
        <v>80</v>
      </c>
      <c r="F93" s="40">
        <v>150</v>
      </c>
      <c r="G93" s="31">
        <f t="shared" si="14"/>
        <v>39.130434782608695</v>
      </c>
      <c r="H93" s="73" t="s">
        <v>129</v>
      </c>
      <c r="I93" s="74"/>
      <c r="J93" s="75"/>
      <c r="K93" s="10"/>
      <c r="L93" s="2"/>
    </row>
    <row r="94" spans="1:12" x14ac:dyDescent="0.3">
      <c r="A94" s="46" t="s">
        <v>106</v>
      </c>
      <c r="B94" s="53" t="s">
        <v>14</v>
      </c>
      <c r="C94" s="40">
        <v>80</v>
      </c>
      <c r="D94" s="40">
        <v>120</v>
      </c>
      <c r="E94" s="40">
        <v>60</v>
      </c>
      <c r="F94" s="40">
        <v>90</v>
      </c>
      <c r="G94" s="31">
        <f t="shared" si="14"/>
        <v>33.333333333333329</v>
      </c>
      <c r="H94" s="73" t="s">
        <v>129</v>
      </c>
      <c r="I94" s="74"/>
      <c r="J94" s="75"/>
      <c r="K94" s="10"/>
      <c r="L94" s="2"/>
    </row>
    <row r="95" spans="1:12" x14ac:dyDescent="0.3">
      <c r="A95" s="46" t="s">
        <v>107</v>
      </c>
      <c r="B95" s="53" t="s">
        <v>14</v>
      </c>
      <c r="C95" s="40">
        <v>70</v>
      </c>
      <c r="D95" s="40">
        <v>90</v>
      </c>
      <c r="E95" s="40">
        <v>60</v>
      </c>
      <c r="F95" s="40">
        <v>80</v>
      </c>
      <c r="G95" s="31">
        <f t="shared" si="14"/>
        <v>14.285714285714285</v>
      </c>
      <c r="H95" s="73" t="s">
        <v>125</v>
      </c>
      <c r="I95" s="74"/>
      <c r="J95" s="75"/>
      <c r="K95" s="10"/>
      <c r="L95" s="2"/>
    </row>
    <row r="96" spans="1:12" x14ac:dyDescent="0.3">
      <c r="A96" s="46" t="s">
        <v>68</v>
      </c>
      <c r="B96" s="47" t="s">
        <v>69</v>
      </c>
      <c r="C96" s="45">
        <v>42</v>
      </c>
      <c r="D96" s="45">
        <v>45</v>
      </c>
      <c r="E96" s="45">
        <v>45</v>
      </c>
      <c r="F96" s="45">
        <v>50</v>
      </c>
      <c r="G96" s="31">
        <f t="shared" si="14"/>
        <v>-8.4210526315789469</v>
      </c>
      <c r="H96" s="73" t="s">
        <v>123</v>
      </c>
      <c r="I96" s="74"/>
      <c r="J96" s="75"/>
      <c r="K96" s="10"/>
      <c r="L96" s="54"/>
    </row>
    <row r="97" spans="1:12" x14ac:dyDescent="0.3">
      <c r="A97" s="65"/>
      <c r="B97" s="70"/>
      <c r="C97" s="67"/>
      <c r="D97" s="67"/>
      <c r="E97" s="67"/>
      <c r="F97" s="67"/>
      <c r="G97" s="69"/>
      <c r="H97" s="71"/>
      <c r="I97" s="71"/>
      <c r="J97" s="71"/>
      <c r="K97" s="10"/>
      <c r="L97" s="12"/>
    </row>
    <row r="98" spans="1:12" x14ac:dyDescent="0.3">
      <c r="A98" s="65"/>
      <c r="B98" s="66"/>
      <c r="C98" s="67"/>
      <c r="D98" s="68"/>
      <c r="E98" s="67"/>
      <c r="F98" s="68"/>
      <c r="G98" s="69"/>
      <c r="H98" s="7"/>
      <c r="I98" s="1"/>
      <c r="J98" s="1"/>
      <c r="K98" s="10"/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 x14ac:dyDescent="0.3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 x14ac:dyDescent="0.3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 x14ac:dyDescent="0.3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 x14ac:dyDescent="0.3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 x14ac:dyDescent="0.3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 x14ac:dyDescent="0.3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 x14ac:dyDescent="0.3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 x14ac:dyDescent="0.3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 x14ac:dyDescent="0.3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 x14ac:dyDescent="0.3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 x14ac:dyDescent="0.3">
      <c r="B441" s="11" t="s">
        <v>112</v>
      </c>
    </row>
  </sheetData>
  <mergeCells count="41">
    <mergeCell ref="B82:L82"/>
    <mergeCell ref="H87:J87"/>
    <mergeCell ref="C85:D85"/>
    <mergeCell ref="H94:J94"/>
    <mergeCell ref="H95:J95"/>
    <mergeCell ref="H89:J89"/>
    <mergeCell ref="H93:J93"/>
    <mergeCell ref="H90:J90"/>
    <mergeCell ref="H91:J91"/>
    <mergeCell ref="H88:J8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6:J96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H92:J92"/>
    <mergeCell ref="H86:J8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2026-07-16T10:10:12Z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