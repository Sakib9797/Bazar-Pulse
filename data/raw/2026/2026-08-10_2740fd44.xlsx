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85E1EA0E-AF55-4562-9B62-E4E8FFE261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L51" i="4" l="1"/>
  <c r="L73" i="4"/>
  <c r="G90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89" i="4"/>
  <c r="G93" i="4"/>
  <c r="G92" i="4"/>
  <c r="G91" i="4"/>
  <c r="G94" i="4"/>
  <c r="G8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<sst xmlns="http://schemas.openxmlformats.org/spreadsheetml/2006/main" count="240" uniqueCount="134">
  <si>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</si>
  <si>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</si>
  <si>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</si>
  <si>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</si>
  <si>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</si>
  <si>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</si>
  <si>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</si>
  <si>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</si>
  <si>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</si>
  <si>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</si>
  <si>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</si>
  <si>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</si>
  <si>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</si>
  <si>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</si>
  <si>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</si>
  <si>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</si>
  <si>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</si>
  <si>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</si>
  <si>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</si>
  <si>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</si>
  <si>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</si>
  <si>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</si>
  <si>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</si>
  <si>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</si>
  <si>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</si>
  <si>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</si>
  <si>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</si>
  <si>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</si>
  <si>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</si>
  <si>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</si>
  <si>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</si>
  <si>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</si>
  <si>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</si>
  <si>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</si>
  <si>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</si>
  <si>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</si>
  <si>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</si>
  <si>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</si>
  <si>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</si>
  <si>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</si>
  <si>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</si>
  <si>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</si>
  <si>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</si>
  <si>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</si>
  <si>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</si>
  <si>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</si>
  <si>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</si>
  <si>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</si>
  <si>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</si>
  <si>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</si>
  <si>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</si>
  <si>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</si>
  <si>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</si>
  <si>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</si>
  <si>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</si>
  <si>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</si>
  <si>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</si>
  <si>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</si>
  <si>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</si>
  <si>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</si>
  <si>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</si>
  <si>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</si>
  <si>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</si>
  <si>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</si>
  <si>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</si>
  <si>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</si>
  <si>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</si>
  <si>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</si>
  <si>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</si>
  <si>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</si>
  <si>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</si>
  <si>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</si>
  <si>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</si>
  <si>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</si>
  <si>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</si>
  <si>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</si>
  <si>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</si>
  <si>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</si>
  <si>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</si>
  <si>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</si>
  <si>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</si>
  <si>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</si>
  <si>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</si>
  <si>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</si>
  <si>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</si>
  <si>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</si>
  <si>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</si>
  <si>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</si>
  <si>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</si>
  <si>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</si>
  <si>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</si>
  <si>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</si>
  <si>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</si>
  <si>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</si>
  <si>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</si>
  <si>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</si>
  <si>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</si>
  <si>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</si>
  <si>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</si>
  <si>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</si>
  <si>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</si>
  <si>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</si>
  <si>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</si>
  <si>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</si>
  <si>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</si>
  <si>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</si>
  <si>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</si>
  <si>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</si>
  <si>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</si>
  <si>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</si>
  <si>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</si>
  <si>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</si>
  <si>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</si>
  <si>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</si>
  <si>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</si>
  <si>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</si>
  <si>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</si>
  <si>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</si>
  <si>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</si>
  <si>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</si>
  <si>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</si>
  <si>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</si>
  <si>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</si>
  <si>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</si>
  <si>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>০৭-০৭-২০২৬ তারিখে মূল্য বৃদ্ধি পেয়েছে।</t>
  </si>
  <si>
    <t>(মোঃ সোহেল রানা)</t>
  </si>
  <si>
    <t>উপ পরিচালক (বাজার তথ্য) (প্রতিকল্প)</t>
  </si>
  <si>
    <t>০৯-০৭-২০২৬ তারিখে মূল্য বৃদ্ধি পেয়েছে।</t>
  </si>
  <si>
    <t xml:space="preserve">নং-২৬.০৫.০০০০.০১৭.৩১.০১.২৬-৬২৪                                                                                                           তারিখঃ ১০-০৮-২০২৬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</si>
  <si>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১৯৬</t>
  </si>
  <si>
    <t xml:space="preserve">সোমবার ১০ আগষ্ট ২০২৬ খ্রিঃ, ২৬ শ্রাবণ ১৪৩৩ বাংলা, ২৬ সফর ১৪৪৮ হিজরি </t>
  </si>
  <si>
    <t>১০-০৮-২০২৬ তারিখে মূল্য হ্রাস পেয়েছে।</t>
  </si>
  <si>
    <t>(১)    ময়দা (খোলা), আলু, রশুন (আম), মুরগী ব্রয়লার  এর মূল্য বৃদ্ধি পেয়েছে।</t>
  </si>
  <si>
    <t>(২)    পেঁয়াজ (দেশী), আদা (আম),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</si>
</sst>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A25" zoomScale="95" zoomScaleNormal="95" workbookViewId="0">
      <selection activeCell="L52" sqref="L5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128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46244</v>
      </c>
      <c r="D7" s="77"/>
      <c r="E7" s="76">
        <v>46237</v>
      </c>
      <c r="F7" s="77"/>
      <c r="G7" s="76">
        <v>46213</v>
      </c>
      <c r="H7" s="77"/>
      <c r="I7" s="25" t="s">
        <v>9</v>
      </c>
      <c r="J7" s="80">
        <v>45879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160</v>
      </c>
      <c r="D9" s="38">
        <v>200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70</v>
      </c>
      <c r="L12" s="48">
        <f>((C12+D12)/2-(J12+K12)/2)/((J12+K12)/2)*100</f>
        <v>-7.6923076923076925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-0.52219321148825071</v>
      </c>
      <c r="J20" s="56">
        <v>162</v>
      </c>
      <c r="K20" s="56">
        <v>172</v>
      </c>
      <c r="L20" s="48">
        <f>((C20+D20)/2-(J20+K20)/2)/((J20+K20)/2)*100</f>
        <v>14.071856287425149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22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5.7692307692307692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29.411764705882355</v>
      </c>
      <c r="J36" s="56">
        <v>75</v>
      </c>
      <c r="K36" s="56">
        <v>85</v>
      </c>
      <c r="L36" s="48">
        <f t="shared" ref="L36:L51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200</v>
      </c>
      <c r="L39" s="48">
        <f t="shared" si="6"/>
        <v>8.3333333333333321</v>
      </c>
      <c r="M39" s="50">
        <f t="shared" si="0"/>
        <v>5.4054054054054053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200</v>
      </c>
      <c r="K45" s="56">
        <v>280</v>
      </c>
      <c r="L45" s="48">
        <f t="shared" si="6"/>
        <v>-27.083333333333332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>((C51+D51)/2-(J51+K51)/2)/((J51+K51)/2)*100</f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190</v>
      </c>
      <c r="I57" s="47">
        <f t="shared" si="7"/>
        <v>5.4054054054054053</v>
      </c>
      <c r="J57" s="56">
        <v>160</v>
      </c>
      <c r="K57" s="56">
        <v>170</v>
      </c>
      <c r="L57" s="48">
        <f t="shared" si="8"/>
        <v>18.181818181818183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>
      <c r="A68" s="79"/>
      <c r="B68" s="79"/>
      <c r="C68" s="76">
        <v>46244</v>
      </c>
      <c r="D68" s="77"/>
      <c r="E68" s="76">
        <v>46237</v>
      </c>
      <c r="F68" s="77"/>
      <c r="G68" s="76">
        <v>46213</v>
      </c>
      <c r="H68" s="77"/>
      <c r="I68" s="25" t="s">
        <v>9</v>
      </c>
      <c r="J68" s="80">
        <v>45879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160</v>
      </c>
      <c r="D74" s="38">
        <v>220</v>
      </c>
      <c r="E74" s="38">
        <v>300</v>
      </c>
      <c r="F74" s="38">
        <v>380</v>
      </c>
      <c r="G74" s="38">
        <v>80</v>
      </c>
      <c r="H74" s="38">
        <v>150</v>
      </c>
      <c r="I74" s="47">
        <f t="shared" si="11"/>
        <v>65.217391304347828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-44.117647058823529</v>
      </c>
    </row>
    <row r="75" spans="1:13" s="50" customFormat="1">
      <c r="A75" s="44" t="s">
        <v>104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1"/>
        <v>46.666666666666664</v>
      </c>
      <c r="J75" s="67">
        <v>40</v>
      </c>
      <c r="K75" s="67">
        <v>120</v>
      </c>
      <c r="L75" s="48">
        <f t="shared" si="10"/>
        <v>37.5</v>
      </c>
      <c r="M75" s="50">
        <f t="shared" si="12"/>
        <v>0</v>
      </c>
    </row>
    <row r="76" spans="1:13" s="50" customFormat="1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1"/>
        <v>28.571428571428569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1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2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3" t="s">
        <v>119</v>
      </c>
      <c r="B81" s="84"/>
      <c r="C81" s="82" t="s">
        <v>120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132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0" t="s">
        <v>133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74" t="s">
        <v>78</v>
      </c>
      <c r="F87" s="75"/>
      <c r="G87" s="26" t="s">
        <v>9</v>
      </c>
      <c r="H87" s="71" t="s">
        <v>79</v>
      </c>
      <c r="I87" s="73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4" si="13">((C88+D88)/2-(E88+F88)/2)/((E88+F88)/2)*100</f>
        <v>4.1666666666666661</v>
      </c>
      <c r="H88" s="71" t="s">
        <v>124</v>
      </c>
      <c r="I88" s="73"/>
      <c r="J88" s="72"/>
      <c r="K88" s="10"/>
      <c r="L88" s="2"/>
    </row>
    <row r="89" spans="1:12">
      <c r="A89" s="44" t="s">
        <v>100</v>
      </c>
      <c r="B89" s="45" t="s">
        <v>14</v>
      </c>
      <c r="C89" s="38">
        <v>25</v>
      </c>
      <c r="D89" s="38">
        <v>30</v>
      </c>
      <c r="E89" s="38">
        <v>22</v>
      </c>
      <c r="F89" s="38">
        <v>30</v>
      </c>
      <c r="G89" s="31">
        <f t="shared" si="13"/>
        <v>5.7692307692307692</v>
      </c>
      <c r="H89" s="71" t="s">
        <v>127</v>
      </c>
      <c r="I89" s="73"/>
      <c r="J89" s="72"/>
      <c r="K89" s="10"/>
      <c r="L89" s="2"/>
    </row>
    <row r="90" spans="1:12">
      <c r="A90" s="44" t="s">
        <v>101</v>
      </c>
      <c r="B90" s="45" t="s">
        <v>14</v>
      </c>
      <c r="C90" s="38">
        <v>50</v>
      </c>
      <c r="D90" s="38">
        <v>60</v>
      </c>
      <c r="E90" s="38">
        <v>55</v>
      </c>
      <c r="F90" s="38">
        <v>60</v>
      </c>
      <c r="G90" s="31">
        <f t="shared" si="13"/>
        <v>-4.3478260869565215</v>
      </c>
      <c r="H90" s="71" t="s">
        <v>131</v>
      </c>
      <c r="I90" s="73"/>
      <c r="J90" s="72"/>
      <c r="K90" s="10"/>
      <c r="L90" s="2"/>
    </row>
    <row r="91" spans="1:12">
      <c r="A91" s="44" t="s">
        <v>41</v>
      </c>
      <c r="B91" s="45" t="s">
        <v>14</v>
      </c>
      <c r="C91" s="40">
        <v>170</v>
      </c>
      <c r="D91" s="38">
        <v>220</v>
      </c>
      <c r="E91" s="40">
        <v>170</v>
      </c>
      <c r="F91" s="38">
        <v>200</v>
      </c>
      <c r="G91" s="31">
        <f t="shared" si="13"/>
        <v>5.4054054054054053</v>
      </c>
      <c r="H91" s="71" t="s">
        <v>123</v>
      </c>
      <c r="I91" s="73"/>
      <c r="J91" s="72"/>
      <c r="K91" s="10"/>
      <c r="L91" s="2"/>
    </row>
    <row r="92" spans="1:12">
      <c r="A92" s="44" t="s">
        <v>47</v>
      </c>
      <c r="B92" s="45" t="s">
        <v>14</v>
      </c>
      <c r="C92" s="38">
        <v>150</v>
      </c>
      <c r="D92" s="38">
        <v>200</v>
      </c>
      <c r="E92" s="38">
        <v>160</v>
      </c>
      <c r="F92" s="38">
        <v>200</v>
      </c>
      <c r="G92" s="31">
        <f t="shared" si="13"/>
        <v>-2.7777777777777777</v>
      </c>
      <c r="H92" s="71" t="s">
        <v>122</v>
      </c>
      <c r="I92" s="73"/>
      <c r="J92" s="72"/>
      <c r="K92" s="10"/>
      <c r="L92" s="2"/>
    </row>
    <row r="93" spans="1:12">
      <c r="A93" s="44" t="s">
        <v>57</v>
      </c>
      <c r="B93" s="45" t="s">
        <v>14</v>
      </c>
      <c r="C93" s="38">
        <v>190</v>
      </c>
      <c r="D93" s="38">
        <v>200</v>
      </c>
      <c r="E93" s="38">
        <v>180</v>
      </c>
      <c r="F93" s="38">
        <v>200</v>
      </c>
      <c r="G93" s="31">
        <f t="shared" si="13"/>
        <v>2.6315789473684208</v>
      </c>
      <c r="H93" s="71" t="s">
        <v>124</v>
      </c>
      <c r="I93" s="73"/>
      <c r="J93" s="72"/>
      <c r="K93" s="10"/>
      <c r="L93" s="2"/>
    </row>
    <row r="94" spans="1:12">
      <c r="A94" s="44" t="s">
        <v>103</v>
      </c>
      <c r="B94" s="51" t="s">
        <v>14</v>
      </c>
      <c r="C94" s="38">
        <v>160</v>
      </c>
      <c r="D94" s="38">
        <v>220</v>
      </c>
      <c r="E94" s="38">
        <v>300</v>
      </c>
      <c r="F94" s="38">
        <v>380</v>
      </c>
      <c r="G94" s="31">
        <f t="shared" si="13"/>
        <v>-44.117647058823529</v>
      </c>
      <c r="H94" s="71" t="s">
        <v>131</v>
      </c>
      <c r="I94" s="73"/>
      <c r="J94" s="72"/>
      <c r="K94" s="10"/>
      <c r="L94" s="2"/>
    </row>
    <row r="95" spans="1:12">
      <c r="A95" s="62"/>
      <c r="B95" s="68"/>
      <c r="C95" s="64"/>
      <c r="D95" s="64"/>
      <c r="E95" s="64"/>
      <c r="F95" s="64"/>
      <c r="G95" s="66"/>
      <c r="H95" s="69"/>
      <c r="I95" s="69"/>
      <c r="J95" s="69"/>
      <c r="K95" s="10"/>
      <c r="L95" s="2"/>
    </row>
    <row r="96" spans="1:12">
      <c r="A96" s="62"/>
      <c r="B96" s="68"/>
      <c r="C96" s="64"/>
      <c r="D96" s="64"/>
      <c r="E96" s="64"/>
      <c r="F96" s="64"/>
      <c r="G96" s="66"/>
      <c r="H96" s="69"/>
      <c r="I96" s="69"/>
      <c r="J96" s="69"/>
      <c r="K96" s="10"/>
      <c r="L96" s="2"/>
    </row>
    <row r="97" spans="1:12">
      <c r="A97" s="62"/>
      <c r="B97" s="63"/>
      <c r="C97" s="64"/>
      <c r="D97" s="65"/>
      <c r="E97" s="64"/>
      <c r="F97" s="65"/>
      <c r="G97" s="66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111</v>
      </c>
      <c r="C99" s="2"/>
      <c r="E99" s="7"/>
      <c r="F99" s="14" t="s">
        <v>125</v>
      </c>
      <c r="G99" s="2"/>
      <c r="I99" s="15"/>
      <c r="J99" s="1"/>
      <c r="K99" s="2"/>
      <c r="L99" s="12"/>
    </row>
    <row r="100" spans="1:12">
      <c r="A100" s="16"/>
      <c r="B100" s="14" t="s">
        <v>110</v>
      </c>
      <c r="C100" s="1"/>
      <c r="E100" s="16"/>
      <c r="F100" s="14" t="s">
        <v>126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112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106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107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113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108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114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115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109</v>
      </c>
    </row>
  </sheetData>
  <mergeCells count="39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4:J94"/>
    <mergeCell ref="H91:J91"/>
    <mergeCell ref="E87:F87"/>
    <mergeCell ref="H87:J87"/>
    <mergeCell ref="H93:J93"/>
    <mergeCell ref="H92:J92"/>
    <mergeCell ref="H89:J89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2026-08-10T07:59:34Z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