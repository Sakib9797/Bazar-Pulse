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1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xr:revisionPtr revIDLastSave="0" documentId="8_{052E7962-EC97-894F-BAE4-6F620A39F229}" xr6:coauthVersionLast="47" xr6:coauthVersionMax="47" xr10:uidLastSave="{00000000-0000-0000-0000-000000000000}"/>
  <bookViews>
    <workbookView xWindow="0" yWindow="0" windowWidth="15135" windowHeight="10755" xr2:uid="{00000000-000D-0000-FFFF-FFFF00000000}"/>
  </bookViews>
  <sheets>
    <sheet name="Daily retail price" sheetId="4" r:id="rId1"/>
  </sheets>
  <definedNames>
    <definedName name="_xlnm.Print_Area" localSheetId="0">'Daily retail price'!$A$1:$L$122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4" i="4" l="1"/>
  <c r="G92" i="4"/>
  <c r="G89" i="4"/>
  <c r="G93" i="4"/>
  <c r="G91" i="4"/>
  <c r="G90" i="4"/>
  <c r="G88" i="4"/>
  <c r="L71" i="4"/>
  <c r="I71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<sst xmlns="http://schemas.openxmlformats.org/spreadsheetml/2006/main" count="239" uniqueCount="138">
  <si>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</si>
  <si>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</si>
  <si>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</si>
  <si>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</si>
  <si>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</si>
  <si>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</si>
  <si>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</si>
  <si>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</si>
  <si>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</si>
  <si>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</si>
  <si>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</si>
  <si>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</si>
  <si>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</si>
  <si>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</si>
  <si>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</si>
  <si>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</si>
  <si>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</si>
  <si>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</si>
  <si>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</si>
  <si>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</si>
  <si>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</si>
  <si>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</si>
  <si>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</si>
  <si>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</si>
  <si>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</si>
  <si>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</si>
  <si>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</si>
  <si>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</si>
  <si>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</si>
  <si>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</si>
  <si>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</si>
  <si>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</si>
  <si>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</si>
  <si>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</si>
  <si>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</si>
  <si>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</si>
  <si>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</si>
  <si>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</si>
  <si>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</si>
  <si>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</si>
  <si>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</si>
  <si>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</si>
  <si>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</si>
  <si>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</si>
  <si>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</si>
  <si>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</si>
  <si>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</si>
  <si>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</si>
  <si>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</si>
  <si>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</si>
  <si>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</si>
  <si>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</si>
  <si>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</si>
  <si>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</si>
  <si>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</si>
  <si>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</si>
  <si>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</si>
  <si>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</si>
  <si>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</si>
  <si>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</si>
  <si>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</si>
  <si>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</si>
  <si>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</si>
  <si>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</si>
  <si>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</si>
  <si>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</si>
  <si>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</si>
  <si>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</si>
  <si>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</si>
  <si>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</si>
  <si>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</si>
  <si>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</si>
  <si>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</si>
  <si>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</si>
  <si>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</si>
  <si>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</si>
  <si>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</si>
  <si>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</si>
  <si>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</si>
  <si>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</si>
  <si>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</si>
  <si>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</si>
  <si>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</si>
  <si>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</si>
  <si>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</si>
  <si>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</si>
  <si>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</si>
  <si>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</si>
  <si>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</si>
  <si>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</si>
  <si>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</si>
  <si>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</si>
  <si>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</si>
  <si>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</si>
  <si>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</si>
  <si>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</si>
  <si>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</si>
  <si>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</si>
  <si>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</si>
  <si>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</si>
  <si>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</si>
  <si>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</si>
  <si>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</si>
  <si>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</si>
  <si>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</si>
  <si>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</si>
  <si>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</si>
  <si>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</si>
  <si>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</si>
  <si>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</si>
  <si>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</si>
  <si>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</si>
  <si>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</si>
  <si>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</si>
  <si>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</si>
  <si>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</si>
  <si>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</si>
  <si>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</si>
  <si>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</si>
  <si>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</si>
  <si>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</si>
  <si>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</si>
  <si>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</si>
  <si>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১৮-১০-২০২৬ তারিখে মূল্য বৃদ্ধি পেয়েছে।</t>
  </si>
  <si>
    <t>১৯-১০-২০২৬ তারিখে মূল্য বৃদ্ধি পেয়েছে।</t>
  </si>
  <si>
    <t xml:space="preserve">নং-২৬.০৫.০০০০.০১৭.৩১.০১.২৬-৮৪০                                                                                                           তারিখঃ ২৩-১০-২০২৬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</si>
  <si>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২৬৩</t>
  </si>
  <si>
    <t xml:space="preserve">শুক্রবার ২৩ অক্টোবর ২০২৬ খ্রিঃ, ০৭ কার্তিক ১৪৩৩ বাংলা, ১২ জমা.আউ ১৪৪৮ হিজরি </t>
  </si>
  <si>
    <t>২৩-১০-২০২৬ তারিখে মূল্য বৃদ্ধি পেয়েছে।</t>
  </si>
  <si>
    <t>(২)  অন্যান্য পণ্যের মূল্য অপরিবর্তীত রয়েছে।</t>
  </si>
  <si>
    <t>(১)     ছোলা, রসুন (আম), আদা (দেশী, আম), কাঁচামরিচ, বেগুন, শসা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</si>
</sst>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7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3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/>
    </xf>
    <xf numFmtId="167" fontId="12" fillId="2" borderId="1" xfId="3" applyNumberFormat="1" applyFont="1" applyFill="1" applyBorder="1" applyAlignment="1">
      <alignment horizontal="center"/>
    </xf>
    <xf numFmtId="167" fontId="12" fillId="6" borderId="1" xfId="1" applyNumberFormat="1" applyFont="1" applyFill="1" applyBorder="1" applyAlignment="1">
      <alignment horizontal="center"/>
    </xf>
    <xf numFmtId="167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7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 shrinkToFit="1"/>
    </xf>
    <xf numFmtId="168" fontId="12" fillId="0" borderId="1" xfId="1" applyNumberFormat="1" applyFont="1" applyFill="1" applyBorder="1" applyAlignment="1">
      <alignment horizontal="center" vertical="center" shrinkToFit="1"/>
    </xf>
    <xf numFmtId="168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/>
    </xf>
    <xf numFmtId="167" fontId="12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8" fontId="12" fillId="0" borderId="0" xfId="1" applyNumberFormat="1" applyFont="1" applyFill="1" applyBorder="1" applyAlignment="1">
      <alignment horizontal="center" vertical="center" shrinkToFit="1"/>
    </xf>
    <xf numFmtId="168" fontId="12" fillId="0" borderId="0" xfId="3" applyNumberFormat="1" applyFont="1" applyBorder="1" applyAlignment="1">
      <alignment horizontal="center" vertical="center" shrinkToFit="1"/>
    </xf>
    <xf numFmtId="167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4" borderId="7" xfId="3" applyFont="1" applyFill="1" applyBorder="1" applyAlignment="1">
      <alignment vertical="justify" shrinkToFit="1"/>
    </xf>
    <xf numFmtId="0" fontId="1" fillId="0" borderId="0" xfId="3" applyFont="1" applyAlignment="1">
      <alignment horizontal="left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165" fontId="1" fillId="0" borderId="3" xfId="3" applyNumberFormat="1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2" fillId="5" borderId="0" xfId="3" applyFont="1" applyFill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7"/>
  <sheetViews>
    <sheetView tabSelected="1" topLeftCell="F1" zoomScaleNormal="100" workbookViewId="0">
      <selection activeCell="B84" sqref="B84:L84"/>
    </sheetView>
  </sheetViews>
  <sheetFormatPr defaultColWidth="8.8359375" defaultRowHeight="21" x14ac:dyDescent="0.3"/>
  <cols>
    <col min="1" max="1" width="17.78515625" style="10" customWidth="1"/>
    <col min="2" max="2" width="9.765625" style="10" customWidth="1"/>
    <col min="3" max="3" width="9.53125" style="10" customWidth="1"/>
    <col min="4" max="4" width="8.484375" style="10" customWidth="1"/>
    <col min="5" max="5" width="9.06640625" style="10" customWidth="1"/>
    <col min="6" max="6" width="8.94921875" style="10" customWidth="1"/>
    <col min="7" max="7" width="8.8359375" style="10" customWidth="1"/>
    <col min="8" max="8" width="8.6015625" style="10" customWidth="1"/>
    <col min="9" max="9" width="8.94921875" style="10" customWidth="1"/>
    <col min="10" max="10" width="10.6953125" style="10" customWidth="1"/>
    <col min="11" max="11" width="9.4140625" style="10" customWidth="1"/>
    <col min="12" max="12" width="10.34765625" style="10" customWidth="1"/>
    <col min="13" max="13" width="0.23046875" style="49" customWidth="1"/>
    <col min="14" max="16384" width="8.8359375" style="10"/>
  </cols>
  <sheetData>
    <row r="1" spans="1:18" ht="23.25" x14ac:dyDescent="0.3">
      <c r="A1" s="77" t="s">
        <v>115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8" x14ac:dyDescent="0.3">
      <c r="A2" s="78" t="s">
        <v>116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8" x14ac:dyDescent="0.3">
      <c r="A3" s="79" t="s">
        <v>126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</row>
    <row r="4" spans="1:18" x14ac:dyDescent="0.3">
      <c r="A4" s="80" t="s">
        <v>127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P4" s="51"/>
      <c r="Q4" s="51"/>
      <c r="R4" s="51"/>
    </row>
    <row r="5" spans="1:18" x14ac:dyDescent="0.3">
      <c r="A5" s="81" t="s">
        <v>125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P5" s="52"/>
      <c r="Q5" s="53"/>
    </row>
    <row r="6" spans="1:18" s="27" customFormat="1" x14ac:dyDescent="0.3">
      <c r="A6" s="82" t="s">
        <v>1</v>
      </c>
      <c r="B6" s="82" t="s">
        <v>2</v>
      </c>
      <c r="C6" s="74" t="s">
        <v>3</v>
      </c>
      <c r="D6" s="76"/>
      <c r="E6" s="74" t="s">
        <v>4</v>
      </c>
      <c r="F6" s="76"/>
      <c r="G6" s="74" t="s">
        <v>5</v>
      </c>
      <c r="H6" s="76"/>
      <c r="I6" s="24" t="s">
        <v>6</v>
      </c>
      <c r="J6" s="74" t="s">
        <v>7</v>
      </c>
      <c r="K6" s="76"/>
      <c r="L6" s="26" t="s">
        <v>8</v>
      </c>
      <c r="M6" s="49"/>
    </row>
    <row r="7" spans="1:18" s="27" customFormat="1" x14ac:dyDescent="0.3">
      <c r="A7" s="83"/>
      <c r="B7" s="83"/>
      <c r="C7" s="86">
        <v>46318</v>
      </c>
      <c r="D7" s="87"/>
      <c r="E7" s="86">
        <v>46311</v>
      </c>
      <c r="F7" s="87"/>
      <c r="G7" s="86">
        <v>46288</v>
      </c>
      <c r="H7" s="87"/>
      <c r="I7" s="24" t="s">
        <v>9</v>
      </c>
      <c r="J7" s="84">
        <v>45953</v>
      </c>
      <c r="K7" s="85"/>
      <c r="L7" s="24" t="s">
        <v>9</v>
      </c>
      <c r="M7" s="49"/>
    </row>
    <row r="8" spans="1:18" s="27" customFormat="1" x14ac:dyDescent="0.3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59" t="s">
        <v>10</v>
      </c>
      <c r="K8" s="59" t="s">
        <v>11</v>
      </c>
      <c r="L8" s="29" t="s">
        <v>12</v>
      </c>
      <c r="M8" s="49"/>
    </row>
    <row r="9" spans="1:18" s="27" customFormat="1" x14ac:dyDescent="0.3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 x14ac:dyDescent="0.3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230</v>
      </c>
      <c r="I10" s="46">
        <f>((C10+D10)/2-(G10+H10)/2)/((G10+H10)/2)*100</f>
        <v>0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 x14ac:dyDescent="0.3">
      <c r="A11" s="43" t="s">
        <v>13</v>
      </c>
      <c r="B11" s="44" t="s">
        <v>14</v>
      </c>
      <c r="C11" s="37">
        <v>70</v>
      </c>
      <c r="D11" s="37">
        <v>85</v>
      </c>
      <c r="E11" s="37">
        <v>70</v>
      </c>
      <c r="F11" s="37">
        <v>85</v>
      </c>
      <c r="G11" s="37">
        <v>70</v>
      </c>
      <c r="H11" s="37">
        <v>85</v>
      </c>
      <c r="I11" s="46">
        <f>((C11+D11)/2-(G11+H11)/2)/((G11+H11)/2)*100</f>
        <v>0</v>
      </c>
      <c r="J11" s="37">
        <v>72</v>
      </c>
      <c r="K11" s="37">
        <v>85</v>
      </c>
      <c r="L11" s="47">
        <f>((C11+D11)/2-(J11+K11)/2)/((J11+K11)/2)*100</f>
        <v>-1.2738853503184715</v>
      </c>
      <c r="M11" s="49"/>
    </row>
    <row r="12" spans="1:18" s="27" customFormat="1" x14ac:dyDescent="0.3">
      <c r="A12" s="43" t="s">
        <v>93</v>
      </c>
      <c r="B12" s="44" t="s">
        <v>14</v>
      </c>
      <c r="C12" s="37">
        <v>56</v>
      </c>
      <c r="D12" s="37">
        <v>65</v>
      </c>
      <c r="E12" s="37">
        <v>56</v>
      </c>
      <c r="F12" s="37">
        <v>65</v>
      </c>
      <c r="G12" s="37">
        <v>55</v>
      </c>
      <c r="H12" s="37">
        <v>65</v>
      </c>
      <c r="I12" s="46">
        <f>((C12+D12)/2-(G12+H12)/2)/((G12+H12)/2)*100</f>
        <v>0.83333333333333337</v>
      </c>
      <c r="J12" s="37">
        <v>60</v>
      </c>
      <c r="K12" s="37">
        <v>70</v>
      </c>
      <c r="L12" s="47">
        <f>((C12+D12)/2-(J12+K12)/2)/((J12+K12)/2)*100</f>
        <v>-6.9230769230769234</v>
      </c>
      <c r="M12" s="49">
        <f t="shared" ref="M12:M73" si="0">((C12+D12)/2-(E12+F12)/2)/((E12+F12)/2)*100</f>
        <v>0</v>
      </c>
    </row>
    <row r="13" spans="1:18" s="27" customFormat="1" x14ac:dyDescent="0.3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 x14ac:dyDescent="0.3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 x14ac:dyDescent="0.3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50</v>
      </c>
      <c r="H15" s="37">
        <v>50</v>
      </c>
      <c r="I15" s="46">
        <f>((C15+D15)/2-(G15+H15)/2)/((G15+H15)/2)*100</f>
        <v>0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0</v>
      </c>
    </row>
    <row r="16" spans="1:18" s="27" customFormat="1" x14ac:dyDescent="0.3">
      <c r="A16" s="43" t="s">
        <v>18</v>
      </c>
      <c r="B16" s="44" t="s">
        <v>19</v>
      </c>
      <c r="C16" s="37">
        <v>65</v>
      </c>
      <c r="D16" s="37">
        <v>70</v>
      </c>
      <c r="E16" s="37">
        <v>65</v>
      </c>
      <c r="F16" s="37">
        <v>70</v>
      </c>
      <c r="G16" s="37">
        <v>60</v>
      </c>
      <c r="H16" s="37">
        <v>70</v>
      </c>
      <c r="I16" s="46">
        <f>((C16+D16)/2-(G16+H16)/2)/((G16+H16)/2)*100</f>
        <v>3.8461538461538463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0</v>
      </c>
    </row>
    <row r="17" spans="1:13" s="27" customFormat="1" x14ac:dyDescent="0.3">
      <c r="A17" s="43" t="s">
        <v>20</v>
      </c>
      <c r="B17" s="44" t="s">
        <v>14</v>
      </c>
      <c r="C17" s="37">
        <v>70</v>
      </c>
      <c r="D17" s="37">
        <v>70</v>
      </c>
      <c r="E17" s="37">
        <v>70</v>
      </c>
      <c r="F17" s="37">
        <v>70</v>
      </c>
      <c r="G17" s="37">
        <v>70</v>
      </c>
      <c r="H17" s="37">
        <v>70</v>
      </c>
      <c r="I17" s="46">
        <f>((C17+D17)/2-(G17+H17)/2)/((G17+H17)/2)*100</f>
        <v>0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0</v>
      </c>
    </row>
    <row r="18" spans="1:13" s="27" customFormat="1" x14ac:dyDescent="0.3">
      <c r="A18" s="43" t="s">
        <v>21</v>
      </c>
      <c r="B18" s="44" t="s">
        <v>19</v>
      </c>
      <c r="C18" s="37">
        <v>85</v>
      </c>
      <c r="D18" s="37">
        <v>90</v>
      </c>
      <c r="E18" s="37">
        <v>85</v>
      </c>
      <c r="F18" s="37">
        <v>90</v>
      </c>
      <c r="G18" s="37">
        <v>80</v>
      </c>
      <c r="H18" s="37">
        <v>90</v>
      </c>
      <c r="I18" s="46">
        <f>((C18+D18)/2-(G18+H18)/2)/((G18+H18)/2)*100</f>
        <v>2.9411764705882351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0</v>
      </c>
    </row>
    <row r="19" spans="1:13" s="27" customFormat="1" ht="18" customHeight="1" x14ac:dyDescent="0.3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 x14ac:dyDescent="0.3">
      <c r="A20" s="43" t="s">
        <v>23</v>
      </c>
      <c r="B20" s="44" t="s">
        <v>24</v>
      </c>
      <c r="C20" s="39">
        <v>189</v>
      </c>
      <c r="D20" s="37">
        <v>200</v>
      </c>
      <c r="E20" s="39">
        <v>189</v>
      </c>
      <c r="F20" s="37">
        <v>200</v>
      </c>
      <c r="G20" s="39">
        <v>186</v>
      </c>
      <c r="H20" s="37">
        <v>195</v>
      </c>
      <c r="I20" s="46">
        <f t="shared" ref="I20:I26" si="1">((C20+D20)/2-(G20+H20)/2)/((G20+H20)/2)*100</f>
        <v>2.0997375328083989</v>
      </c>
      <c r="J20" s="37">
        <v>172</v>
      </c>
      <c r="K20" s="37">
        <v>180</v>
      </c>
      <c r="L20" s="47">
        <f>((C20+D20)/2-(J20+K20)/2)/((J20+K20)/2)*100</f>
        <v>10.511363636363637</v>
      </c>
      <c r="M20" s="49">
        <f t="shared" si="0"/>
        <v>0</v>
      </c>
    </row>
    <row r="21" spans="1:13" s="27" customFormat="1" x14ac:dyDescent="0.3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1000</v>
      </c>
      <c r="H21" s="37">
        <v>1000</v>
      </c>
      <c r="I21" s="46">
        <f t="shared" si="1"/>
        <v>0</v>
      </c>
      <c r="J21" s="37">
        <v>910</v>
      </c>
      <c r="K21" s="37">
        <v>930</v>
      </c>
      <c r="L21" s="47">
        <f t="shared" ref="L21:L25" si="2">((C21+D21)/2-(J21+K21)/2)/((J21+K21)/2)*100</f>
        <v>8.695652173913043</v>
      </c>
      <c r="M21" s="49">
        <f t="shared" si="0"/>
        <v>0</v>
      </c>
    </row>
    <row r="22" spans="1:13" s="27" customFormat="1" x14ac:dyDescent="0.3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410</v>
      </c>
      <c r="H22" s="37">
        <v>410</v>
      </c>
      <c r="I22" s="46">
        <f t="shared" si="1"/>
        <v>0</v>
      </c>
      <c r="J22" s="37">
        <v>375</v>
      </c>
      <c r="K22" s="37">
        <v>385</v>
      </c>
      <c r="L22" s="47">
        <f t="shared" si="2"/>
        <v>7.8947368421052628</v>
      </c>
      <c r="M22" s="49">
        <f t="shared" si="0"/>
        <v>0</v>
      </c>
    </row>
    <row r="23" spans="1:13" s="27" customFormat="1" x14ac:dyDescent="0.3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204</v>
      </c>
      <c r="H23" s="37">
        <v>204</v>
      </c>
      <c r="I23" s="46">
        <f t="shared" si="1"/>
        <v>0</v>
      </c>
      <c r="J23" s="37">
        <v>189</v>
      </c>
      <c r="K23" s="37">
        <v>195</v>
      </c>
      <c r="L23" s="47">
        <f t="shared" si="2"/>
        <v>6.25</v>
      </c>
      <c r="M23" s="49">
        <f t="shared" si="0"/>
        <v>0</v>
      </c>
    </row>
    <row r="24" spans="1:13" s="27" customFormat="1" x14ac:dyDescent="0.3">
      <c r="A24" s="43" t="s">
        <v>29</v>
      </c>
      <c r="B24" s="44" t="s">
        <v>24</v>
      </c>
      <c r="C24" s="37">
        <v>168</v>
      </c>
      <c r="D24" s="37">
        <v>175</v>
      </c>
      <c r="E24" s="37">
        <v>168</v>
      </c>
      <c r="F24" s="37">
        <v>175</v>
      </c>
      <c r="G24" s="37">
        <v>170</v>
      </c>
      <c r="H24" s="37">
        <v>172</v>
      </c>
      <c r="I24" s="46">
        <f t="shared" si="1"/>
        <v>0.29239766081871343</v>
      </c>
      <c r="J24" s="37">
        <v>155</v>
      </c>
      <c r="K24" s="37">
        <v>162</v>
      </c>
      <c r="L24" s="47">
        <f t="shared" si="2"/>
        <v>8.2018927444794958</v>
      </c>
      <c r="M24" s="49">
        <f t="shared" si="0"/>
        <v>0</v>
      </c>
    </row>
    <row r="25" spans="1:13" s="27" customFormat="1" x14ac:dyDescent="0.3">
      <c r="A25" s="43" t="s">
        <v>94</v>
      </c>
      <c r="B25" s="44" t="s">
        <v>24</v>
      </c>
      <c r="C25" s="37">
        <v>175</v>
      </c>
      <c r="D25" s="37">
        <v>180</v>
      </c>
      <c r="E25" s="37">
        <v>175</v>
      </c>
      <c r="F25" s="37">
        <v>180</v>
      </c>
      <c r="G25" s="37">
        <v>172</v>
      </c>
      <c r="H25" s="37">
        <v>178</v>
      </c>
      <c r="I25" s="46">
        <f t="shared" si="1"/>
        <v>1.4285714285714286</v>
      </c>
      <c r="J25" s="37">
        <v>158</v>
      </c>
      <c r="K25" s="37">
        <v>165</v>
      </c>
      <c r="L25" s="47">
        <f t="shared" si="2"/>
        <v>9.9071207430340564</v>
      </c>
      <c r="M25" s="49">
        <f t="shared" si="0"/>
        <v>0</v>
      </c>
    </row>
    <row r="26" spans="1:13" s="27" customFormat="1" x14ac:dyDescent="0.3">
      <c r="A26" s="43" t="s">
        <v>30</v>
      </c>
      <c r="B26" s="44" t="s">
        <v>26</v>
      </c>
      <c r="C26" s="37">
        <v>1035</v>
      </c>
      <c r="D26" s="37">
        <v>1200</v>
      </c>
      <c r="E26" s="37">
        <v>1035</v>
      </c>
      <c r="F26" s="37">
        <v>1200</v>
      </c>
      <c r="G26" s="37">
        <v>1030</v>
      </c>
      <c r="H26" s="37">
        <v>1140</v>
      </c>
      <c r="I26" s="46">
        <f t="shared" si="1"/>
        <v>2.9953917050691241</v>
      </c>
      <c r="J26" s="37">
        <v>1030</v>
      </c>
      <c r="K26" s="37">
        <v>1080</v>
      </c>
      <c r="L26" s="47">
        <f>((C26+D26)/2-(J26+K26)/2)/((J26+K26)/2)*100</f>
        <v>5.9241706161137442</v>
      </c>
      <c r="M26" s="49">
        <f t="shared" si="0"/>
        <v>0</v>
      </c>
    </row>
    <row r="27" spans="1:13" s="27" customFormat="1" x14ac:dyDescent="0.3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8.75" x14ac:dyDescent="0.25">
      <c r="A28" s="43" t="s">
        <v>33</v>
      </c>
      <c r="B28" s="44" t="s">
        <v>14</v>
      </c>
      <c r="C28" s="37">
        <v>90</v>
      </c>
      <c r="D28" s="37">
        <v>100</v>
      </c>
      <c r="E28" s="37">
        <v>90</v>
      </c>
      <c r="F28" s="37">
        <v>100</v>
      </c>
      <c r="G28" s="37">
        <v>95</v>
      </c>
      <c r="H28" s="37">
        <v>100</v>
      </c>
      <c r="I28" s="46">
        <f t="shared" ref="I28:I34" si="3">((C28+D28)/2-(G28+H28)/2)/((G28+H28)/2)*100</f>
        <v>-2.5641025641025639</v>
      </c>
      <c r="J28" s="37">
        <v>95</v>
      </c>
      <c r="K28" s="37">
        <v>110</v>
      </c>
      <c r="L28" s="47">
        <f t="shared" ref="L28:L34" si="4">((C28+D28)/2-(J28+K28)/2)/((J28+K28)/2)*100</f>
        <v>-7.3170731707317067</v>
      </c>
      <c r="M28" s="49">
        <f t="shared" si="0"/>
        <v>0</v>
      </c>
    </row>
    <row r="29" spans="1:13" s="48" customFormat="1" ht="18.75" x14ac:dyDescent="0.2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120</v>
      </c>
      <c r="K29" s="37">
        <v>140</v>
      </c>
      <c r="L29" s="47">
        <f t="shared" si="4"/>
        <v>-9.6153846153846168</v>
      </c>
      <c r="M29" s="49">
        <f t="shared" si="0"/>
        <v>0</v>
      </c>
    </row>
    <row r="30" spans="1:13" s="48" customFormat="1" ht="18.75" x14ac:dyDescent="0.2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8.75" x14ac:dyDescent="0.2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8.75" x14ac:dyDescent="0.2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8.75" x14ac:dyDescent="0.25">
      <c r="A33" s="43" t="s">
        <v>37</v>
      </c>
      <c r="B33" s="44" t="s">
        <v>14</v>
      </c>
      <c r="C33" s="37">
        <v>110</v>
      </c>
      <c r="D33" s="37">
        <v>125</v>
      </c>
      <c r="E33" s="37">
        <v>105</v>
      </c>
      <c r="F33" s="37">
        <v>120</v>
      </c>
      <c r="G33" s="37">
        <v>100</v>
      </c>
      <c r="H33" s="37">
        <v>110</v>
      </c>
      <c r="I33" s="46">
        <f t="shared" si="3"/>
        <v>11.904761904761903</v>
      </c>
      <c r="J33" s="37">
        <v>100</v>
      </c>
      <c r="K33" s="37">
        <v>110</v>
      </c>
      <c r="L33" s="47">
        <f t="shared" si="4"/>
        <v>11.904761904761903</v>
      </c>
      <c r="M33" s="49">
        <f t="shared" si="0"/>
        <v>4.4444444444444446</v>
      </c>
    </row>
    <row r="34" spans="1:13" s="48" customFormat="1" ht="18.75" x14ac:dyDescent="0.2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 x14ac:dyDescent="0.3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8.75" x14ac:dyDescent="0.25">
      <c r="A36" s="43" t="s">
        <v>121</v>
      </c>
      <c r="B36" s="44" t="s">
        <v>14</v>
      </c>
      <c r="C36" s="39">
        <v>50</v>
      </c>
      <c r="D36" s="39">
        <v>60</v>
      </c>
      <c r="E36" s="39">
        <v>50</v>
      </c>
      <c r="F36" s="39">
        <v>60</v>
      </c>
      <c r="G36" s="39">
        <v>50</v>
      </c>
      <c r="H36" s="39">
        <v>55</v>
      </c>
      <c r="I36" s="46">
        <f t="shared" ref="I36:I51" si="5">((C36+D36)/2-(G36+H36)/2)/((G36+H36)/2)*100</f>
        <v>4.7619047619047619</v>
      </c>
      <c r="J36" s="37">
        <v>70</v>
      </c>
      <c r="K36" s="37">
        <v>80</v>
      </c>
      <c r="L36" s="47">
        <f t="shared" ref="L36:L50" si="6">((C36+D36)/2-(J36+K36)/2)/((J36+K36)/2)*100</f>
        <v>-26.666666666666668</v>
      </c>
      <c r="M36" s="49">
        <f>((C36+D36)/2-(E36+F36)/2)/((E36+F36)/2)*100</f>
        <v>0</v>
      </c>
    </row>
    <row r="37" spans="1:13" s="48" customFormat="1" ht="18.75" x14ac:dyDescent="0.2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8.75" x14ac:dyDescent="0.25">
      <c r="A38" s="43" t="s">
        <v>40</v>
      </c>
      <c r="B38" s="44" t="s">
        <v>14</v>
      </c>
      <c r="C38" s="37">
        <v>100</v>
      </c>
      <c r="D38" s="37">
        <v>140</v>
      </c>
      <c r="E38" s="37">
        <v>100</v>
      </c>
      <c r="F38" s="37">
        <v>140</v>
      </c>
      <c r="G38" s="37">
        <v>100</v>
      </c>
      <c r="H38" s="37">
        <v>120</v>
      </c>
      <c r="I38" s="46">
        <f t="shared" si="5"/>
        <v>9.0909090909090917</v>
      </c>
      <c r="J38" s="37">
        <v>100</v>
      </c>
      <c r="K38" s="37">
        <v>140</v>
      </c>
      <c r="L38" s="47">
        <f t="shared" si="6"/>
        <v>0</v>
      </c>
      <c r="M38" s="49">
        <f t="shared" si="0"/>
        <v>0</v>
      </c>
    </row>
    <row r="39" spans="1:13" s="48" customFormat="1" ht="18.75" x14ac:dyDescent="0.25">
      <c r="A39" s="43" t="s">
        <v>41</v>
      </c>
      <c r="B39" s="44" t="s">
        <v>14</v>
      </c>
      <c r="C39" s="39">
        <v>190</v>
      </c>
      <c r="D39" s="37">
        <v>230</v>
      </c>
      <c r="E39" s="39">
        <v>160</v>
      </c>
      <c r="F39" s="37">
        <v>230</v>
      </c>
      <c r="G39" s="39">
        <v>180</v>
      </c>
      <c r="H39" s="37">
        <v>200</v>
      </c>
      <c r="I39" s="46">
        <f t="shared" si="5"/>
        <v>10.526315789473683</v>
      </c>
      <c r="J39" s="37">
        <v>130</v>
      </c>
      <c r="K39" s="37">
        <v>200</v>
      </c>
      <c r="L39" s="47">
        <f t="shared" si="6"/>
        <v>27.27272727272727</v>
      </c>
      <c r="M39" s="49">
        <f t="shared" si="0"/>
        <v>7.6923076923076925</v>
      </c>
    </row>
    <row r="40" spans="1:13" s="48" customFormat="1" ht="18.75" x14ac:dyDescent="0.2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200</v>
      </c>
      <c r="K40" s="37">
        <v>350</v>
      </c>
      <c r="L40" s="47">
        <f t="shared" si="6"/>
        <v>27.27272727272727</v>
      </c>
      <c r="M40" s="49">
        <f t="shared" si="0"/>
        <v>0</v>
      </c>
    </row>
    <row r="41" spans="1:13" s="48" customFormat="1" ht="18.75" x14ac:dyDescent="0.2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300</v>
      </c>
      <c r="K41" s="37">
        <v>400</v>
      </c>
      <c r="L41" s="47">
        <f t="shared" si="6"/>
        <v>18.571428571428573</v>
      </c>
      <c r="M41" s="49">
        <f t="shared" si="0"/>
        <v>0</v>
      </c>
    </row>
    <row r="42" spans="1:13" s="48" customFormat="1" ht="18.75" x14ac:dyDescent="0.2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8.75" x14ac:dyDescent="0.2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8.75" x14ac:dyDescent="0.25">
      <c r="A44" s="43" t="s">
        <v>46</v>
      </c>
      <c r="B44" s="44" t="s">
        <v>14</v>
      </c>
      <c r="C44" s="37">
        <v>120</v>
      </c>
      <c r="D44" s="37">
        <v>150</v>
      </c>
      <c r="E44" s="37">
        <v>120</v>
      </c>
      <c r="F44" s="37">
        <v>140</v>
      </c>
      <c r="G44" s="37">
        <v>120</v>
      </c>
      <c r="H44" s="37">
        <v>140</v>
      </c>
      <c r="I44" s="46">
        <f t="shared" si="5"/>
        <v>3.8461538461538463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3.8461538461538463</v>
      </c>
    </row>
    <row r="45" spans="1:13" s="48" customFormat="1" ht="18.75" x14ac:dyDescent="0.25">
      <c r="A45" s="43" t="s">
        <v>47</v>
      </c>
      <c r="B45" s="44" t="s">
        <v>14</v>
      </c>
      <c r="C45" s="37">
        <v>170</v>
      </c>
      <c r="D45" s="37">
        <v>230</v>
      </c>
      <c r="E45" s="37">
        <v>120</v>
      </c>
      <c r="F45" s="37">
        <v>220</v>
      </c>
      <c r="G45" s="37">
        <v>120</v>
      </c>
      <c r="H45" s="37">
        <v>160</v>
      </c>
      <c r="I45" s="46">
        <f t="shared" si="5"/>
        <v>42.857142857142854</v>
      </c>
      <c r="J45" s="37">
        <v>130</v>
      </c>
      <c r="K45" s="37">
        <v>250</v>
      </c>
      <c r="L45" s="47">
        <f t="shared" si="6"/>
        <v>5.2631578947368416</v>
      </c>
      <c r="M45" s="49">
        <f t="shared" si="0"/>
        <v>17.647058823529413</v>
      </c>
    </row>
    <row r="46" spans="1:13" s="48" customFormat="1" ht="18.75" x14ac:dyDescent="0.2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8.75" x14ac:dyDescent="0.25">
      <c r="A47" s="43" t="s">
        <v>49</v>
      </c>
      <c r="B47" s="44" t="s">
        <v>14</v>
      </c>
      <c r="C47" s="37">
        <v>480</v>
      </c>
      <c r="D47" s="37">
        <v>600</v>
      </c>
      <c r="E47" s="37">
        <v>480</v>
      </c>
      <c r="F47" s="37">
        <v>600</v>
      </c>
      <c r="G47" s="37">
        <v>500</v>
      </c>
      <c r="H47" s="37">
        <v>600</v>
      </c>
      <c r="I47" s="46">
        <f t="shared" si="5"/>
        <v>-1.8181818181818181</v>
      </c>
      <c r="J47" s="37">
        <v>480</v>
      </c>
      <c r="K47" s="37">
        <v>600</v>
      </c>
      <c r="L47" s="47">
        <f t="shared" si="6"/>
        <v>0</v>
      </c>
      <c r="M47" s="49">
        <f t="shared" si="0"/>
        <v>0</v>
      </c>
    </row>
    <row r="48" spans="1:13" s="48" customFormat="1" ht="18.75" x14ac:dyDescent="0.2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8.75" x14ac:dyDescent="0.2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8.75" x14ac:dyDescent="0.2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200</v>
      </c>
      <c r="H50" s="37">
        <v>250</v>
      </c>
      <c r="I50" s="46">
        <f t="shared" si="5"/>
        <v>0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8.75" x14ac:dyDescent="0.25">
      <c r="A51" s="43" t="s">
        <v>53</v>
      </c>
      <c r="B51" s="44" t="s">
        <v>14</v>
      </c>
      <c r="C51" s="37">
        <v>250</v>
      </c>
      <c r="D51" s="37">
        <v>280</v>
      </c>
      <c r="E51" s="37">
        <v>250</v>
      </c>
      <c r="F51" s="37">
        <v>280</v>
      </c>
      <c r="G51" s="37">
        <v>250</v>
      </c>
      <c r="H51" s="37">
        <v>300</v>
      </c>
      <c r="I51" s="46">
        <f t="shared" si="5"/>
        <v>-3.6363636363636362</v>
      </c>
      <c r="J51" s="37">
        <v>200</v>
      </c>
      <c r="K51" s="37">
        <v>225</v>
      </c>
      <c r="L51" s="47">
        <f>((C51+D51)/2-(J51+K51)/2)/((J51+K51)/2)*100</f>
        <v>24.705882352941178</v>
      </c>
      <c r="M51" s="49">
        <f t="shared" si="0"/>
        <v>0</v>
      </c>
    </row>
    <row r="52" spans="1:13" s="27" customFormat="1" x14ac:dyDescent="0.3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8.75" x14ac:dyDescent="0.2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8.75" x14ac:dyDescent="0.25">
      <c r="A54" s="43" t="s">
        <v>56</v>
      </c>
      <c r="B54" s="44" t="s">
        <v>14</v>
      </c>
      <c r="C54" s="37">
        <v>0</v>
      </c>
      <c r="D54" s="37">
        <v>0</v>
      </c>
      <c r="E54" s="37">
        <v>0</v>
      </c>
      <c r="F54" s="37">
        <v>0</v>
      </c>
      <c r="G54" s="37">
        <v>800</v>
      </c>
      <c r="H54" s="37">
        <v>1800</v>
      </c>
      <c r="I54" s="46">
        <f t="shared" si="7"/>
        <v>-100</v>
      </c>
      <c r="J54" s="37">
        <v>0</v>
      </c>
      <c r="K54" s="37">
        <v>0</v>
      </c>
      <c r="L54" s="47" t="e">
        <f t="shared" si="8"/>
        <v>#DIV/0!</v>
      </c>
      <c r="M54" s="49" t="e">
        <f t="shared" si="0"/>
        <v>#DIV/0!</v>
      </c>
    </row>
    <row r="55" spans="1:13" s="48" customFormat="1" ht="18.75" x14ac:dyDescent="0.25">
      <c r="A55" s="43" t="s">
        <v>84</v>
      </c>
      <c r="B55" s="44" t="s">
        <v>14</v>
      </c>
      <c r="C55" s="37">
        <v>800</v>
      </c>
      <c r="D55" s="37">
        <v>850</v>
      </c>
      <c r="E55" s="37">
        <v>800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800</v>
      </c>
      <c r="L55" s="47">
        <f t="shared" si="8"/>
        <v>6.4516129032258061</v>
      </c>
      <c r="M55" s="49">
        <f t="shared" si="0"/>
        <v>0</v>
      </c>
    </row>
    <row r="56" spans="1:13" s="48" customFormat="1" ht="18.75" x14ac:dyDescent="0.2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8.75" x14ac:dyDescent="0.25">
      <c r="A57" s="43" t="s">
        <v>57</v>
      </c>
      <c r="B57" s="44" t="s">
        <v>14</v>
      </c>
      <c r="C57" s="37">
        <v>180</v>
      </c>
      <c r="D57" s="37">
        <v>190</v>
      </c>
      <c r="E57" s="37">
        <v>180</v>
      </c>
      <c r="F57" s="37">
        <v>190</v>
      </c>
      <c r="G57" s="37">
        <v>180</v>
      </c>
      <c r="H57" s="37">
        <v>200</v>
      </c>
      <c r="I57" s="46">
        <f t="shared" si="7"/>
        <v>-2.6315789473684208</v>
      </c>
      <c r="J57" s="37">
        <v>170</v>
      </c>
      <c r="K57" s="37">
        <v>185</v>
      </c>
      <c r="L57" s="47">
        <f t="shared" si="8"/>
        <v>4.225352112676056</v>
      </c>
      <c r="M57" s="49">
        <f t="shared" si="0"/>
        <v>0</v>
      </c>
    </row>
    <row r="58" spans="1:13" s="48" customFormat="1" ht="18.75" x14ac:dyDescent="0.2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 x14ac:dyDescent="0.3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 x14ac:dyDescent="0.25">
      <c r="A60" s="43" t="s">
        <v>60</v>
      </c>
      <c r="B60" s="44" t="s">
        <v>61</v>
      </c>
      <c r="C60" s="37">
        <v>850</v>
      </c>
      <c r="D60" s="37">
        <v>950</v>
      </c>
      <c r="E60" s="37">
        <v>850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0</v>
      </c>
    </row>
    <row r="61" spans="1:13" s="48" customFormat="1" ht="20.25" customHeight="1" x14ac:dyDescent="0.25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 x14ac:dyDescent="0.25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 x14ac:dyDescent="0.25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 x14ac:dyDescent="0.25">
      <c r="A64" s="61"/>
      <c r="B64" s="62"/>
      <c r="C64" s="56"/>
      <c r="D64" s="65"/>
      <c r="E64" s="56"/>
      <c r="F64" s="65"/>
      <c r="G64" s="56"/>
      <c r="H64" s="65"/>
      <c r="I64" s="63"/>
      <c r="J64" s="56"/>
      <c r="K64" s="56"/>
      <c r="L64" s="64"/>
      <c r="M64" s="49"/>
    </row>
    <row r="65" spans="1:13" s="48" customFormat="1" ht="25.5" customHeight="1" x14ac:dyDescent="0.25">
      <c r="A65" s="61"/>
      <c r="B65" s="62"/>
      <c r="C65" s="56"/>
      <c r="D65" s="56"/>
      <c r="E65" s="56"/>
      <c r="F65" s="56"/>
      <c r="G65" s="56"/>
      <c r="H65" s="56"/>
      <c r="I65" s="63"/>
      <c r="J65" s="56"/>
      <c r="K65" s="56"/>
      <c r="L65" s="64"/>
      <c r="M65" s="49"/>
    </row>
    <row r="66" spans="1:13" s="48" customFormat="1" ht="25.5" customHeight="1" x14ac:dyDescent="0.25">
      <c r="A66" s="61"/>
      <c r="B66" s="62"/>
      <c r="C66" s="56"/>
      <c r="D66" s="56"/>
      <c r="E66" s="56"/>
      <c r="F66" s="56"/>
      <c r="G66" s="56"/>
      <c r="H66" s="56"/>
      <c r="I66" s="63"/>
      <c r="J66" s="56"/>
      <c r="K66" s="56"/>
      <c r="L66" s="64"/>
      <c r="M66" s="49"/>
    </row>
    <row r="67" spans="1:13" s="48" customFormat="1" ht="25.5" customHeight="1" x14ac:dyDescent="0.25">
      <c r="A67" s="61"/>
      <c r="B67" s="62"/>
      <c r="C67" s="56"/>
      <c r="D67" s="56"/>
      <c r="E67" s="56"/>
      <c r="F67" s="56"/>
      <c r="G67" s="56"/>
      <c r="H67" s="56"/>
      <c r="I67" s="63"/>
      <c r="J67" s="56"/>
      <c r="K67" s="56"/>
      <c r="L67" s="64"/>
      <c r="M67" s="49"/>
    </row>
    <row r="68" spans="1:13" x14ac:dyDescent="0.3">
      <c r="A68" s="82" t="s">
        <v>1</v>
      </c>
      <c r="B68" s="82" t="s">
        <v>2</v>
      </c>
      <c r="C68" s="74" t="s">
        <v>3</v>
      </c>
      <c r="D68" s="76"/>
      <c r="E68" s="74" t="s">
        <v>4</v>
      </c>
      <c r="F68" s="76"/>
      <c r="G68" s="74" t="s">
        <v>5</v>
      </c>
      <c r="H68" s="76"/>
      <c r="I68" s="24" t="s">
        <v>6</v>
      </c>
      <c r="J68" s="74" t="s">
        <v>7</v>
      </c>
      <c r="K68" s="76"/>
      <c r="L68" s="24" t="s">
        <v>8</v>
      </c>
    </row>
    <row r="69" spans="1:13" ht="18" customHeight="1" x14ac:dyDescent="0.3">
      <c r="A69" s="83"/>
      <c r="B69" s="83"/>
      <c r="C69" s="86">
        <v>46318</v>
      </c>
      <c r="D69" s="87"/>
      <c r="E69" s="86">
        <v>46311</v>
      </c>
      <c r="F69" s="87"/>
      <c r="G69" s="86">
        <v>46288</v>
      </c>
      <c r="H69" s="87"/>
      <c r="I69" s="24" t="s">
        <v>9</v>
      </c>
      <c r="J69" s="84">
        <v>45953</v>
      </c>
      <c r="K69" s="85"/>
      <c r="L69" s="24" t="s">
        <v>9</v>
      </c>
    </row>
    <row r="70" spans="1:13" x14ac:dyDescent="0.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0" t="s">
        <v>10</v>
      </c>
      <c r="K70" s="60" t="s">
        <v>11</v>
      </c>
      <c r="L70" s="29" t="s">
        <v>12</v>
      </c>
    </row>
    <row r="71" spans="1:13" s="49" customFormat="1" ht="18.75" customHeight="1" x14ac:dyDescent="0.25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115</v>
      </c>
      <c r="I71" s="46">
        <f>((C71+D71)/2-(G71+H71)/2)/((G71+H71)/2)*100</f>
        <v>0</v>
      </c>
      <c r="J71" s="37">
        <v>100</v>
      </c>
      <c r="K71" s="37">
        <v>110</v>
      </c>
      <c r="L71" s="47">
        <f>((C71+D71)/2-(J71+K71)/2)/((J71+K71)/2)*100</f>
        <v>7.1428571428571423</v>
      </c>
      <c r="M71" s="49">
        <f t="shared" si="0"/>
        <v>0</v>
      </c>
    </row>
    <row r="72" spans="1:13" s="49" customFormat="1" ht="18.75" x14ac:dyDescent="0.2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9">((C72+D72)/2-(G72+H72)/2)/((G72+H72)/2)*100</f>
        <v>0</v>
      </c>
      <c r="J72" s="37">
        <v>220</v>
      </c>
      <c r="K72" s="37">
        <v>550</v>
      </c>
      <c r="L72" s="47">
        <f t="shared" ref="L72:L77" si="10">((C72+D72)/2-(J72+K72)/2)/((J72+K72)/2)*100</f>
        <v>16.883116883116884</v>
      </c>
      <c r="M72" s="49">
        <f t="shared" si="0"/>
        <v>0</v>
      </c>
    </row>
    <row r="73" spans="1:13" s="49" customFormat="1" ht="18.75" x14ac:dyDescent="0.2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9"/>
        <v>0</v>
      </c>
      <c r="J73" s="37">
        <v>38</v>
      </c>
      <c r="K73" s="37">
        <v>42</v>
      </c>
      <c r="L73" s="47">
        <f t="shared" si="10"/>
        <v>2.5</v>
      </c>
      <c r="M73" s="49">
        <f t="shared" si="0"/>
        <v>0</v>
      </c>
    </row>
    <row r="74" spans="1:13" s="49" customFormat="1" ht="18.75" x14ac:dyDescent="0.2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9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8.75" x14ac:dyDescent="0.25">
      <c r="A75" s="43" t="s">
        <v>102</v>
      </c>
      <c r="B75" s="50" t="s">
        <v>14</v>
      </c>
      <c r="C75" s="37">
        <v>120</v>
      </c>
      <c r="D75" s="37">
        <v>180</v>
      </c>
      <c r="E75" s="37">
        <v>100</v>
      </c>
      <c r="F75" s="37">
        <v>180</v>
      </c>
      <c r="G75" s="37">
        <v>140</v>
      </c>
      <c r="H75" s="37">
        <v>160</v>
      </c>
      <c r="I75" s="46">
        <f t="shared" si="9"/>
        <v>0</v>
      </c>
      <c r="J75" s="45">
        <v>200</v>
      </c>
      <c r="K75" s="45">
        <v>220</v>
      </c>
      <c r="L75" s="47">
        <f t="shared" si="10"/>
        <v>-28.571428571428569</v>
      </c>
      <c r="M75" s="49">
        <f t="shared" si="11"/>
        <v>7.1428571428571423</v>
      </c>
    </row>
    <row r="76" spans="1:13" s="49" customFormat="1" ht="18.75" x14ac:dyDescent="0.25">
      <c r="A76" s="43" t="s">
        <v>103</v>
      </c>
      <c r="B76" s="50" t="s">
        <v>14</v>
      </c>
      <c r="C76" s="37">
        <v>90</v>
      </c>
      <c r="D76" s="37">
        <v>120</v>
      </c>
      <c r="E76" s="37">
        <v>80</v>
      </c>
      <c r="F76" s="37">
        <v>120</v>
      </c>
      <c r="G76" s="37">
        <v>90</v>
      </c>
      <c r="H76" s="37">
        <v>120</v>
      </c>
      <c r="I76" s="46">
        <f t="shared" si="9"/>
        <v>0</v>
      </c>
      <c r="J76" s="45">
        <v>70</v>
      </c>
      <c r="K76" s="45">
        <v>110</v>
      </c>
      <c r="L76" s="47">
        <f t="shared" si="10"/>
        <v>16.666666666666664</v>
      </c>
      <c r="M76" s="49">
        <f t="shared" si="11"/>
        <v>5</v>
      </c>
    </row>
    <row r="77" spans="1:13" s="49" customFormat="1" ht="18.75" x14ac:dyDescent="0.25">
      <c r="A77" s="43" t="s">
        <v>104</v>
      </c>
      <c r="B77" s="50" t="s">
        <v>14</v>
      </c>
      <c r="C77" s="37">
        <v>60</v>
      </c>
      <c r="D77" s="37">
        <v>100</v>
      </c>
      <c r="E77" s="37">
        <v>60</v>
      </c>
      <c r="F77" s="37">
        <v>80</v>
      </c>
      <c r="G77" s="37">
        <v>50</v>
      </c>
      <c r="H77" s="37">
        <v>80</v>
      </c>
      <c r="I77" s="46">
        <f t="shared" si="9"/>
        <v>23.076923076923077</v>
      </c>
      <c r="J77" s="45">
        <v>40</v>
      </c>
      <c r="K77" s="45">
        <v>80</v>
      </c>
      <c r="L77" s="47">
        <f t="shared" si="10"/>
        <v>33.333333333333329</v>
      </c>
      <c r="M77" s="49">
        <f t="shared" si="11"/>
        <v>14.285714285714285</v>
      </c>
    </row>
    <row r="78" spans="1:13" s="49" customFormat="1" ht="18.75" customHeight="1" x14ac:dyDescent="0.25">
      <c r="A78" s="43" t="s">
        <v>68</v>
      </c>
      <c r="B78" s="44" t="s">
        <v>69</v>
      </c>
      <c r="C78" s="42">
        <v>47</v>
      </c>
      <c r="D78" s="42">
        <v>50</v>
      </c>
      <c r="E78" s="42">
        <v>47</v>
      </c>
      <c r="F78" s="42">
        <v>50</v>
      </c>
      <c r="G78" s="42">
        <v>48</v>
      </c>
      <c r="H78" s="42">
        <v>55</v>
      </c>
      <c r="I78" s="46">
        <f t="shared" si="9"/>
        <v>-5.825242718446602</v>
      </c>
      <c r="J78" s="42">
        <v>45</v>
      </c>
      <c r="K78" s="42">
        <v>50</v>
      </c>
      <c r="L78" s="47">
        <f>((C78+D78)/2-(J78+K78)/2)/((J78+K78)/2)*100</f>
        <v>2.1052631578947367</v>
      </c>
      <c r="M78" s="49">
        <f t="shared" si="11"/>
        <v>0</v>
      </c>
    </row>
    <row r="79" spans="1:13" s="49" customFormat="1" ht="18.75" x14ac:dyDescent="0.2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9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8.75" x14ac:dyDescent="0.2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9"/>
        <v>0</v>
      </c>
      <c r="J80" s="37">
        <v>81000</v>
      </c>
      <c r="K80" s="37">
        <v>84000</v>
      </c>
      <c r="L80" s="47">
        <f>((C80+D80)/2-(J80+K80)/2)/((J80+K80)/2)*100</f>
        <v>13.333333333333334</v>
      </c>
      <c r="M80" s="49">
        <f t="shared" si="11"/>
        <v>0</v>
      </c>
    </row>
    <row r="81" spans="1:13" s="49" customFormat="1" ht="18.75" x14ac:dyDescent="0.2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9"/>
        <v>0</v>
      </c>
      <c r="J81" s="37">
        <v>75000</v>
      </c>
      <c r="K81" s="42">
        <v>77000</v>
      </c>
      <c r="L81" s="47">
        <f>((C81+D81)/2-(J81+K81)/2)/((J81+K81)/2)*100</f>
        <v>18.421052631578945</v>
      </c>
      <c r="M81" s="49">
        <f t="shared" si="11"/>
        <v>0</v>
      </c>
    </row>
    <row r="82" spans="1:13" ht="39" customHeight="1" x14ac:dyDescent="0.3">
      <c r="A82" s="90" t="s">
        <v>117</v>
      </c>
      <c r="B82" s="91"/>
      <c r="C82" s="72" t="s">
        <v>122</v>
      </c>
      <c r="D82" s="72"/>
      <c r="E82" s="72"/>
      <c r="F82" s="72"/>
      <c r="G82" s="72"/>
      <c r="H82" s="72"/>
      <c r="I82" s="72"/>
      <c r="J82" s="72"/>
      <c r="K82" s="72"/>
      <c r="L82" s="72"/>
    </row>
    <row r="83" spans="1:13" x14ac:dyDescent="0.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 x14ac:dyDescent="0.3">
      <c r="A84" s="6"/>
      <c r="B84" s="73" t="s">
        <v>130</v>
      </c>
      <c r="C84" s="73"/>
      <c r="D84" s="73"/>
      <c r="E84" s="73"/>
      <c r="F84" s="73"/>
      <c r="G84" s="73"/>
      <c r="H84" s="73"/>
      <c r="I84" s="73"/>
      <c r="J84" s="73"/>
      <c r="K84" s="73"/>
      <c r="L84" s="73"/>
    </row>
    <row r="85" spans="1:13" x14ac:dyDescent="0.3">
      <c r="A85" s="6"/>
      <c r="B85" s="6" t="s">
        <v>129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3" x14ac:dyDescent="0.3">
      <c r="A86" s="6" t="s">
        <v>75</v>
      </c>
      <c r="B86" s="2"/>
      <c r="C86" s="1"/>
      <c r="D86" s="1"/>
      <c r="E86" s="1"/>
      <c r="F86" s="1"/>
      <c r="G86" s="8"/>
      <c r="H86" s="8"/>
      <c r="I86" s="1"/>
      <c r="J86" s="1"/>
      <c r="K86" s="1"/>
      <c r="L86" s="1"/>
    </row>
    <row r="87" spans="1:13" x14ac:dyDescent="0.3">
      <c r="A87" s="23" t="s">
        <v>76</v>
      </c>
      <c r="B87" s="24" t="s">
        <v>77</v>
      </c>
      <c r="C87" s="74" t="s">
        <v>3</v>
      </c>
      <c r="D87" s="76"/>
      <c r="E87" s="88" t="s">
        <v>78</v>
      </c>
      <c r="F87" s="89"/>
      <c r="G87" s="25" t="s">
        <v>9</v>
      </c>
      <c r="H87" s="74" t="s">
        <v>79</v>
      </c>
      <c r="I87" s="75"/>
      <c r="J87" s="76"/>
      <c r="K87" s="9"/>
      <c r="L87" s="2"/>
    </row>
    <row r="88" spans="1:13" x14ac:dyDescent="0.3">
      <c r="A88" s="43" t="s">
        <v>37</v>
      </c>
      <c r="B88" s="44" t="s">
        <v>14</v>
      </c>
      <c r="C88" s="37">
        <v>110</v>
      </c>
      <c r="D88" s="37">
        <v>125</v>
      </c>
      <c r="E88" s="37">
        <v>105</v>
      </c>
      <c r="F88" s="37">
        <v>120</v>
      </c>
      <c r="G88" s="30">
        <f t="shared" ref="G88:G94" si="12">((C88+D88)/2-(E88+F88)/2)/((E88+F88)/2)*100</f>
        <v>4.4444444444444446</v>
      </c>
      <c r="H88" s="74" t="s">
        <v>123</v>
      </c>
      <c r="I88" s="75"/>
      <c r="J88" s="76"/>
      <c r="K88" s="9"/>
      <c r="L88" s="69"/>
    </row>
    <row r="89" spans="1:13" x14ac:dyDescent="0.3">
      <c r="A89" s="43" t="s">
        <v>41</v>
      </c>
      <c r="B89" s="44" t="s">
        <v>14</v>
      </c>
      <c r="C89" s="39">
        <v>190</v>
      </c>
      <c r="D89" s="37">
        <v>230</v>
      </c>
      <c r="E89" s="39">
        <v>160</v>
      </c>
      <c r="F89" s="37">
        <v>230</v>
      </c>
      <c r="G89" s="30">
        <f>((C89+D89)/2-(E89+F89)/2)/((E89+F89)/2)*100</f>
        <v>7.6923076923076925</v>
      </c>
      <c r="H89" s="74" t="s">
        <v>128</v>
      </c>
      <c r="I89" s="75"/>
      <c r="J89" s="76"/>
      <c r="K89" s="9"/>
      <c r="L89" s="70"/>
    </row>
    <row r="90" spans="1:13" x14ac:dyDescent="0.3">
      <c r="A90" s="43" t="s">
        <v>46</v>
      </c>
      <c r="B90" s="44" t="s">
        <v>14</v>
      </c>
      <c r="C90" s="37">
        <v>120</v>
      </c>
      <c r="D90" s="37">
        <v>150</v>
      </c>
      <c r="E90" s="37">
        <v>120</v>
      </c>
      <c r="F90" s="37">
        <v>140</v>
      </c>
      <c r="G90" s="30">
        <f t="shared" si="12"/>
        <v>3.8461538461538463</v>
      </c>
      <c r="H90" s="74" t="s">
        <v>124</v>
      </c>
      <c r="I90" s="75"/>
      <c r="J90" s="76"/>
      <c r="K90" s="9"/>
      <c r="L90" s="70"/>
    </row>
    <row r="91" spans="1:13" x14ac:dyDescent="0.3">
      <c r="A91" s="43" t="s">
        <v>47</v>
      </c>
      <c r="B91" s="44" t="s">
        <v>14</v>
      </c>
      <c r="C91" s="37">
        <v>170</v>
      </c>
      <c r="D91" s="37">
        <v>230</v>
      </c>
      <c r="E91" s="37">
        <v>120</v>
      </c>
      <c r="F91" s="37">
        <v>220</v>
      </c>
      <c r="G91" s="30">
        <f t="shared" si="12"/>
        <v>17.647058823529413</v>
      </c>
      <c r="H91" s="74" t="s">
        <v>124</v>
      </c>
      <c r="I91" s="75"/>
      <c r="J91" s="76"/>
      <c r="K91" s="9"/>
      <c r="L91" s="70"/>
    </row>
    <row r="92" spans="1:13" x14ac:dyDescent="0.3">
      <c r="A92" s="43" t="s">
        <v>102</v>
      </c>
      <c r="B92" s="50" t="s">
        <v>14</v>
      </c>
      <c r="C92" s="37">
        <v>120</v>
      </c>
      <c r="D92" s="37">
        <v>180</v>
      </c>
      <c r="E92" s="37">
        <v>100</v>
      </c>
      <c r="F92" s="37">
        <v>180</v>
      </c>
      <c r="G92" s="30">
        <f t="shared" si="12"/>
        <v>7.1428571428571423</v>
      </c>
      <c r="H92" s="74" t="s">
        <v>128</v>
      </c>
      <c r="I92" s="75"/>
      <c r="J92" s="76"/>
      <c r="K92" s="9"/>
      <c r="L92" s="71"/>
    </row>
    <row r="93" spans="1:13" x14ac:dyDescent="0.3">
      <c r="A93" s="43" t="s">
        <v>103</v>
      </c>
      <c r="B93" s="50" t="s">
        <v>14</v>
      </c>
      <c r="C93" s="37">
        <v>90</v>
      </c>
      <c r="D93" s="37">
        <v>120</v>
      </c>
      <c r="E93" s="37">
        <v>80</v>
      </c>
      <c r="F93" s="37">
        <v>120</v>
      </c>
      <c r="G93" s="30">
        <f t="shared" si="12"/>
        <v>5</v>
      </c>
      <c r="H93" s="74" t="s">
        <v>124</v>
      </c>
      <c r="I93" s="75"/>
      <c r="J93" s="76"/>
      <c r="K93" s="9"/>
      <c r="L93" s="67"/>
    </row>
    <row r="94" spans="1:13" x14ac:dyDescent="0.3">
      <c r="A94" s="43" t="s">
        <v>104</v>
      </c>
      <c r="B94" s="50" t="s">
        <v>14</v>
      </c>
      <c r="C94" s="37">
        <v>60</v>
      </c>
      <c r="D94" s="37">
        <v>100</v>
      </c>
      <c r="E94" s="37">
        <v>60</v>
      </c>
      <c r="F94" s="37">
        <v>80</v>
      </c>
      <c r="G94" s="30">
        <f t="shared" si="12"/>
        <v>14.285714285714285</v>
      </c>
      <c r="H94" s="74" t="s">
        <v>128</v>
      </c>
      <c r="I94" s="75"/>
      <c r="J94" s="76"/>
      <c r="K94" s="9"/>
      <c r="L94" s="66"/>
    </row>
    <row r="95" spans="1:13" x14ac:dyDescent="0.3">
      <c r="A95" s="61"/>
      <c r="B95" s="92"/>
      <c r="C95" s="56"/>
      <c r="D95" s="56"/>
      <c r="E95" s="56"/>
      <c r="F95" s="56"/>
      <c r="G95" s="58"/>
      <c r="H95" s="68"/>
      <c r="I95" s="68"/>
      <c r="J95" s="68"/>
      <c r="K95" s="9"/>
      <c r="L95" s="71"/>
    </row>
    <row r="96" spans="1:13" x14ac:dyDescent="0.3">
      <c r="A96" s="54"/>
      <c r="B96" s="55"/>
      <c r="C96" s="56"/>
      <c r="D96" s="57"/>
      <c r="E96" s="56"/>
      <c r="F96" s="57"/>
      <c r="G96" s="58"/>
      <c r="H96" s="6"/>
      <c r="I96" s="1"/>
      <c r="J96" s="1"/>
      <c r="K96" s="9"/>
      <c r="L96" s="11"/>
    </row>
    <row r="97" spans="1:12" x14ac:dyDescent="0.3">
      <c r="A97" s="6"/>
      <c r="B97" s="12"/>
      <c r="C97" s="3"/>
      <c r="D97" s="3"/>
      <c r="E97" s="3"/>
      <c r="F97" s="3"/>
      <c r="G97" s="4"/>
      <c r="H97" s="6"/>
      <c r="I97" s="1"/>
      <c r="J97" s="1"/>
      <c r="K97" s="11"/>
      <c r="L97" s="11"/>
    </row>
    <row r="98" spans="1:12" x14ac:dyDescent="0.3">
      <c r="A98" s="6"/>
      <c r="B98" s="13" t="s">
        <v>110</v>
      </c>
      <c r="C98" s="2"/>
      <c r="E98" s="6"/>
      <c r="F98" s="13" t="s">
        <v>119</v>
      </c>
      <c r="G98" s="2"/>
      <c r="I98" s="14"/>
      <c r="J98" s="1"/>
      <c r="K98" s="2"/>
      <c r="L98" s="11"/>
    </row>
    <row r="99" spans="1:12" x14ac:dyDescent="0.3">
      <c r="A99" s="15"/>
      <c r="B99" s="13" t="s">
        <v>109</v>
      </c>
      <c r="C99" s="1"/>
      <c r="E99" s="15"/>
      <c r="F99" s="13" t="s">
        <v>120</v>
      </c>
      <c r="G99" s="1"/>
      <c r="I99" s="2"/>
      <c r="J99" s="1"/>
      <c r="L99" s="11"/>
    </row>
    <row r="100" spans="1:12" x14ac:dyDescent="0.3">
      <c r="A100" s="6"/>
      <c r="C100" s="5"/>
      <c r="D100" s="5"/>
      <c r="E100" s="1"/>
      <c r="F100" s="5"/>
      <c r="G100" s="4"/>
      <c r="H100" s="16"/>
      <c r="I100" s="11"/>
      <c r="J100" s="11"/>
      <c r="K100" s="11"/>
      <c r="L100" s="11"/>
    </row>
    <row r="101" spans="1:12" x14ac:dyDescent="0.3">
      <c r="A101" s="17" t="s">
        <v>86</v>
      </c>
      <c r="B101" s="18"/>
      <c r="C101" s="19"/>
      <c r="D101" s="18"/>
      <c r="E101" s="19"/>
      <c r="F101" s="19"/>
      <c r="G101" s="19"/>
      <c r="H101" s="20"/>
      <c r="I101" s="2"/>
      <c r="J101" s="2"/>
      <c r="K101" s="2"/>
      <c r="L101" s="2"/>
    </row>
    <row r="102" spans="1:12" x14ac:dyDescent="0.3">
      <c r="A102" s="21" t="s">
        <v>111</v>
      </c>
      <c r="B102" s="18"/>
      <c r="C102" s="19"/>
      <c r="D102" s="18"/>
      <c r="E102" s="19"/>
      <c r="F102" s="19"/>
      <c r="G102" s="18"/>
      <c r="H102" s="20"/>
      <c r="I102" s="2"/>
      <c r="J102" s="2"/>
      <c r="K102" s="2"/>
      <c r="L102" s="2"/>
    </row>
    <row r="103" spans="1:12" x14ac:dyDescent="0.3">
      <c r="A103" s="21" t="s">
        <v>105</v>
      </c>
      <c r="B103" s="18"/>
      <c r="C103" s="18"/>
      <c r="D103" s="18"/>
      <c r="E103" s="18"/>
      <c r="F103" s="19"/>
      <c r="G103" s="18"/>
      <c r="H103" s="20"/>
      <c r="I103" s="2"/>
      <c r="J103" s="2"/>
      <c r="K103" s="2"/>
      <c r="L103" s="2"/>
    </row>
    <row r="104" spans="1:12" x14ac:dyDescent="0.3">
      <c r="A104" s="21" t="s">
        <v>80</v>
      </c>
      <c r="B104" s="18"/>
      <c r="C104" s="18"/>
      <c r="D104" s="18"/>
      <c r="E104" s="18"/>
      <c r="F104" s="20"/>
      <c r="G104" s="20"/>
      <c r="H104" s="20"/>
      <c r="I104" s="2"/>
      <c r="J104" s="2"/>
      <c r="K104" s="2"/>
      <c r="L104" s="2"/>
    </row>
    <row r="105" spans="1:12" x14ac:dyDescent="0.3">
      <c r="A105" s="21" t="s">
        <v>106</v>
      </c>
      <c r="B105" s="18"/>
      <c r="C105" s="18"/>
      <c r="D105" s="18"/>
      <c r="E105" s="18"/>
      <c r="F105" s="18"/>
      <c r="G105" s="20"/>
      <c r="H105" s="20"/>
      <c r="I105" s="2"/>
      <c r="J105" s="2"/>
      <c r="K105" s="2"/>
      <c r="L105" s="2"/>
    </row>
    <row r="106" spans="1:12" x14ac:dyDescent="0.3">
      <c r="A106" s="21" t="s">
        <v>89</v>
      </c>
      <c r="B106" s="18"/>
      <c r="C106" s="18"/>
      <c r="D106" s="18"/>
      <c r="E106" s="18"/>
      <c r="F106" s="18"/>
      <c r="G106" s="18"/>
      <c r="H106" s="20"/>
      <c r="I106" s="2"/>
      <c r="J106" s="2"/>
      <c r="K106" s="2"/>
      <c r="L106" s="2"/>
    </row>
    <row r="107" spans="1:12" x14ac:dyDescent="0.3">
      <c r="A107" s="21" t="s">
        <v>95</v>
      </c>
      <c r="B107" s="18"/>
      <c r="C107" s="18"/>
      <c r="D107" s="18"/>
      <c r="E107" s="18"/>
      <c r="F107" s="18"/>
      <c r="G107" s="18"/>
      <c r="H107" s="20"/>
      <c r="I107" s="2"/>
      <c r="J107" s="2"/>
      <c r="K107" s="2"/>
      <c r="L107" s="2"/>
    </row>
    <row r="108" spans="1:12" x14ac:dyDescent="0.3">
      <c r="A108" s="21" t="s">
        <v>88</v>
      </c>
      <c r="B108" s="18"/>
      <c r="C108" s="18"/>
      <c r="D108" s="18"/>
      <c r="E108" s="18"/>
      <c r="F108" s="18"/>
      <c r="G108" s="18"/>
      <c r="H108" s="20"/>
      <c r="I108" s="2"/>
      <c r="J108" s="2"/>
      <c r="K108" s="2"/>
      <c r="L108" s="2"/>
    </row>
    <row r="109" spans="1:12" x14ac:dyDescent="0.3">
      <c r="A109" s="21" t="s">
        <v>87</v>
      </c>
      <c r="B109" s="18"/>
      <c r="C109" s="18"/>
      <c r="D109" s="18"/>
      <c r="E109" s="18"/>
      <c r="F109" s="18"/>
      <c r="G109" s="18"/>
      <c r="H109" s="20"/>
      <c r="I109" s="2"/>
      <c r="J109" s="2"/>
      <c r="K109" s="2"/>
      <c r="L109" s="2"/>
    </row>
    <row r="110" spans="1:12" x14ac:dyDescent="0.3">
      <c r="A110" s="21" t="s">
        <v>81</v>
      </c>
      <c r="B110" s="18"/>
      <c r="C110" s="18"/>
      <c r="D110" s="18"/>
      <c r="E110" s="18"/>
      <c r="F110" s="18"/>
      <c r="G110" s="18"/>
      <c r="H110" s="20"/>
      <c r="I110" s="2"/>
      <c r="J110" s="2"/>
      <c r="K110" s="2"/>
      <c r="L110" s="2"/>
    </row>
    <row r="111" spans="1:12" x14ac:dyDescent="0.3">
      <c r="A111" s="21" t="s">
        <v>90</v>
      </c>
      <c r="B111" s="18"/>
      <c r="C111" s="18"/>
      <c r="D111" s="18"/>
      <c r="E111" s="18"/>
      <c r="F111" s="18"/>
      <c r="G111" s="18"/>
      <c r="H111" s="20"/>
      <c r="I111" s="2"/>
      <c r="J111" s="2"/>
      <c r="K111" s="2"/>
      <c r="L111" s="2"/>
    </row>
    <row r="112" spans="1:12" x14ac:dyDescent="0.3">
      <c r="A112" s="21" t="s">
        <v>112</v>
      </c>
      <c r="B112" s="18"/>
      <c r="C112" s="18"/>
      <c r="D112" s="18"/>
      <c r="E112" s="18"/>
      <c r="F112" s="18"/>
      <c r="G112" s="18"/>
      <c r="H112" s="20"/>
      <c r="I112" s="2"/>
      <c r="J112" s="2"/>
      <c r="K112" s="2"/>
      <c r="L112" s="2"/>
    </row>
    <row r="113" spans="1:12" x14ac:dyDescent="0.3">
      <c r="A113" s="21" t="s">
        <v>91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 x14ac:dyDescent="0.3">
      <c r="A114" s="21" t="s">
        <v>92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 x14ac:dyDescent="0.3">
      <c r="A115" s="21" t="s">
        <v>107</v>
      </c>
      <c r="B115" s="18"/>
      <c r="C115" s="18"/>
      <c r="D115" s="18"/>
      <c r="E115" s="18"/>
      <c r="F115" s="18"/>
      <c r="G115" s="18"/>
      <c r="H115" s="22"/>
      <c r="I115" s="11"/>
      <c r="J115" s="11"/>
      <c r="K115" s="11"/>
      <c r="L115" s="11"/>
    </row>
    <row r="116" spans="1:12" x14ac:dyDescent="0.3">
      <c r="A116" s="21"/>
      <c r="B116" s="18"/>
      <c r="C116" s="18"/>
      <c r="D116" s="18"/>
      <c r="E116" s="18"/>
      <c r="F116" s="18"/>
      <c r="G116" s="18"/>
      <c r="H116" s="22"/>
      <c r="I116" s="11"/>
      <c r="J116" s="11"/>
      <c r="K116" s="11"/>
      <c r="L116" s="11"/>
    </row>
    <row r="117" spans="1:12" x14ac:dyDescent="0.3">
      <c r="A117" s="17" t="s">
        <v>82</v>
      </c>
      <c r="B117" s="18"/>
      <c r="C117" s="18"/>
      <c r="D117" s="18"/>
      <c r="E117" s="18"/>
      <c r="F117" s="18"/>
      <c r="G117" s="18"/>
      <c r="H117" s="22"/>
      <c r="I117" s="11"/>
      <c r="J117" s="11"/>
      <c r="K117" s="11"/>
      <c r="L117" s="11"/>
    </row>
    <row r="118" spans="1:12" x14ac:dyDescent="0.3">
      <c r="A118" s="21" t="s">
        <v>83</v>
      </c>
      <c r="B118" s="18"/>
      <c r="C118" s="18"/>
      <c r="D118" s="18"/>
      <c r="E118" s="18"/>
      <c r="F118" s="18"/>
      <c r="G118" s="18"/>
      <c r="H118" s="22"/>
      <c r="I118" s="11"/>
      <c r="J118" s="11"/>
      <c r="K118" s="11"/>
      <c r="L118" s="11"/>
    </row>
    <row r="119" spans="1:12" x14ac:dyDescent="0.3">
      <c r="A119" s="21" t="s">
        <v>113</v>
      </c>
      <c r="B119" s="18"/>
      <c r="C119" s="18"/>
      <c r="D119" s="18"/>
      <c r="E119" s="18"/>
      <c r="F119" s="18"/>
      <c r="G119" s="18"/>
      <c r="H119" s="22"/>
      <c r="I119" s="11"/>
      <c r="J119" s="11"/>
      <c r="K119" s="11"/>
      <c r="L119" s="11"/>
    </row>
    <row r="120" spans="1:12" x14ac:dyDescent="0.3">
      <c r="A120" s="21" t="s">
        <v>114</v>
      </c>
      <c r="B120" s="18"/>
      <c r="C120" s="18"/>
      <c r="D120" s="18"/>
      <c r="E120" s="18"/>
      <c r="F120" s="18"/>
      <c r="G120" s="18"/>
      <c r="H120" s="22"/>
      <c r="I120" s="11"/>
      <c r="J120" s="11"/>
      <c r="K120" s="11"/>
      <c r="L120" s="11"/>
    </row>
    <row r="121" spans="1:12" x14ac:dyDescent="0.3">
      <c r="A121" s="21" t="s">
        <v>99</v>
      </c>
      <c r="B121" s="18"/>
      <c r="C121" s="18"/>
      <c r="D121" s="18"/>
      <c r="E121" s="18"/>
      <c r="F121" s="18"/>
      <c r="G121" s="18"/>
      <c r="H121" s="22"/>
      <c r="I121" s="11"/>
      <c r="J121" s="11"/>
      <c r="K121" s="11"/>
      <c r="L121" s="11"/>
    </row>
    <row r="437" spans="2:2" x14ac:dyDescent="0.3">
      <c r="B437" s="10" t="s">
        <v>108</v>
      </c>
    </row>
  </sheetData>
  <mergeCells count="38">
    <mergeCell ref="H94:J94"/>
    <mergeCell ref="H92:J92"/>
    <mergeCell ref="H93:J93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C87:D87"/>
    <mergeCell ref="E87:F87"/>
    <mergeCell ref="H87:J87"/>
    <mergeCell ref="A82:B82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89:J89"/>
    <mergeCell ref="H90:J90"/>
    <mergeCell ref="H91:J91"/>
    <mergeCell ref="C82:L82"/>
    <mergeCell ref="B84:L84"/>
    <mergeCell ref="H88:J88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2026-10-17T06:35:26Z</cp:lastPrinted>
  <dcterms:created xsi:type="dcterms:W3CDTF">2021-06-05T07:13:00Z</dcterms:created>
  <dcterms:modified xsi:type="dcterms:W3CDTF">2026-10-19T08:09:32Z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