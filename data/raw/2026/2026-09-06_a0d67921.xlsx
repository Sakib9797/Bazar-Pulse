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7E654902-D0F8-420A-BE20-629E0D1636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</workbook>
</file>

<file path=xl/calcChain.xml><?xml version="1.0" encoding="utf-8"?>
<calcChain xmlns="http://schemas.openxmlformats.org/spreadsheetml/2006/main">
  <c r="G89" i="4" l="1"/>
  <c r="G88" i="4"/>
  <c r="G90" i="4"/>
  <c r="G91" i="4"/>
  <c r="G92" i="4"/>
  <c r="I76" i="4"/>
  <c r="I51" i="4"/>
  <c r="I22" i="4"/>
  <c r="I26" i="4"/>
  <c r="I11" i="4"/>
  <c r="I12" i="4"/>
  <c r="I13" i="4"/>
  <c r="G93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<sst xmlns="http://schemas.openxmlformats.org/spreadsheetml/2006/main" count="237" uniqueCount="134">
  <si>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</si>
  <si>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</si>
  <si>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</si>
  <si>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</si>
  <si>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</si>
  <si>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</si>
  <si>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</si>
  <si>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</si>
  <si>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</si>
  <si>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</si>
  <si>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</si>
  <si>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</si>
  <si>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</si>
  <si>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</si>
  <si>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</si>
  <si>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</si>
  <si>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</si>
  <si>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</si>
  <si>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</si>
  <si>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</si>
  <si>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</si>
  <si>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</si>
  <si>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</si>
  <si>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</si>
  <si>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</si>
  <si>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</si>
  <si>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</si>
  <si>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</si>
  <si>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</si>
  <si>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</si>
  <si>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</si>
  <si>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</si>
  <si>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</si>
  <si>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</si>
  <si>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</si>
  <si>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</si>
  <si>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</si>
  <si>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</si>
  <si>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</si>
  <si>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</si>
  <si>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</si>
  <si>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</si>
  <si>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</si>
  <si>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</si>
  <si>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</si>
  <si>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</si>
  <si>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</si>
  <si>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</si>
  <si>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</si>
  <si>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</si>
  <si>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</si>
  <si>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</si>
  <si>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</si>
  <si>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</si>
  <si>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</si>
  <si>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</si>
  <si>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</si>
  <si>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</si>
  <si>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</si>
  <si>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</si>
  <si>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</si>
  <si>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</si>
  <si>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</si>
  <si>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</si>
  <si>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</si>
  <si>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</si>
  <si>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</si>
  <si>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</si>
  <si>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</si>
  <si>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</si>
  <si>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</si>
  <si>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</si>
  <si>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</si>
  <si>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</si>
  <si>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</si>
  <si>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</si>
  <si>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</si>
  <si>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</si>
  <si>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</si>
  <si>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</si>
  <si>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</si>
  <si>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</si>
  <si>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</si>
  <si>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</si>
  <si>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</si>
  <si>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</si>
  <si>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</si>
  <si>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</si>
  <si>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</si>
  <si>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</si>
  <si>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</si>
  <si>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</si>
  <si>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</si>
  <si>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</si>
  <si>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</si>
  <si>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</si>
  <si>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</si>
  <si>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</si>
  <si>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</si>
  <si>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</si>
  <si>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</si>
  <si>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</si>
  <si>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</si>
  <si>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</si>
  <si>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</si>
  <si>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</si>
  <si>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</si>
  <si>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</si>
  <si>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</si>
  <si>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</si>
  <si>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</si>
  <si>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</si>
  <si>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</si>
  <si>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</si>
  <si>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</si>
  <si>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</si>
  <si>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</si>
  <si>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</si>
  <si>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</si>
  <si>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</si>
  <si>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</si>
  <si>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</si>
  <si>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</si>
  <si>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</si>
  <si>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৩১-০৮-২০২৬ তারিখে মূল্য বৃদ্ধি পেয়েছে।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</si>
  <si>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</si>
  <si>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</si>
  <si>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 xml:space="preserve">নং-২৬.০৫.০০০০.০১৭.৩১.০১.২৬-৬৯২                                                                                                           তারিখঃ ০৬-০৯-২০২৬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</si>
  <si>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২২১</t>
  </si>
  <si>
    <t xml:space="preserve">রবিবার ০৬ সেপ্টেম্বর ২০২৬ খ্রিঃ, ২২ ভাদ্র ১৪৩৩ বাংলা, ২৩ রবিউল আউয়াল ১৪৪৮ হিজরি </t>
  </si>
  <si>
    <t>০৬-০৯-২০২৬ তারিখে মূল্য বৃদ্ধি পেয়েছে।</t>
  </si>
  <si>
    <t>(২)    চাল সুগন্ধী (পোলাও) (প্যাঃ), আদা (দেশী), কাঁচামরিচ   এর মূল্য হ্রাস পেয়েছে।</t>
  </si>
  <si>
    <t>(১)   ছোলা, ধনে, লেবু  এর মূল্য বৃদ্ধি পেয়েছে।</t>
  </si>
  <si>
    <t>০৬-০৯-২০২৬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</si>
</sst>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A67" zoomScale="112" zoomScaleNormal="112" workbookViewId="0">
      <selection activeCell="H93" sqref="H93:J9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2" t="s">
        <v>115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128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129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2"/>
      <c r="Q4" s="52"/>
      <c r="R4" s="52"/>
    </row>
    <row r="5" spans="1:18">
      <c r="A5" s="76" t="s">
        <v>127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66" t="s">
        <v>3</v>
      </c>
      <c r="D6" s="68"/>
      <c r="E6" s="66" t="s">
        <v>4</v>
      </c>
      <c r="F6" s="68"/>
      <c r="G6" s="66" t="s">
        <v>5</v>
      </c>
      <c r="H6" s="68"/>
      <c r="I6" s="25" t="s">
        <v>6</v>
      </c>
      <c r="J6" s="66" t="s">
        <v>7</v>
      </c>
      <c r="K6" s="68"/>
      <c r="L6" s="27" t="s">
        <v>8</v>
      </c>
      <c r="M6" s="50"/>
    </row>
    <row r="7" spans="1:18" s="28" customFormat="1">
      <c r="A7" s="78"/>
      <c r="B7" s="78"/>
      <c r="C7" s="81">
        <v>46271</v>
      </c>
      <c r="D7" s="82"/>
      <c r="E7" s="81">
        <v>46264</v>
      </c>
      <c r="F7" s="82"/>
      <c r="G7" s="81">
        <v>46240</v>
      </c>
      <c r="H7" s="82"/>
      <c r="I7" s="25" t="s">
        <v>9</v>
      </c>
      <c r="J7" s="79">
        <v>45905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200</v>
      </c>
      <c r="H10" s="38">
        <v>230</v>
      </c>
      <c r="I10" s="47">
        <f>((C10+D10)/2-(G10+H10)/2)/((G10+H10)/2)*100</f>
        <v>0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170</v>
      </c>
      <c r="K20" s="38">
        <v>174</v>
      </c>
      <c r="L20" s="48">
        <f>((C20+D20)/2-(J20+K20)/2)/((J20+K20)/2)*100</f>
        <v>10.755813953488373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5.2631578947368416</v>
      </c>
      <c r="J33" s="38">
        <v>95</v>
      </c>
      <c r="K33" s="38">
        <v>110</v>
      </c>
      <c r="L33" s="48">
        <f t="shared" si="4"/>
        <v>-2.4390243902439024</v>
      </c>
      <c r="M33" s="50">
        <f t="shared" si="0"/>
        <v>5.2631578947368416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135</v>
      </c>
      <c r="L38" s="48">
        <f t="shared" si="6"/>
        <v>-19.148936170212767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270</v>
      </c>
      <c r="K40" s="38">
        <v>350</v>
      </c>
      <c r="L40" s="48">
        <f t="shared" si="6"/>
        <v>12.903225806451612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140</v>
      </c>
      <c r="K45" s="38">
        <v>250</v>
      </c>
      <c r="L45" s="48">
        <f t="shared" si="6"/>
        <v>-25.641025641025639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220</v>
      </c>
      <c r="K50" s="38">
        <v>280</v>
      </c>
      <c r="L50" s="48">
        <f t="shared" si="6"/>
        <v>-8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180</v>
      </c>
      <c r="L57" s="48">
        <f t="shared" si="8"/>
        <v>8.5714285714285712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77" t="s">
        <v>1</v>
      </c>
      <c r="B67" s="77" t="s">
        <v>2</v>
      </c>
      <c r="C67" s="66" t="s">
        <v>3</v>
      </c>
      <c r="D67" s="68"/>
      <c r="E67" s="66" t="s">
        <v>4</v>
      </c>
      <c r="F67" s="68"/>
      <c r="G67" s="66" t="s">
        <v>5</v>
      </c>
      <c r="H67" s="68"/>
      <c r="I67" s="25" t="s">
        <v>6</v>
      </c>
      <c r="J67" s="66" t="s">
        <v>7</v>
      </c>
      <c r="K67" s="68"/>
      <c r="L67" s="25" t="s">
        <v>8</v>
      </c>
    </row>
    <row r="68" spans="1:13" ht="18" customHeight="1">
      <c r="A68" s="78"/>
      <c r="B68" s="78"/>
      <c r="C68" s="81">
        <v>46271</v>
      </c>
      <c r="D68" s="82"/>
      <c r="E68" s="81">
        <v>46264</v>
      </c>
      <c r="F68" s="82"/>
      <c r="G68" s="81">
        <v>46240</v>
      </c>
      <c r="H68" s="82"/>
      <c r="I68" s="25" t="s">
        <v>9</v>
      </c>
      <c r="J68" s="79">
        <v>45905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120</v>
      </c>
      <c r="E74" s="38">
        <v>120</v>
      </c>
      <c r="F74" s="38">
        <v>140</v>
      </c>
      <c r="G74" s="38">
        <v>250</v>
      </c>
      <c r="H74" s="38">
        <v>300</v>
      </c>
      <c r="I74" s="47">
        <f t="shared" si="9"/>
        <v>-60</v>
      </c>
      <c r="J74" s="46">
        <v>200</v>
      </c>
      <c r="K74" s="46">
        <v>250</v>
      </c>
      <c r="L74" s="48">
        <f t="shared" si="10"/>
        <v>-51.111111111111107</v>
      </c>
      <c r="M74" s="50">
        <f t="shared" si="11"/>
        <v>-15.384615384615385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84" t="s">
        <v>118</v>
      </c>
      <c r="B81" s="85"/>
      <c r="C81" s="83" t="s">
        <v>119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132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131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66" t="s">
        <v>3</v>
      </c>
      <c r="D87" s="68"/>
      <c r="E87" s="70" t="s">
        <v>78</v>
      </c>
      <c r="F87" s="71"/>
      <c r="G87" s="26" t="s">
        <v>9</v>
      </c>
      <c r="H87" s="66" t="s">
        <v>79</v>
      </c>
      <c r="I87" s="67"/>
      <c r="J87" s="68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3" si="12">((C88+D88)/2-(E88+F88)/2)/((E88+F88)/2)*100</f>
        <v>-2.2727272727272729</v>
      </c>
      <c r="H88" s="66" t="s">
        <v>125</v>
      </c>
      <c r="I88" s="67"/>
      <c r="J88" s="68"/>
      <c r="K88" s="10"/>
      <c r="L88" s="2"/>
    </row>
    <row r="89" spans="1:12">
      <c r="A89" s="44" t="s">
        <v>37</v>
      </c>
      <c r="B89" s="45" t="s">
        <v>14</v>
      </c>
      <c r="C89" s="38">
        <v>100</v>
      </c>
      <c r="D89" s="38">
        <v>100</v>
      </c>
      <c r="E89" s="38">
        <v>90</v>
      </c>
      <c r="F89" s="38">
        <v>100</v>
      </c>
      <c r="G89" s="31">
        <f t="shared" si="12"/>
        <v>5.2631578947368416</v>
      </c>
      <c r="H89" s="66" t="s">
        <v>130</v>
      </c>
      <c r="I89" s="67"/>
      <c r="J89" s="68"/>
      <c r="K89" s="10"/>
      <c r="L89" s="2"/>
    </row>
    <row r="90" spans="1:12">
      <c r="A90" s="44" t="s">
        <v>46</v>
      </c>
      <c r="B90" s="45" t="s">
        <v>14</v>
      </c>
      <c r="C90" s="38">
        <v>130</v>
      </c>
      <c r="D90" s="38">
        <v>140</v>
      </c>
      <c r="E90" s="38">
        <v>130</v>
      </c>
      <c r="F90" s="38">
        <v>150</v>
      </c>
      <c r="G90" s="31">
        <f t="shared" si="12"/>
        <v>-3.5714285714285712</v>
      </c>
      <c r="H90" s="66" t="s">
        <v>125</v>
      </c>
      <c r="I90" s="67"/>
      <c r="J90" s="68"/>
      <c r="K90" s="10"/>
      <c r="L90" s="2"/>
    </row>
    <row r="91" spans="1:12">
      <c r="A91" s="44" t="s">
        <v>52</v>
      </c>
      <c r="B91" s="45" t="s">
        <v>14</v>
      </c>
      <c r="C91" s="38">
        <v>200</v>
      </c>
      <c r="D91" s="38">
        <v>260</v>
      </c>
      <c r="E91" s="38">
        <v>180</v>
      </c>
      <c r="F91" s="38">
        <v>260</v>
      </c>
      <c r="G91" s="31">
        <f t="shared" si="12"/>
        <v>4.5454545454545459</v>
      </c>
      <c r="H91" s="66" t="s">
        <v>126</v>
      </c>
      <c r="I91" s="67"/>
      <c r="J91" s="68"/>
      <c r="K91" s="10"/>
      <c r="L91" s="2"/>
    </row>
    <row r="92" spans="1:12">
      <c r="A92" s="44" t="s">
        <v>101</v>
      </c>
      <c r="B92" s="51" t="s">
        <v>69</v>
      </c>
      <c r="C92" s="38">
        <v>20</v>
      </c>
      <c r="D92" s="38">
        <v>30</v>
      </c>
      <c r="E92" s="38">
        <v>20</v>
      </c>
      <c r="F92" s="38">
        <v>25</v>
      </c>
      <c r="G92" s="31">
        <f t="shared" si="12"/>
        <v>11.111111111111111</v>
      </c>
      <c r="H92" s="66" t="s">
        <v>124</v>
      </c>
      <c r="I92" s="67"/>
      <c r="J92" s="68"/>
      <c r="K92" s="10"/>
      <c r="L92" s="2"/>
    </row>
    <row r="93" spans="1:12">
      <c r="A93" s="44" t="s">
        <v>102</v>
      </c>
      <c r="B93" s="51" t="s">
        <v>14</v>
      </c>
      <c r="C93" s="38">
        <v>100</v>
      </c>
      <c r="D93" s="38">
        <v>120</v>
      </c>
      <c r="E93" s="38">
        <v>120</v>
      </c>
      <c r="F93" s="38">
        <v>140</v>
      </c>
      <c r="G93" s="31">
        <f t="shared" si="12"/>
        <v>-15.384615384615385</v>
      </c>
      <c r="H93" s="66" t="s">
        <v>133</v>
      </c>
      <c r="I93" s="67"/>
      <c r="J93" s="68"/>
      <c r="K93" s="10"/>
      <c r="L93" s="2"/>
    </row>
    <row r="94" spans="1:12">
      <c r="A94" s="64"/>
      <c r="B94" s="58"/>
      <c r="C94" s="59"/>
      <c r="D94" s="59"/>
      <c r="E94" s="59"/>
      <c r="F94" s="59"/>
      <c r="G94" s="61"/>
      <c r="H94" s="63"/>
      <c r="I94" s="63"/>
      <c r="J94" s="63"/>
      <c r="K94" s="10"/>
      <c r="L94" s="2"/>
    </row>
    <row r="95" spans="1:12">
      <c r="A95" s="57"/>
      <c r="B95" s="62"/>
      <c r="C95" s="59"/>
      <c r="D95" s="59"/>
      <c r="E95" s="59"/>
      <c r="F95" s="59"/>
      <c r="G95" s="61"/>
      <c r="H95" s="63"/>
      <c r="I95" s="63"/>
      <c r="J95" s="63"/>
      <c r="K95" s="10"/>
      <c r="L95" s="2"/>
    </row>
    <row r="96" spans="1:12">
      <c r="A96" s="57"/>
      <c r="B96" s="58"/>
      <c r="C96" s="59"/>
      <c r="D96" s="60"/>
      <c r="E96" s="59"/>
      <c r="F96" s="60"/>
      <c r="G96" s="61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110</v>
      </c>
      <c r="C98" s="2"/>
      <c r="E98" s="7"/>
      <c r="F98" s="14" t="s">
        <v>121</v>
      </c>
      <c r="G98" s="2"/>
      <c r="I98" s="15"/>
      <c r="J98" s="1"/>
      <c r="K98" s="2"/>
      <c r="L98" s="12"/>
    </row>
    <row r="99" spans="1:12">
      <c r="A99" s="16"/>
      <c r="B99" s="14" t="s">
        <v>109</v>
      </c>
      <c r="C99" s="1"/>
      <c r="E99" s="16"/>
      <c r="F99" s="14" t="s">
        <v>122</v>
      </c>
      <c r="G99" s="1"/>
      <c r="I99" s="2"/>
      <c r="J99" s="1"/>
      <c r="L99" s="12"/>
    </row>
    <row r="100" spans="1:12">
      <c r="A100" s="7"/>
      <c r="C100" s="6"/>
      <c r="D100" s="6"/>
      <c r="E100" s="1"/>
      <c r="F100" s="6"/>
      <c r="G100" s="4"/>
      <c r="H100" s="17"/>
      <c r="I100" s="12"/>
      <c r="J100" s="12"/>
      <c r="K100" s="12"/>
      <c r="L100" s="12"/>
    </row>
    <row r="101" spans="1:12">
      <c r="A101" s="18" t="s">
        <v>86</v>
      </c>
      <c r="B101" s="19"/>
      <c r="C101" s="20"/>
      <c r="D101" s="19"/>
      <c r="E101" s="20"/>
      <c r="F101" s="20"/>
      <c r="G101" s="20"/>
      <c r="H101" s="21"/>
      <c r="I101" s="2"/>
      <c r="J101" s="2"/>
      <c r="K101" s="2"/>
      <c r="L101" s="2"/>
    </row>
    <row r="102" spans="1:12">
      <c r="A102" s="22" t="s">
        <v>111</v>
      </c>
      <c r="B102" s="19"/>
      <c r="C102" s="20"/>
      <c r="D102" s="19"/>
      <c r="E102" s="20"/>
      <c r="F102" s="20"/>
      <c r="G102" s="19"/>
      <c r="H102" s="21"/>
      <c r="I102" s="2"/>
      <c r="J102" s="2"/>
      <c r="K102" s="2"/>
      <c r="L102" s="2"/>
    </row>
    <row r="103" spans="1:12">
      <c r="A103" s="22" t="s">
        <v>105</v>
      </c>
      <c r="B103" s="19"/>
      <c r="C103" s="19"/>
      <c r="D103" s="19"/>
      <c r="E103" s="19"/>
      <c r="F103" s="20"/>
      <c r="G103" s="19"/>
      <c r="H103" s="21"/>
      <c r="I103" s="2"/>
      <c r="J103" s="2"/>
      <c r="K103" s="2"/>
      <c r="L103" s="2"/>
    </row>
    <row r="104" spans="1:12">
      <c r="A104" s="22" t="s">
        <v>80</v>
      </c>
      <c r="B104" s="19"/>
      <c r="C104" s="19"/>
      <c r="D104" s="19"/>
      <c r="E104" s="19"/>
      <c r="F104" s="21"/>
      <c r="G104" s="21"/>
      <c r="H104" s="21"/>
      <c r="I104" s="2"/>
      <c r="J104" s="2"/>
      <c r="K104" s="2"/>
      <c r="L104" s="2"/>
    </row>
    <row r="105" spans="1:12">
      <c r="A105" s="22" t="s">
        <v>106</v>
      </c>
      <c r="B105" s="19"/>
      <c r="C105" s="19"/>
      <c r="D105" s="19"/>
      <c r="E105" s="19"/>
      <c r="F105" s="19"/>
      <c r="G105" s="21"/>
      <c r="H105" s="21"/>
      <c r="I105" s="2"/>
      <c r="J105" s="2"/>
      <c r="K105" s="2"/>
      <c r="L105" s="2"/>
    </row>
    <row r="106" spans="1:12">
      <c r="A106" s="22" t="s">
        <v>89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95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88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87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90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112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107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22"/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18" t="s">
        <v>82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83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114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99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437" spans="2:2">
      <c r="B437" s="11" t="s">
        <v>108</v>
      </c>
    </row>
  </sheetData>
  <mergeCells count="38"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3:J93"/>
    <mergeCell ref="B84:L84"/>
    <mergeCell ref="C87:D87"/>
    <mergeCell ref="E87:F87"/>
    <mergeCell ref="H87:J87"/>
    <mergeCell ref="H89:J89"/>
    <mergeCell ref="H92:J92"/>
    <mergeCell ref="H90:J90"/>
    <mergeCell ref="H88:J88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2026-09-06T08:49:16Z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