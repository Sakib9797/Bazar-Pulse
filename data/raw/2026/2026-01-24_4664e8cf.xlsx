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8_{3B5F2DFF-3D20-2C43-8A8C-217955914D2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4" l="1"/>
  <c r="G89" i="4"/>
  <c r="G85" i="4"/>
  <c r="G83" i="4"/>
  <c r="G84" i="4"/>
  <c r="G86" i="4"/>
  <c r="G88" i="4"/>
  <c r="G92" i="4"/>
  <c r="G90" i="4"/>
  <c r="G91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<sst xmlns="http://schemas.openxmlformats.org/spreadsheetml/2006/main" count="241" uniqueCount="132">
  <si>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</si>
  <si>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</si>
  <si>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</si>
  <si>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</si>
  <si>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</si>
  <si>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</si>
  <si>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</si>
  <si>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</si>
  <si>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</si>
  <si>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</si>
  <si>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</si>
  <si>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</si>
  <si>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</si>
  <si>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</si>
  <si>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</si>
  <si>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</si>
  <si>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</si>
  <si>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</si>
  <si>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</si>
  <si>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</si>
  <si>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</si>
  <si>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</si>
  <si>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</si>
  <si>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</si>
  <si>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</si>
  <si>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</si>
  <si>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</si>
  <si>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</si>
  <si>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</si>
  <si>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</si>
  <si>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</si>
  <si>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</si>
  <si>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</si>
  <si>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</si>
  <si>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</si>
  <si>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</si>
  <si>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</si>
  <si>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</si>
  <si>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</si>
  <si>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</si>
  <si>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</si>
  <si>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</si>
  <si>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</si>
  <si>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</si>
  <si>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</si>
  <si>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</si>
  <si>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</si>
  <si>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</si>
  <si>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</si>
  <si>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</si>
  <si>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</si>
  <si>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</si>
  <si>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</si>
  <si>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</si>
  <si>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</si>
  <si>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</si>
  <si>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</si>
  <si>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</si>
  <si>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</si>
  <si>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</si>
  <si>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</si>
  <si>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</si>
  <si>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</si>
  <si>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</si>
  <si>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</si>
  <si>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</si>
  <si>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</si>
  <si>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</si>
  <si>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</si>
  <si>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</si>
  <si>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</si>
  <si>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</si>
  <si>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</si>
  <si>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</si>
  <si>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</si>
  <si>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</si>
  <si>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</si>
  <si>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</si>
  <si>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</si>
  <si>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</si>
  <si>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</si>
  <si>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</si>
  <si>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</si>
  <si>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</si>
  <si>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</si>
  <si>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</si>
  <si>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</si>
  <si>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</si>
  <si>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</si>
  <si>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</si>
  <si>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</si>
  <si>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</si>
  <si>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</si>
  <si>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</si>
  <si>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</si>
  <si>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</si>
  <si>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</si>
  <si>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</si>
  <si>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</si>
  <si>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</si>
  <si>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</si>
  <si>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</si>
  <si>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</si>
  <si>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</si>
  <si>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</si>
  <si>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</si>
  <si>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</si>
  <si>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</si>
  <si>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</si>
  <si>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</si>
  <si>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</si>
  <si>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</si>
  <si>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</si>
  <si>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</si>
  <si>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</si>
  <si>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</si>
  <si>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</si>
  <si>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</si>
  <si>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</si>
  <si>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১৯-০১-২০২৬ তারিখে মূল্য বৃদ্ধি পেয়েছে।</t>
  </si>
  <si>
    <t>১৯-০১-২০২৬ তারিখে মূল্য হ্রাস পেয়েছে।</t>
  </si>
  <si>
    <t>২০-০১-২০২৬ তারিখে মূল্য হ্রাস পেয়েছে।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</si>
  <si>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 বাজার।   </t>
  </si>
  <si>
    <t>২১-০১-২০২৬ তারিখে মূল্য বৃদ্ধি পেয়েছে।</t>
  </si>
  <si>
    <t>(২)  সয়াবিন তেল (২লিঃ বোতল), মুরগী ব্রয়লার   এর মূল্য বৃদ্ধি পেয়েছে।</t>
  </si>
  <si>
    <t>স্মারক নং-২৬.০৫.০০০০.০১৭.৩১.০১.২৬-০৮০</t>
  </si>
  <si>
    <t xml:space="preserve">শনিবার ২৪ জানুয়ারী ২০২৬ খ্রিঃ, ১০ মাঘ ১৪৩২ বাংলা, ০৪ শাবান ১৪৪৭ হিজরি </t>
  </si>
  <si>
    <t xml:space="preserve">   সিরিয়াল নংঃ     ০২৪</t>
  </si>
  <si>
    <t>২৩-০১-২০২৬ তারিখে মূল্য হ্রাস পেয়েছে।</t>
  </si>
  <si>
    <t>২৪-০১-২০২৬ তারিখে মূল্য হ্রাস পেয়েছে।</t>
  </si>
  <si>
    <t>(১)   পাম অয়েল (লুজ, সুপার), সয়াবিন তেল (১লি:, ৫লি: বোতল), আলু, পেঁয়াজ (দেশী), হলুদ (আম), ডিম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</si>
</sst>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9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7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9"/>
  <sheetViews>
    <sheetView tabSelected="1" zoomScale="106" zoomScaleNormal="106" workbookViewId="0">
      <selection activeCell="L6" sqref="L6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10.8125" customWidth="1"/>
    <col min="11" max="11" width="9.4140625" customWidth="1"/>
    <col min="12" max="12" width="9.765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127</v>
      </c>
      <c r="L4" s="88"/>
    </row>
    <row r="5" spans="1:12" ht="19.5" customHeight="1" x14ac:dyDescent="0.25">
      <c r="A5" s="17"/>
      <c r="B5" s="8"/>
      <c r="C5" s="8"/>
      <c r="D5" s="17"/>
      <c r="E5" s="8"/>
      <c r="F5" s="8" t="s">
        <v>126</v>
      </c>
      <c r="G5" s="8"/>
      <c r="H5" s="8"/>
      <c r="I5" s="8"/>
      <c r="J5" s="8"/>
      <c r="K5" s="8"/>
      <c r="L5" s="49"/>
    </row>
    <row r="6" spans="1:12" ht="21" x14ac:dyDescent="0.25">
      <c r="A6" s="20" t="s">
        <v>125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46046</v>
      </c>
    </row>
    <row r="7" spans="1:12" ht="21" x14ac:dyDescent="0.2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" x14ac:dyDescent="0.25">
      <c r="A8" s="25"/>
      <c r="B8" s="26"/>
      <c r="C8" s="89">
        <v>46046</v>
      </c>
      <c r="D8" s="88"/>
      <c r="E8" s="89">
        <v>46039</v>
      </c>
      <c r="F8" s="88"/>
      <c r="G8" s="89">
        <v>46015</v>
      </c>
      <c r="H8" s="88"/>
      <c r="I8" s="26" t="s">
        <v>12</v>
      </c>
      <c r="J8" s="89">
        <v>45681</v>
      </c>
      <c r="K8" s="88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70</v>
      </c>
      <c r="K10" s="29">
        <v>85</v>
      </c>
      <c r="L10" s="31">
        <f>((C10+D10)/2-(J10+K10)/2)/((J10+K10)/2)*100</f>
        <v>0</v>
      </c>
    </row>
    <row r="11" spans="1:12" ht="21" x14ac:dyDescent="0.3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68</v>
      </c>
      <c r="I11" s="30">
        <f>((C11+D11)/2-(G11+H11)/2)/((G11+H11)/2)*100</f>
        <v>0</v>
      </c>
      <c r="J11" s="29">
        <v>60</v>
      </c>
      <c r="K11" s="29">
        <v>65</v>
      </c>
      <c r="L11" s="31">
        <f>((C11+D11)/2-(J11+K11)/2)/((J11+K11)/2)*100</f>
        <v>0.8</v>
      </c>
    </row>
    <row r="12" spans="1:12" ht="21" x14ac:dyDescent="0.3">
      <c r="A12" s="69" t="s">
        <v>19</v>
      </c>
      <c r="B12" s="6" t="s">
        <v>18</v>
      </c>
      <c r="C12" s="29">
        <v>50</v>
      </c>
      <c r="D12" s="29">
        <v>60</v>
      </c>
      <c r="E12" s="29">
        <v>50</v>
      </c>
      <c r="F12" s="29">
        <v>60</v>
      </c>
      <c r="G12" s="29">
        <v>54</v>
      </c>
      <c r="H12" s="29">
        <v>60</v>
      </c>
      <c r="I12" s="30">
        <f>((C12+D12)/2-(G12+H12)/2)/((G12+H12)/2)*100</f>
        <v>-3.5087719298245612</v>
      </c>
      <c r="J12" s="29">
        <v>54</v>
      </c>
      <c r="K12" s="29">
        <v>58</v>
      </c>
      <c r="L12" s="31">
        <f>((C12+D12)/2-(J12+K12)/2)/((J12+K12)/2)*100</f>
        <v>-1.7857142857142856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44</v>
      </c>
      <c r="D14" s="29">
        <v>50</v>
      </c>
      <c r="E14" s="29">
        <v>44</v>
      </c>
      <c r="F14" s="29">
        <v>50</v>
      </c>
      <c r="G14" s="29">
        <v>45</v>
      </c>
      <c r="H14" s="29">
        <v>50</v>
      </c>
      <c r="I14" s="30">
        <f>((C14+D14)/2-(G14+H14)/2)/((G14+H14)/2)*100</f>
        <v>-1.0526315789473684</v>
      </c>
      <c r="J14" s="29">
        <v>40</v>
      </c>
      <c r="K14" s="29">
        <v>45</v>
      </c>
      <c r="L14" s="31">
        <f>((C14+D14)/2-(J14+K14)/2)/((J14+K14)/2)*100</f>
        <v>10.588235294117647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" x14ac:dyDescent="0.3">
      <c r="A16" s="69" t="s">
        <v>24</v>
      </c>
      <c r="B16" s="6" t="s">
        <v>18</v>
      </c>
      <c r="C16" s="29">
        <v>52</v>
      </c>
      <c r="D16" s="29">
        <v>65</v>
      </c>
      <c r="E16" s="29">
        <v>52</v>
      </c>
      <c r="F16" s="29">
        <v>65</v>
      </c>
      <c r="G16" s="29">
        <v>55</v>
      </c>
      <c r="H16" s="29">
        <v>65</v>
      </c>
      <c r="I16" s="30">
        <f>((C16+D16)/2-(G16+H16)/2)/((G16+H16)/2)*100</f>
        <v>-2.5</v>
      </c>
      <c r="J16" s="29">
        <v>55</v>
      </c>
      <c r="K16" s="29">
        <v>60</v>
      </c>
      <c r="L16" s="31">
        <f>((C16+D16)/2-(J16+K16)/2)/((J16+K16)/2)*100</f>
        <v>1.7391304347826086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70</v>
      </c>
      <c r="L17" s="31">
        <f>((C17+D17)/2-(J17+K17)/2)/((J17+K17)/2)*100</f>
        <v>3.7037037037037033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175</v>
      </c>
      <c r="D19" s="29">
        <v>185</v>
      </c>
      <c r="E19" s="29">
        <v>175</v>
      </c>
      <c r="F19" s="29">
        <v>185</v>
      </c>
      <c r="G19" s="29">
        <v>172</v>
      </c>
      <c r="H19" s="29">
        <v>185</v>
      </c>
      <c r="I19" s="30">
        <f t="shared" ref="I19:I25" si="0">((C19+D19)/2-(G19+H19)/2)/((G19+H19)/2)*100</f>
        <v>0.84033613445378152</v>
      </c>
      <c r="J19" s="29">
        <v>170</v>
      </c>
      <c r="K19" s="29">
        <v>173</v>
      </c>
      <c r="L19" s="31">
        <f t="shared" ref="L19:L25" si="1">((C19+D19)/2-(J19+K19)/2)/((J19+K19)/2)*100</f>
        <v>4.9562682215743443</v>
      </c>
    </row>
    <row r="20" spans="1:12" ht="21" x14ac:dyDescent="0.3">
      <c r="A20" s="69" t="s">
        <v>29</v>
      </c>
      <c r="B20" s="6" t="s">
        <v>30</v>
      </c>
      <c r="C20" s="29">
        <v>920</v>
      </c>
      <c r="D20" s="29">
        <v>955</v>
      </c>
      <c r="E20" s="29">
        <v>920</v>
      </c>
      <c r="F20" s="29">
        <v>965</v>
      </c>
      <c r="G20" s="29">
        <v>920</v>
      </c>
      <c r="H20" s="29">
        <v>965</v>
      </c>
      <c r="I20" s="30">
        <f t="shared" si="0"/>
        <v>-0.53050397877984079</v>
      </c>
      <c r="J20" s="29">
        <v>850</v>
      </c>
      <c r="K20" s="29">
        <v>852</v>
      </c>
      <c r="L20" s="31">
        <f t="shared" si="1"/>
        <v>10.164512338425382</v>
      </c>
    </row>
    <row r="21" spans="1:12" ht="21" x14ac:dyDescent="0.3">
      <c r="A21" s="69" t="s">
        <v>29</v>
      </c>
      <c r="B21" s="6" t="s">
        <v>31</v>
      </c>
      <c r="C21" s="29">
        <v>390</v>
      </c>
      <c r="D21" s="29">
        <v>395</v>
      </c>
      <c r="E21" s="29">
        <v>380</v>
      </c>
      <c r="F21" s="29">
        <v>395</v>
      </c>
      <c r="G21" s="29">
        <v>378</v>
      </c>
      <c r="H21" s="29">
        <v>395</v>
      </c>
      <c r="I21" s="30">
        <f t="shared" si="0"/>
        <v>1.5523932729624839</v>
      </c>
      <c r="J21" s="29">
        <v>345</v>
      </c>
      <c r="K21" s="29">
        <v>350</v>
      </c>
      <c r="L21" s="31">
        <f t="shared" si="1"/>
        <v>12.949640287769784</v>
      </c>
    </row>
    <row r="22" spans="1:12" ht="21" x14ac:dyDescent="0.3">
      <c r="A22" s="69" t="s">
        <v>29</v>
      </c>
      <c r="B22" s="6" t="s">
        <v>32</v>
      </c>
      <c r="C22" s="29">
        <v>190</v>
      </c>
      <c r="D22" s="29">
        <v>195</v>
      </c>
      <c r="E22" s="29">
        <v>190</v>
      </c>
      <c r="F22" s="29">
        <v>198</v>
      </c>
      <c r="G22" s="29">
        <v>189</v>
      </c>
      <c r="H22" s="29">
        <v>198</v>
      </c>
      <c r="I22" s="30">
        <f t="shared" si="0"/>
        <v>-0.516795865633075</v>
      </c>
      <c r="J22" s="29">
        <v>175</v>
      </c>
      <c r="K22" s="29">
        <v>176</v>
      </c>
      <c r="L22" s="31">
        <f t="shared" si="1"/>
        <v>9.6866096866096854</v>
      </c>
    </row>
    <row r="23" spans="1:12" ht="21" x14ac:dyDescent="0.3">
      <c r="A23" s="69" t="s">
        <v>33</v>
      </c>
      <c r="B23" s="6" t="s">
        <v>28</v>
      </c>
      <c r="C23" s="29">
        <v>148</v>
      </c>
      <c r="D23" s="29">
        <v>162</v>
      </c>
      <c r="E23" s="29">
        <v>152</v>
      </c>
      <c r="F23" s="29">
        <v>162</v>
      </c>
      <c r="G23" s="29">
        <v>152</v>
      </c>
      <c r="H23" s="29">
        <v>162</v>
      </c>
      <c r="I23" s="30">
        <f t="shared" si="0"/>
        <v>-1.2738853503184715</v>
      </c>
      <c r="J23" s="29">
        <v>155</v>
      </c>
      <c r="K23" s="29">
        <v>158</v>
      </c>
      <c r="L23" s="31">
        <f t="shared" si="1"/>
        <v>-0.95846645367412142</v>
      </c>
    </row>
    <row r="24" spans="1:12" ht="21" x14ac:dyDescent="0.3">
      <c r="A24" s="69" t="s">
        <v>104</v>
      </c>
      <c r="B24" s="6" t="s">
        <v>28</v>
      </c>
      <c r="C24" s="29">
        <v>155</v>
      </c>
      <c r="D24" s="29">
        <v>165</v>
      </c>
      <c r="E24" s="29">
        <v>160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162</v>
      </c>
      <c r="L24" s="31">
        <f t="shared" si="1"/>
        <v>-0.3115264797507788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1020</v>
      </c>
      <c r="K25" s="29">
        <v>1060</v>
      </c>
      <c r="L25" s="31">
        <f t="shared" si="1"/>
        <v>1.4423076923076923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80</v>
      </c>
      <c r="D27" s="29">
        <v>105</v>
      </c>
      <c r="E27" s="29">
        <v>80</v>
      </c>
      <c r="F27" s="29">
        <v>105</v>
      </c>
      <c r="G27" s="29">
        <v>90</v>
      </c>
      <c r="H27" s="29">
        <v>100</v>
      </c>
      <c r="I27" s="30">
        <f t="shared" ref="I27:I33" si="2">((C27+D27)/2-(G27+H27)/2)/((G27+H27)/2)*100</f>
        <v>-2.6315789473684208</v>
      </c>
      <c r="J27" s="29">
        <v>105</v>
      </c>
      <c r="K27" s="29">
        <v>110</v>
      </c>
      <c r="L27" s="31">
        <f t="shared" ref="L27:L33" si="3">((C27+D27)/2-(J27+K27)/2)/((J27+K27)/2)*100</f>
        <v>-13.953488372093023</v>
      </c>
    </row>
    <row r="28" spans="1:12" ht="21" x14ac:dyDescent="0.3">
      <c r="A28" s="69" t="s">
        <v>108</v>
      </c>
      <c r="B28" s="6" t="s">
        <v>18</v>
      </c>
      <c r="C28" s="29">
        <v>110</v>
      </c>
      <c r="D28" s="29">
        <v>120</v>
      </c>
      <c r="E28" s="29">
        <v>110</v>
      </c>
      <c r="F28" s="29">
        <v>120</v>
      </c>
      <c r="G28" s="29">
        <v>115</v>
      </c>
      <c r="H28" s="29">
        <v>140</v>
      </c>
      <c r="I28" s="30">
        <f t="shared" si="2"/>
        <v>-9.8039215686274517</v>
      </c>
      <c r="J28" s="29">
        <v>110</v>
      </c>
      <c r="K28" s="29">
        <v>120</v>
      </c>
      <c r="L28" s="31">
        <f t="shared" si="3"/>
        <v>0</v>
      </c>
    </row>
    <row r="29" spans="1:12" ht="21" x14ac:dyDescent="0.3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165</v>
      </c>
      <c r="I29" s="30">
        <f t="shared" si="2"/>
        <v>-1.5873015873015872</v>
      </c>
      <c r="J29" s="29">
        <v>130</v>
      </c>
      <c r="K29" s="29">
        <v>140</v>
      </c>
      <c r="L29" s="31">
        <f t="shared" si="3"/>
        <v>14.814814814814813</v>
      </c>
    </row>
    <row r="30" spans="1:12" ht="21" x14ac:dyDescent="0.3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140</v>
      </c>
      <c r="H30" s="29">
        <v>180</v>
      </c>
      <c r="I30" s="30">
        <f t="shared" si="2"/>
        <v>-6.25</v>
      </c>
      <c r="J30" s="29">
        <v>130</v>
      </c>
      <c r="K30" s="29">
        <v>180</v>
      </c>
      <c r="L30" s="31">
        <f t="shared" si="3"/>
        <v>-3.225806451612903</v>
      </c>
    </row>
    <row r="31" spans="1:12" ht="21" x14ac:dyDescent="0.3">
      <c r="A31" s="69" t="s">
        <v>40</v>
      </c>
      <c r="B31" s="6" t="s">
        <v>18</v>
      </c>
      <c r="C31" s="29">
        <v>50</v>
      </c>
      <c r="D31" s="29">
        <v>65</v>
      </c>
      <c r="E31" s="29">
        <v>50</v>
      </c>
      <c r="F31" s="29">
        <v>65</v>
      </c>
      <c r="G31" s="29">
        <v>50</v>
      </c>
      <c r="H31" s="29">
        <v>75</v>
      </c>
      <c r="I31" s="30">
        <f t="shared" si="2"/>
        <v>-8</v>
      </c>
      <c r="J31" s="29">
        <v>65</v>
      </c>
      <c r="K31" s="29">
        <v>80</v>
      </c>
      <c r="L31" s="31">
        <f t="shared" si="3"/>
        <v>-20.689655172413794</v>
      </c>
    </row>
    <row r="32" spans="1:12" ht="21" x14ac:dyDescent="0.3">
      <c r="A32" s="69" t="s">
        <v>41</v>
      </c>
      <c r="B32" s="6" t="s">
        <v>18</v>
      </c>
      <c r="C32" s="29">
        <v>80</v>
      </c>
      <c r="D32" s="29">
        <v>95</v>
      </c>
      <c r="E32" s="29">
        <v>80</v>
      </c>
      <c r="F32" s="29">
        <v>95</v>
      </c>
      <c r="G32" s="29">
        <v>90</v>
      </c>
      <c r="H32" s="29">
        <v>100</v>
      </c>
      <c r="I32" s="30">
        <f t="shared" si="2"/>
        <v>-7.8947368421052628</v>
      </c>
      <c r="J32" s="29">
        <v>115</v>
      </c>
      <c r="K32" s="29">
        <v>120</v>
      </c>
      <c r="L32" s="31">
        <f t="shared" si="3"/>
        <v>-25.531914893617021</v>
      </c>
    </row>
    <row r="33" spans="1:12" ht="21" x14ac:dyDescent="0.3">
      <c r="A33" s="69" t="s">
        <v>113</v>
      </c>
      <c r="B33" s="6" t="s">
        <v>18</v>
      </c>
      <c r="C33" s="29">
        <v>20</v>
      </c>
      <c r="D33" s="29">
        <v>30</v>
      </c>
      <c r="E33" s="29">
        <v>20</v>
      </c>
      <c r="F33" s="29">
        <v>40</v>
      </c>
      <c r="G33" s="29">
        <v>20</v>
      </c>
      <c r="H33" s="29">
        <v>30</v>
      </c>
      <c r="I33" s="30">
        <f t="shared" si="2"/>
        <v>0</v>
      </c>
      <c r="J33" s="29">
        <v>20</v>
      </c>
      <c r="K33" s="29">
        <v>35</v>
      </c>
      <c r="L33" s="31">
        <f t="shared" si="3"/>
        <v>-9.0909090909090917</v>
      </c>
    </row>
    <row r="34" spans="1:12" ht="21" x14ac:dyDescent="0.3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83" t="s">
        <v>114</v>
      </c>
      <c r="B35" s="6" t="s">
        <v>18</v>
      </c>
      <c r="C35" s="29">
        <v>40</v>
      </c>
      <c r="D35" s="29">
        <v>70</v>
      </c>
      <c r="E35" s="29">
        <v>50</v>
      </c>
      <c r="F35" s="29">
        <v>70</v>
      </c>
      <c r="G35" s="29">
        <v>60</v>
      </c>
      <c r="H35" s="29">
        <v>140</v>
      </c>
      <c r="I35" s="30">
        <f t="shared" ref="I35:I50" si="4">((C35+D35)/2-(G35+H35)/2)/((G35+H35)/2)*100</f>
        <v>-45</v>
      </c>
      <c r="J35" s="29">
        <v>45</v>
      </c>
      <c r="K35" s="29">
        <v>60</v>
      </c>
      <c r="L35" s="31">
        <f t="shared" ref="L35:L50" si="5">((C35+D35)/2-(J35+K35)/2)/((J35+K35)/2)*100</f>
        <v>4.7619047619047619</v>
      </c>
    </row>
    <row r="36" spans="1:12" ht="21" x14ac:dyDescent="0.3">
      <c r="A36" s="69" t="s">
        <v>43</v>
      </c>
      <c r="B36" s="6" t="s">
        <v>18</v>
      </c>
      <c r="C36" s="29">
        <v>70</v>
      </c>
      <c r="D36" s="29">
        <v>80</v>
      </c>
      <c r="E36" s="29">
        <v>70</v>
      </c>
      <c r="F36" s="29">
        <v>80</v>
      </c>
      <c r="G36" s="29">
        <v>100</v>
      </c>
      <c r="H36" s="29">
        <v>110</v>
      </c>
      <c r="I36" s="30">
        <f t="shared" si="4"/>
        <v>-28.571428571428569</v>
      </c>
      <c r="J36" s="29">
        <v>50</v>
      </c>
      <c r="K36" s="29">
        <v>70</v>
      </c>
      <c r="L36" s="31">
        <f t="shared" si="5"/>
        <v>25</v>
      </c>
    </row>
    <row r="37" spans="1:12" ht="21" x14ac:dyDescent="0.3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80</v>
      </c>
      <c r="H37" s="29">
        <v>140</v>
      </c>
      <c r="I37" s="30">
        <f t="shared" si="4"/>
        <v>0</v>
      </c>
      <c r="J37" s="29">
        <v>230</v>
      </c>
      <c r="K37" s="29">
        <v>260</v>
      </c>
      <c r="L37" s="31">
        <f t="shared" si="5"/>
        <v>-55.102040816326522</v>
      </c>
    </row>
    <row r="38" spans="1:12" ht="21" x14ac:dyDescent="0.3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220</v>
      </c>
      <c r="K38" s="29">
        <v>240</v>
      </c>
      <c r="L38" s="31">
        <f t="shared" si="5"/>
        <v>-21.739130434782609</v>
      </c>
    </row>
    <row r="39" spans="1:12" ht="21" x14ac:dyDescent="0.3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300</v>
      </c>
      <c r="L39" s="31">
        <f t="shared" si="5"/>
        <v>-5.4545454545454541</v>
      </c>
    </row>
    <row r="40" spans="1:12" ht="21" x14ac:dyDescent="0.3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" x14ac:dyDescent="0.3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350</v>
      </c>
      <c r="L41" s="31">
        <f t="shared" si="5"/>
        <v>4.4776119402985071</v>
      </c>
    </row>
    <row r="42" spans="1:12" ht="21" x14ac:dyDescent="0.3">
      <c r="A42" s="69" t="s">
        <v>49</v>
      </c>
      <c r="B42" s="6" t="s">
        <v>18</v>
      </c>
      <c r="C42" s="29">
        <v>280</v>
      </c>
      <c r="D42" s="29">
        <v>400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-5.5555555555555554</v>
      </c>
      <c r="J42" s="29">
        <v>250</v>
      </c>
      <c r="K42" s="29">
        <v>300</v>
      </c>
      <c r="L42" s="31">
        <f t="shared" si="5"/>
        <v>23.636363636363637</v>
      </c>
    </row>
    <row r="43" spans="1:12" ht="21" x14ac:dyDescent="0.3">
      <c r="A43" s="69" t="s">
        <v>50</v>
      </c>
      <c r="B43" s="6" t="s">
        <v>18</v>
      </c>
      <c r="C43" s="29">
        <v>140</v>
      </c>
      <c r="D43" s="29">
        <v>200</v>
      </c>
      <c r="E43" s="29">
        <v>140</v>
      </c>
      <c r="F43" s="29">
        <v>200</v>
      </c>
      <c r="G43" s="29">
        <v>150</v>
      </c>
      <c r="H43" s="29">
        <v>200</v>
      </c>
      <c r="I43" s="30">
        <f t="shared" si="4"/>
        <v>-2.8571428571428572</v>
      </c>
      <c r="J43" s="29">
        <v>200</v>
      </c>
      <c r="K43" s="29">
        <v>250</v>
      </c>
      <c r="L43" s="31">
        <f t="shared" si="5"/>
        <v>-24.444444444444443</v>
      </c>
    </row>
    <row r="44" spans="1:12" ht="21" x14ac:dyDescent="0.3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100</v>
      </c>
      <c r="K44" s="29">
        <v>240</v>
      </c>
      <c r="L44" s="31">
        <f t="shared" si="5"/>
        <v>8.8235294117647065</v>
      </c>
    </row>
    <row r="45" spans="1:12" ht="21" x14ac:dyDescent="0.3">
      <c r="A45" s="69" t="s">
        <v>52</v>
      </c>
      <c r="B45" s="6" t="s">
        <v>18</v>
      </c>
      <c r="C45" s="29">
        <v>580</v>
      </c>
      <c r="D45" s="29">
        <v>720</v>
      </c>
      <c r="E45" s="29">
        <v>580</v>
      </c>
      <c r="F45" s="29">
        <v>720</v>
      </c>
      <c r="G45" s="29">
        <v>580</v>
      </c>
      <c r="H45" s="29">
        <v>750</v>
      </c>
      <c r="I45" s="30">
        <f t="shared" si="4"/>
        <v>-2.2556390977443606</v>
      </c>
      <c r="J45" s="29">
        <v>675</v>
      </c>
      <c r="K45" s="29">
        <v>800</v>
      </c>
      <c r="L45" s="31">
        <f t="shared" si="5"/>
        <v>-11.864406779661017</v>
      </c>
    </row>
    <row r="46" spans="1:12" ht="21" x14ac:dyDescent="0.3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500</v>
      </c>
      <c r="K46" s="29">
        <v>700</v>
      </c>
      <c r="L46" s="31">
        <f t="shared" si="5"/>
        <v>-10</v>
      </c>
    </row>
    <row r="47" spans="1:12" ht="21" x14ac:dyDescent="0.3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1800</v>
      </c>
      <c r="L47" s="31">
        <f t="shared" si="5"/>
        <v>-7.8125</v>
      </c>
    </row>
    <row r="48" spans="1:12" ht="21" x14ac:dyDescent="0.3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4500</v>
      </c>
      <c r="H48" s="29">
        <v>5500</v>
      </c>
      <c r="I48" s="30">
        <f t="shared" si="4"/>
        <v>0</v>
      </c>
      <c r="J48" s="29">
        <v>4400</v>
      </c>
      <c r="K48" s="29">
        <v>5000</v>
      </c>
      <c r="L48" s="31">
        <f t="shared" si="5"/>
        <v>6.3829787234042552</v>
      </c>
    </row>
    <row r="49" spans="1:12" ht="21" x14ac:dyDescent="0.3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180</v>
      </c>
      <c r="H49" s="29">
        <v>280</v>
      </c>
      <c r="I49" s="30">
        <f t="shared" si="4"/>
        <v>0</v>
      </c>
      <c r="J49" s="29">
        <v>230</v>
      </c>
      <c r="K49" s="29">
        <v>280</v>
      </c>
      <c r="L49" s="31">
        <f t="shared" si="5"/>
        <v>-9.8039215686274517</v>
      </c>
    </row>
    <row r="50" spans="1:12" ht="21" x14ac:dyDescent="0.3">
      <c r="A50" s="69" t="s">
        <v>57</v>
      </c>
      <c r="B50" s="6" t="s">
        <v>18</v>
      </c>
      <c r="C50" s="29">
        <v>160</v>
      </c>
      <c r="D50" s="29">
        <v>220</v>
      </c>
      <c r="E50" s="29">
        <v>160</v>
      </c>
      <c r="F50" s="29">
        <v>220</v>
      </c>
      <c r="G50" s="29">
        <v>160</v>
      </c>
      <c r="H50" s="29">
        <v>225</v>
      </c>
      <c r="I50" s="30">
        <f t="shared" si="4"/>
        <v>-1.2987012987012987</v>
      </c>
      <c r="J50" s="29">
        <v>160</v>
      </c>
      <c r="K50" s="29">
        <v>220</v>
      </c>
      <c r="L50" s="31">
        <f t="shared" si="5"/>
        <v>0</v>
      </c>
    </row>
    <row r="51" spans="1:12" ht="21" x14ac:dyDescent="0.3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" x14ac:dyDescent="0.3">
      <c r="A53" s="69" t="s">
        <v>60</v>
      </c>
      <c r="B53" s="6" t="s">
        <v>18</v>
      </c>
      <c r="C53" s="29">
        <v>1200</v>
      </c>
      <c r="D53" s="29">
        <v>2500</v>
      </c>
      <c r="E53" s="29">
        <v>1200</v>
      </c>
      <c r="F53" s="29">
        <v>2500</v>
      </c>
      <c r="G53" s="29">
        <v>800</v>
      </c>
      <c r="H53" s="29">
        <v>1800</v>
      </c>
      <c r="I53" s="30">
        <f t="shared" si="6"/>
        <v>42.307692307692307</v>
      </c>
      <c r="J53" s="29">
        <v>650</v>
      </c>
      <c r="K53" s="29">
        <v>1600</v>
      </c>
      <c r="L53" s="31">
        <f t="shared" si="7"/>
        <v>64.444444444444443</v>
      </c>
    </row>
    <row r="54" spans="1:12" ht="21" x14ac:dyDescent="0.3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" x14ac:dyDescent="0.3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1050</v>
      </c>
      <c r="K55" s="29">
        <v>1200</v>
      </c>
      <c r="L55" s="31">
        <f t="shared" si="7"/>
        <v>-2.2222222222222223</v>
      </c>
    </row>
    <row r="56" spans="1:12" ht="21" x14ac:dyDescent="0.3">
      <c r="A56" s="69" t="s">
        <v>61</v>
      </c>
      <c r="B56" s="6" t="s">
        <v>18</v>
      </c>
      <c r="C56" s="29">
        <v>170</v>
      </c>
      <c r="D56" s="29">
        <v>180</v>
      </c>
      <c r="E56" s="29">
        <v>160</v>
      </c>
      <c r="F56" s="29">
        <v>180</v>
      </c>
      <c r="G56" s="29">
        <v>150</v>
      </c>
      <c r="H56" s="29">
        <v>170</v>
      </c>
      <c r="I56" s="30">
        <f t="shared" si="6"/>
        <v>9.375</v>
      </c>
      <c r="J56" s="29">
        <v>190</v>
      </c>
      <c r="K56" s="29">
        <v>210</v>
      </c>
      <c r="L56" s="31">
        <f t="shared" si="7"/>
        <v>-12.5</v>
      </c>
    </row>
    <row r="57" spans="1:12" ht="21" x14ac:dyDescent="0.3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" x14ac:dyDescent="0.3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 x14ac:dyDescent="0.3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 x14ac:dyDescent="0.25">
      <c r="A67" s="73"/>
      <c r="B67" s="64"/>
      <c r="C67" s="89">
        <v>46046</v>
      </c>
      <c r="D67" s="88"/>
      <c r="E67" s="89">
        <v>46039</v>
      </c>
      <c r="F67" s="88"/>
      <c r="G67" s="89">
        <v>46015</v>
      </c>
      <c r="H67" s="88"/>
      <c r="I67" s="26" t="s">
        <v>12</v>
      </c>
      <c r="J67" s="89">
        <v>45681</v>
      </c>
      <c r="K67" s="88"/>
      <c r="L67" s="26" t="s">
        <v>12</v>
      </c>
    </row>
    <row r="68" spans="1:12" ht="21" x14ac:dyDescent="0.2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70</v>
      </c>
      <c r="B69" s="6" t="s">
        <v>18</v>
      </c>
      <c r="C69" s="29">
        <v>98</v>
      </c>
      <c r="D69" s="29">
        <v>110</v>
      </c>
      <c r="E69" s="29">
        <v>98</v>
      </c>
      <c r="F69" s="29">
        <v>110</v>
      </c>
      <c r="G69" s="29">
        <v>95</v>
      </c>
      <c r="H69" s="29">
        <v>100</v>
      </c>
      <c r="I69" s="30">
        <f>((C69+D69)/2-(G69+H69)/2)/((G69+H69)/2)*100</f>
        <v>6.666666666666667</v>
      </c>
      <c r="J69" s="29">
        <v>120</v>
      </c>
      <c r="K69" s="29">
        <v>125</v>
      </c>
      <c r="L69" s="31">
        <f t="shared" ref="L69:L75" si="8">((C69+D69)/2-(J69+K69)/2)/((J69+K69)/2)*100</f>
        <v>-15.102040816326531</v>
      </c>
    </row>
    <row r="70" spans="1:12" ht="21" x14ac:dyDescent="0.3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180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-2.666666666666667</v>
      </c>
    </row>
    <row r="71" spans="1:12" ht="21" x14ac:dyDescent="0.3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72</v>
      </c>
      <c r="B72" s="6" t="s">
        <v>73</v>
      </c>
      <c r="C72" s="37">
        <v>34</v>
      </c>
      <c r="D72" s="37">
        <v>45</v>
      </c>
      <c r="E72" s="37">
        <v>36</v>
      </c>
      <c r="F72" s="37">
        <v>45</v>
      </c>
      <c r="G72" s="37">
        <v>36</v>
      </c>
      <c r="H72" s="37">
        <v>45</v>
      </c>
      <c r="I72" s="30">
        <f t="shared" si="9"/>
        <v>-2.4691358024691357</v>
      </c>
      <c r="J72" s="37">
        <v>44</v>
      </c>
      <c r="K72" s="37">
        <v>48</v>
      </c>
      <c r="L72" s="31">
        <f t="shared" si="8"/>
        <v>-14.130434782608695</v>
      </c>
    </row>
    <row r="73" spans="1:12" ht="21" x14ac:dyDescent="0.3">
      <c r="A73" s="69" t="s">
        <v>74</v>
      </c>
      <c r="B73" s="6" t="s">
        <v>75</v>
      </c>
      <c r="C73" s="37">
        <v>34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5.7142857142857144</v>
      </c>
      <c r="J73" s="37">
        <v>30</v>
      </c>
      <c r="K73" s="37">
        <v>40</v>
      </c>
      <c r="L73" s="31">
        <f t="shared" si="8"/>
        <v>5.7142857142857144</v>
      </c>
    </row>
    <row r="74" spans="1:12" ht="21" x14ac:dyDescent="0.3">
      <c r="A74" s="69" t="s">
        <v>76</v>
      </c>
      <c r="B74" s="6" t="s">
        <v>77</v>
      </c>
      <c r="C74" s="29">
        <v>80500</v>
      </c>
      <c r="D74" s="29">
        <v>85000</v>
      </c>
      <c r="E74" s="29">
        <v>80500</v>
      </c>
      <c r="F74" s="29">
        <v>85000</v>
      </c>
      <c r="G74" s="29">
        <v>80000</v>
      </c>
      <c r="H74" s="29">
        <v>85000</v>
      </c>
      <c r="I74" s="30">
        <f t="shared" si="9"/>
        <v>0.30303030303030304</v>
      </c>
      <c r="J74" s="29">
        <v>92000</v>
      </c>
      <c r="K74" s="29">
        <v>92500</v>
      </c>
      <c r="L74" s="31">
        <f t="shared" si="8"/>
        <v>-10.29810298102981</v>
      </c>
    </row>
    <row r="75" spans="1:12" ht="21" x14ac:dyDescent="0.3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88000</v>
      </c>
      <c r="K75" s="37">
        <v>90000</v>
      </c>
      <c r="L75" s="31">
        <f t="shared" si="8"/>
        <v>-13.48314606741573</v>
      </c>
    </row>
    <row r="76" spans="1:12" ht="36" customHeight="1" x14ac:dyDescent="0.25">
      <c r="A76" s="90" t="s">
        <v>122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" x14ac:dyDescent="0.2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130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124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112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" x14ac:dyDescent="0.2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" x14ac:dyDescent="0.3">
      <c r="A83" s="69" t="s">
        <v>29</v>
      </c>
      <c r="B83" s="6" t="s">
        <v>30</v>
      </c>
      <c r="C83" s="29">
        <v>920</v>
      </c>
      <c r="D83" s="29">
        <v>955</v>
      </c>
      <c r="E83" s="29">
        <v>920</v>
      </c>
      <c r="F83" s="29">
        <v>965</v>
      </c>
      <c r="G83" s="7">
        <f>((C83+D83)/2-(E83+F83)/2)/((E83+F83)/2)*100</f>
        <v>-0.53050397877984079</v>
      </c>
      <c r="H83" s="5" t="s">
        <v>120</v>
      </c>
      <c r="I83" s="6"/>
      <c r="J83" s="6"/>
      <c r="K83" s="50"/>
      <c r="L83" s="17"/>
    </row>
    <row r="84" spans="1:12" ht="21" x14ac:dyDescent="0.3">
      <c r="A84" s="69" t="s">
        <v>29</v>
      </c>
      <c r="B84" s="6" t="s">
        <v>31</v>
      </c>
      <c r="C84" s="29">
        <v>390</v>
      </c>
      <c r="D84" s="29">
        <v>395</v>
      </c>
      <c r="E84" s="29">
        <v>380</v>
      </c>
      <c r="F84" s="29">
        <v>395</v>
      </c>
      <c r="G84" s="7">
        <f>((C84+D84)/2-(E84+F84)/2)/((E84+F84)/2)*100</f>
        <v>1.2903225806451613</v>
      </c>
      <c r="H84" s="5" t="s">
        <v>119</v>
      </c>
      <c r="I84" s="6"/>
      <c r="J84" s="6"/>
      <c r="K84" s="50"/>
      <c r="L84" s="17"/>
    </row>
    <row r="85" spans="1:12" ht="21" x14ac:dyDescent="0.3">
      <c r="A85" s="69" t="s">
        <v>29</v>
      </c>
      <c r="B85" s="6" t="s">
        <v>32</v>
      </c>
      <c r="C85" s="29">
        <v>190</v>
      </c>
      <c r="D85" s="29">
        <v>195</v>
      </c>
      <c r="E85" s="29">
        <v>190</v>
      </c>
      <c r="F85" s="29">
        <v>198</v>
      </c>
      <c r="G85" s="7">
        <f>((C85+D85)/2-(E85+F85)/2)/((E85+F85)/2)*100</f>
        <v>-0.77319587628865982</v>
      </c>
      <c r="H85" s="5" t="s">
        <v>120</v>
      </c>
      <c r="I85" s="6"/>
      <c r="J85" s="6"/>
      <c r="K85" s="50"/>
      <c r="L85" s="17"/>
    </row>
    <row r="86" spans="1:12" ht="21" x14ac:dyDescent="0.3">
      <c r="A86" s="69" t="s">
        <v>33</v>
      </c>
      <c r="B86" s="6" t="s">
        <v>28</v>
      </c>
      <c r="C86" s="29">
        <v>148</v>
      </c>
      <c r="D86" s="29">
        <v>162</v>
      </c>
      <c r="E86" s="29">
        <v>152</v>
      </c>
      <c r="F86" s="29">
        <v>162</v>
      </c>
      <c r="G86" s="7">
        <f>((C86+D86)/2-(E86+F86)/2)/((E86+F86)/2)*100</f>
        <v>-1.2738853503184715</v>
      </c>
      <c r="H86" s="5" t="s">
        <v>120</v>
      </c>
      <c r="I86" s="6"/>
      <c r="J86" s="6"/>
      <c r="K86" s="50"/>
      <c r="L86" s="17"/>
    </row>
    <row r="87" spans="1:12" ht="21" x14ac:dyDescent="0.3">
      <c r="A87" s="69" t="s">
        <v>104</v>
      </c>
      <c r="B87" s="6" t="s">
        <v>28</v>
      </c>
      <c r="C87" s="29">
        <v>155</v>
      </c>
      <c r="D87" s="29">
        <v>165</v>
      </c>
      <c r="E87" s="29">
        <v>160</v>
      </c>
      <c r="F87" s="29">
        <v>165</v>
      </c>
      <c r="G87" s="7">
        <f t="shared" ref="G87:G90" si="10">((C87+D87)/2-(E87+F87)/2)/((E87+F87)/2)*100</f>
        <v>-1.5384615384615385</v>
      </c>
      <c r="H87" s="5" t="s">
        <v>129</v>
      </c>
      <c r="I87" s="6"/>
      <c r="J87" s="6"/>
      <c r="K87" s="50"/>
      <c r="L87" s="17"/>
    </row>
    <row r="88" spans="1:12" ht="21" x14ac:dyDescent="0.3">
      <c r="A88" s="69" t="s">
        <v>113</v>
      </c>
      <c r="B88" s="6" t="s">
        <v>18</v>
      </c>
      <c r="C88" s="29">
        <v>20</v>
      </c>
      <c r="D88" s="29">
        <v>30</v>
      </c>
      <c r="E88" s="29">
        <v>20</v>
      </c>
      <c r="F88" s="29">
        <v>40</v>
      </c>
      <c r="G88" s="7">
        <f>((C88+D88)/2-(E88+F88)/2)/((E88+F88)/2)*100</f>
        <v>-16.666666666666664</v>
      </c>
      <c r="H88" s="5" t="s">
        <v>120</v>
      </c>
      <c r="I88" s="6"/>
      <c r="J88" s="6"/>
      <c r="K88" s="50"/>
      <c r="L88" s="17"/>
    </row>
    <row r="89" spans="1:12" ht="21" x14ac:dyDescent="0.3">
      <c r="A89" s="83" t="s">
        <v>114</v>
      </c>
      <c r="B89" s="6" t="s">
        <v>18</v>
      </c>
      <c r="C89" s="29">
        <v>40</v>
      </c>
      <c r="D89" s="29">
        <v>70</v>
      </c>
      <c r="E89" s="29">
        <v>50</v>
      </c>
      <c r="F89" s="29">
        <v>70</v>
      </c>
      <c r="G89" s="7">
        <f t="shared" si="10"/>
        <v>-8.3333333333333321</v>
      </c>
      <c r="H89" s="5" t="s">
        <v>128</v>
      </c>
      <c r="I89" s="6"/>
      <c r="J89" s="6"/>
      <c r="K89" s="50"/>
      <c r="L89" s="17"/>
    </row>
    <row r="90" spans="1:12" ht="21" x14ac:dyDescent="0.3">
      <c r="A90" s="69" t="s">
        <v>49</v>
      </c>
      <c r="B90" s="6" t="s">
        <v>18</v>
      </c>
      <c r="C90" s="29">
        <v>280</v>
      </c>
      <c r="D90" s="29">
        <v>400</v>
      </c>
      <c r="E90" s="29">
        <v>300</v>
      </c>
      <c r="F90" s="29">
        <v>420</v>
      </c>
      <c r="G90" s="7">
        <f t="shared" si="10"/>
        <v>-5.5555555555555554</v>
      </c>
      <c r="H90" s="5" t="s">
        <v>121</v>
      </c>
      <c r="I90" s="6"/>
      <c r="J90" s="6"/>
      <c r="K90" s="50"/>
      <c r="L90" s="17"/>
    </row>
    <row r="91" spans="1:12" ht="21" x14ac:dyDescent="0.3">
      <c r="A91" s="69" t="s">
        <v>61</v>
      </c>
      <c r="B91" s="6" t="s">
        <v>18</v>
      </c>
      <c r="C91" s="29">
        <v>170</v>
      </c>
      <c r="D91" s="29">
        <v>180</v>
      </c>
      <c r="E91" s="29">
        <v>160</v>
      </c>
      <c r="F91" s="29">
        <v>180</v>
      </c>
      <c r="G91" s="7">
        <f>((C91+D91)/2-(E91+F91)/2)/((E91+F91)/2)*100</f>
        <v>2.9411764705882351</v>
      </c>
      <c r="H91" s="5" t="s">
        <v>123</v>
      </c>
      <c r="I91" s="6"/>
      <c r="J91" s="6"/>
      <c r="K91" s="50"/>
      <c r="L91" s="17"/>
    </row>
    <row r="92" spans="1:12" ht="23.25" x14ac:dyDescent="0.3">
      <c r="A92" s="69" t="s">
        <v>72</v>
      </c>
      <c r="B92" s="6" t="s">
        <v>73</v>
      </c>
      <c r="C92" s="37">
        <v>34</v>
      </c>
      <c r="D92" s="37">
        <v>45</v>
      </c>
      <c r="E92" s="37">
        <v>36</v>
      </c>
      <c r="F92" s="37">
        <v>45</v>
      </c>
      <c r="G92" s="7">
        <f>((C92+D92)/2-(E92+F92)/2)/((E92+F92)/2)*100</f>
        <v>-2.4691358024691357</v>
      </c>
      <c r="H92" s="5" t="s">
        <v>120</v>
      </c>
      <c r="I92" s="6"/>
      <c r="J92" s="6"/>
      <c r="K92" s="40"/>
      <c r="L92" s="11"/>
    </row>
    <row r="93" spans="1:12" ht="23.25" x14ac:dyDescent="0.3">
      <c r="A93" s="72"/>
      <c r="B93" s="3"/>
      <c r="C93" s="78"/>
      <c r="D93" s="78"/>
      <c r="E93" s="78"/>
      <c r="F93" s="78"/>
      <c r="G93" s="9"/>
      <c r="H93" s="1"/>
      <c r="I93" s="3"/>
      <c r="J93" s="3"/>
      <c r="K93" s="40"/>
      <c r="L93" s="11"/>
    </row>
    <row r="94" spans="1:12" ht="23.25" x14ac:dyDescent="0.3">
      <c r="A94" s="1"/>
      <c r="B94" s="3"/>
      <c r="C94" s="82"/>
      <c r="D94" s="82"/>
      <c r="E94" s="8"/>
      <c r="F94" s="82"/>
      <c r="G94" s="38"/>
      <c r="H94" s="39"/>
      <c r="I94" s="40"/>
      <c r="J94" s="40"/>
      <c r="K94" s="40"/>
      <c r="L94" s="11"/>
    </row>
    <row r="95" spans="1:12" ht="23.25" x14ac:dyDescent="0.3">
      <c r="A95" s="1"/>
      <c r="B95" s="13"/>
      <c r="C95" s="14"/>
      <c r="D95" s="14"/>
      <c r="E95" s="13"/>
      <c r="F95" s="14"/>
      <c r="G95" s="38"/>
      <c r="H95" s="39"/>
      <c r="I95" s="40"/>
      <c r="J95" s="40"/>
      <c r="K95" s="40"/>
      <c r="L95" s="11"/>
    </row>
    <row r="96" spans="1:12" ht="23.25" x14ac:dyDescent="0.3">
      <c r="A96" s="41"/>
      <c r="B96" s="42" t="s">
        <v>115</v>
      </c>
      <c r="C96" s="10"/>
      <c r="E96" s="84"/>
      <c r="F96" s="85"/>
      <c r="G96" s="86"/>
      <c r="I96" s="12"/>
      <c r="J96" s="13" t="s">
        <v>117</v>
      </c>
      <c r="K96" s="10"/>
    </row>
    <row r="97" spans="1:12" ht="23.25" x14ac:dyDescent="0.3">
      <c r="A97" s="43"/>
      <c r="B97" s="42" t="s">
        <v>116</v>
      </c>
      <c r="C97" s="13"/>
      <c r="E97" s="43"/>
      <c r="F97" s="85"/>
      <c r="G97" s="86"/>
      <c r="I97" s="76"/>
      <c r="J97" s="13" t="s">
        <v>118</v>
      </c>
    </row>
    <row r="98" spans="1:12" ht="23.25" x14ac:dyDescent="0.3">
      <c r="A98" s="1"/>
      <c r="B98" s="13"/>
      <c r="C98" s="14"/>
      <c r="D98" s="13"/>
      <c r="E98" s="14"/>
      <c r="F98" s="44"/>
      <c r="G98" s="46"/>
      <c r="H98" s="46"/>
      <c r="I98" s="45"/>
      <c r="J98" s="10"/>
      <c r="K98" s="10"/>
      <c r="L98" s="2"/>
    </row>
    <row r="99" spans="1:12" ht="18.75" x14ac:dyDescent="0.25">
      <c r="A99" s="55" t="s">
        <v>91</v>
      </c>
      <c r="B99" s="53"/>
      <c r="C99" s="51"/>
      <c r="D99" s="53"/>
      <c r="E99" s="51"/>
      <c r="F99" s="51"/>
      <c r="G99" s="51"/>
      <c r="H99" s="52"/>
      <c r="I99" s="57"/>
      <c r="J99" s="2"/>
      <c r="K99" s="2"/>
      <c r="L99" s="2"/>
    </row>
    <row r="100" spans="1:12" ht="18.75" x14ac:dyDescent="0.25">
      <c r="A100" s="54" t="s">
        <v>97</v>
      </c>
      <c r="B100" s="53"/>
      <c r="C100" s="51"/>
      <c r="D100" s="53"/>
      <c r="E100" s="51"/>
      <c r="F100" s="51"/>
      <c r="G100" s="53"/>
      <c r="H100" s="52"/>
      <c r="I100" s="57"/>
      <c r="J100" s="2"/>
      <c r="K100" s="2"/>
      <c r="L100" s="2"/>
    </row>
    <row r="101" spans="1:12" ht="18.75" x14ac:dyDescent="0.25">
      <c r="A101" s="54" t="s">
        <v>96</v>
      </c>
      <c r="B101" s="53"/>
      <c r="C101" s="53"/>
      <c r="D101" s="53"/>
      <c r="E101" s="53"/>
      <c r="F101" s="51"/>
      <c r="G101" s="53"/>
      <c r="H101" s="52"/>
      <c r="I101" s="57"/>
      <c r="J101" s="2"/>
      <c r="K101" s="2"/>
      <c r="L101" s="2"/>
    </row>
    <row r="102" spans="1:12" ht="18.75" x14ac:dyDescent="0.25">
      <c r="A102" s="54" t="s">
        <v>84</v>
      </c>
      <c r="B102" s="53"/>
      <c r="C102" s="53"/>
      <c r="D102" s="53"/>
      <c r="E102" s="53"/>
      <c r="F102" s="52"/>
      <c r="G102" s="52"/>
      <c r="H102" s="52"/>
      <c r="I102" s="57"/>
      <c r="J102" s="2"/>
      <c r="K102" s="2"/>
      <c r="L102" s="2"/>
    </row>
    <row r="103" spans="1:12" ht="18.75" x14ac:dyDescent="0.25">
      <c r="A103" s="54" t="s">
        <v>95</v>
      </c>
      <c r="B103" s="53"/>
      <c r="C103" s="53"/>
      <c r="D103" s="53"/>
      <c r="E103" s="53"/>
      <c r="F103" s="53"/>
      <c r="G103" s="52"/>
      <c r="H103" s="52"/>
      <c r="I103" s="57"/>
      <c r="J103" s="2"/>
      <c r="K103" s="2"/>
      <c r="L103" s="2"/>
    </row>
    <row r="104" spans="1:12" ht="18.75" x14ac:dyDescent="0.25">
      <c r="A104" s="54" t="s">
        <v>94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105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93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92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8.75" x14ac:dyDescent="0.25">
      <c r="A108" s="54" t="s">
        <v>85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8.75" x14ac:dyDescent="0.25">
      <c r="A109" s="54" t="s">
        <v>99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8.75" x14ac:dyDescent="0.25">
      <c r="A110" s="54" t="s">
        <v>98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8.75" x14ac:dyDescent="0.25">
      <c r="A111" s="54" t="s">
        <v>100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8.75" x14ac:dyDescent="0.25">
      <c r="A112" s="54" t="s">
        <v>101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8.75" x14ac:dyDescent="0.25">
      <c r="A113" s="54" t="s">
        <v>86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8.75" x14ac:dyDescent="0.25">
      <c r="A114" s="54"/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8.75" x14ac:dyDescent="0.25">
      <c r="A115" s="55" t="s">
        <v>87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8.75" x14ac:dyDescent="0.25">
      <c r="A116" s="54" t="s">
        <v>88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8.75" x14ac:dyDescent="0.25">
      <c r="A117" s="54" t="s">
        <v>111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8.75" x14ac:dyDescent="0.25">
      <c r="A118" s="54" t="s">
        <v>110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8.75" x14ac:dyDescent="0.25">
      <c r="A119" s="54" t="s">
        <v>109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2026-01-22T09:34:19Z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