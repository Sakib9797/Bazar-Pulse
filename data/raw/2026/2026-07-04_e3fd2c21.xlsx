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7. July-2026\"/>
    </mc:Choice>
  </mc:AlternateContent>
  <xr:revisionPtr revIDLastSave="0" documentId="8_{70433305-9B03-9343-ADA9-EC4930B0C4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0" i="4"/>
  <c r="G88" i="4"/>
  <c r="G87" i="4"/>
  <c r="G86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<sst xmlns="http://schemas.openxmlformats.org/spreadsheetml/2006/main" count="234" uniqueCount="136">
  <si>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</si>
  <si>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</si>
  <si>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</si>
  <si>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</si>
  <si>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</si>
  <si>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</si>
  <si>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</si>
  <si>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</si>
  <si>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</si>
  <si>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</si>
  <si>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</si>
  <si>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</si>
  <si>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</si>
  <si>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</si>
  <si>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</si>
  <si>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</si>
  <si>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</si>
  <si>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</si>
  <si>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</si>
  <si>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</si>
  <si>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</si>
  <si>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</si>
  <si>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</si>
  <si>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</si>
  <si>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</si>
  <si>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</si>
  <si>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</si>
  <si>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</si>
  <si>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</si>
  <si>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</si>
  <si>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</si>
  <si>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</si>
  <si>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</si>
  <si>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</si>
  <si>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</si>
  <si>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</si>
  <si>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</si>
  <si>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</si>
  <si>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</si>
  <si>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</si>
  <si>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</si>
  <si>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</si>
  <si>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</si>
  <si>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</si>
  <si>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</si>
  <si>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</si>
  <si>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</si>
  <si>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</si>
  <si>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</si>
  <si>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</si>
  <si>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</si>
  <si>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</si>
  <si>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</si>
  <si>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</si>
  <si>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</si>
  <si>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</si>
  <si>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</si>
  <si>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</si>
  <si>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</si>
  <si>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</si>
  <si>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</si>
  <si>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</si>
  <si>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</si>
  <si>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</si>
  <si>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</si>
  <si>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</si>
  <si>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</si>
  <si>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</si>
  <si>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</si>
  <si>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</si>
  <si>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</si>
  <si>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</si>
  <si>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</si>
  <si>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</si>
  <si>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</si>
  <si>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</si>
  <si>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</si>
  <si>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</si>
  <si>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</si>
  <si>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</si>
  <si>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</si>
  <si>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</si>
  <si>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</si>
  <si>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</si>
  <si>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</si>
  <si>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</si>
  <si>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</si>
  <si>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</si>
  <si>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</si>
  <si>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</si>
  <si>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</si>
  <si>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</si>
  <si>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</si>
  <si>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</si>
  <si>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</si>
  <si>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</si>
  <si>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</si>
  <si>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</si>
  <si>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</si>
  <si>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</si>
  <si>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</si>
  <si>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</si>
  <si>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</si>
  <si>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</si>
  <si>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</si>
  <si>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</si>
  <si>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</si>
  <si>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</si>
  <si>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</si>
  <si>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</si>
  <si>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</si>
  <si>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</si>
  <si>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</si>
  <si>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</si>
  <si>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</si>
  <si>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</si>
  <si>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</si>
  <si>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</si>
  <si>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</si>
  <si>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</si>
  <si>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</si>
  <si>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</si>
  <si>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</si>
  <si>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</si>
  <si>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</si>
  <si>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০১-০৭-২০২৬ তারিখে মূল্য বৃদ্ধি পেয়েছে।</t>
  </si>
  <si>
    <t>(২)    রশুন (দেশী), কাঁচামরিচ, বেগুন   এর মূল্য বৃদ্ধি পেয়েছে।</t>
  </si>
  <si>
    <t>০২-০৭-২০২৬ তারিখে মূল্য বৃদ্ধি পেয়েছে।</t>
  </si>
  <si>
    <t>০২-০৭-২০২৬ তারিখে মূল্য হ্রাস পেয়েছে।</t>
  </si>
  <si>
    <t xml:space="preserve">নং-২৬.০৫.০০০০.০১৭.৩১.০১.২৬-৫১৯                                                                                                           তারিখঃ ০৪-০৭-২০২৬ </t>
  </si>
  <si>
    <t xml:space="preserve">শনিবার ০৪ জুলাই ২০২৬ খ্রিঃ, ২০ আষাঢ় ১৪৩৩ বাংলা, ১৮ মহরম ১৪৪৮ হিজরি </t>
  </si>
  <si>
    <t>(১)     রশুন (আম), আদা (দেশী), লেবু  এর মূল্য হ্রাস পেয়েছে।</t>
  </si>
  <si>
    <t xml:space="preserve"> ঢাকা মহানগরীর নিত্য প্রয়োজনীয় দ্রব্যের খুচরা বাজারদর (মূল্য টাকায়)।                    সিরিয়াল নংঃ ১৬০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</si>
</sst>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3" fillId="0" borderId="0" xfId="3" applyFont="1" applyBorder="1" applyAlignment="1">
      <alignment horizontal="left" vertical="center" shrinkToFit="1"/>
    </xf>
    <xf numFmtId="0" fontId="13" fillId="5" borderId="0" xfId="3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6"/>
  <sheetViews>
    <sheetView tabSelected="1" topLeftCell="B1" zoomScale="98" zoomScaleNormal="98" workbookViewId="0">
      <selection activeCell="A3" sqref="A3:L3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2" t="s">
        <v>119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8" x14ac:dyDescent="0.3">
      <c r="A2" s="83" t="s">
        <v>120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8" x14ac:dyDescent="0.3">
      <c r="A3" s="84" t="s">
        <v>132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8" x14ac:dyDescent="0.3">
      <c r="A4" s="85" t="s">
        <v>130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P4" s="56"/>
      <c r="Q4" s="56"/>
      <c r="R4" s="56"/>
    </row>
    <row r="5" spans="1:18" x14ac:dyDescent="0.3">
      <c r="A5" s="86" t="s">
        <v>129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P5" s="57"/>
      <c r="Q5" s="58"/>
    </row>
    <row r="6" spans="1:18" s="29" customFormat="1" x14ac:dyDescent="0.3">
      <c r="A6" s="74" t="s">
        <v>1</v>
      </c>
      <c r="B6" s="74" t="s">
        <v>2</v>
      </c>
      <c r="C6" s="76" t="s">
        <v>3</v>
      </c>
      <c r="D6" s="77"/>
      <c r="E6" s="76" t="s">
        <v>4</v>
      </c>
      <c r="F6" s="77"/>
      <c r="G6" s="76" t="s">
        <v>5</v>
      </c>
      <c r="H6" s="77"/>
      <c r="I6" s="26" t="s">
        <v>6</v>
      </c>
      <c r="J6" s="76" t="s">
        <v>7</v>
      </c>
      <c r="K6" s="77"/>
      <c r="L6" s="28" t="s">
        <v>8</v>
      </c>
      <c r="M6" s="53"/>
    </row>
    <row r="7" spans="1:18" s="29" customFormat="1" x14ac:dyDescent="0.3">
      <c r="A7" s="75"/>
      <c r="B7" s="75"/>
      <c r="C7" s="78">
        <v>46207</v>
      </c>
      <c r="D7" s="79"/>
      <c r="E7" s="78">
        <v>46200</v>
      </c>
      <c r="F7" s="79"/>
      <c r="G7" s="78">
        <v>46177</v>
      </c>
      <c r="H7" s="79"/>
      <c r="I7" s="26" t="s">
        <v>9</v>
      </c>
      <c r="J7" s="80">
        <v>45842</v>
      </c>
      <c r="K7" s="81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52</v>
      </c>
      <c r="H10" s="41">
        <v>68</v>
      </c>
      <c r="I10" s="50">
        <f>((C10+D10)/2-(G10+H10)/2)/((G10+H10)/2)*100</f>
        <v>2.5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41">
        <v>48</v>
      </c>
      <c r="H11" s="41">
        <v>60</v>
      </c>
      <c r="I11" s="50">
        <f>((C11+D11)/2-(G11+H11)/2)/((G11+H11)/2)*100</f>
        <v>1.8518518518518516</v>
      </c>
      <c r="J11" s="60">
        <v>55</v>
      </c>
      <c r="K11" s="60">
        <v>60</v>
      </c>
      <c r="L11" s="51">
        <f>((C11+D11)/2-(J11+K11)/2)/((J11+K11)/2)*100</f>
        <v>-4.3478260869565215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56</v>
      </c>
      <c r="K15" s="60">
        <v>60</v>
      </c>
      <c r="L15" s="51">
        <f>((C15+D15)/2-(J15+K15)/2)/((J15+K15)/2)*100</f>
        <v>-0.86206896551724133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-0.52631578947368418</v>
      </c>
      <c r="J18" s="60">
        <v>162</v>
      </c>
      <c r="K18" s="60">
        <v>170</v>
      </c>
      <c r="L18" s="51">
        <f t="shared" ref="L18:L24" si="2">((C18+D18)/2-(J18+K18)/2)/((J18+K18)/2)*100</f>
        <v>13.855421686746988</v>
      </c>
      <c r="M18" s="53">
        <f t="shared" si="0"/>
        <v>0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915</v>
      </c>
      <c r="K19" s="60">
        <v>920</v>
      </c>
      <c r="L19" s="51">
        <f t="shared" si="2"/>
        <v>6.2670299727520433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148</v>
      </c>
      <c r="K22" s="60">
        <v>155</v>
      </c>
      <c r="L22" s="51">
        <f t="shared" si="2"/>
        <v>10.561056105610561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110</v>
      </c>
      <c r="K27" s="60">
        <v>120</v>
      </c>
      <c r="L27" s="51">
        <f t="shared" si="4"/>
        <v>2.1739130434782608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130</v>
      </c>
      <c r="K28" s="60">
        <v>135</v>
      </c>
      <c r="L28" s="51">
        <f t="shared" si="4"/>
        <v>16.981132075471699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70</v>
      </c>
      <c r="K30" s="60">
        <v>80</v>
      </c>
      <c r="L30" s="51">
        <f t="shared" si="4"/>
        <v>-10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40</v>
      </c>
      <c r="F34" s="43">
        <v>45</v>
      </c>
      <c r="G34" s="43">
        <v>40</v>
      </c>
      <c r="H34" s="43">
        <v>45</v>
      </c>
      <c r="I34" s="50">
        <f t="shared" ref="I34:I49" si="5">((C34+D34)/2-(G34+H34)/2)/((G34+H34)/2)*100</f>
        <v>0</v>
      </c>
      <c r="J34" s="60">
        <v>55</v>
      </c>
      <c r="K34" s="60">
        <v>60</v>
      </c>
      <c r="L34" s="51">
        <f t="shared" ref="L34:L49" si="6">((C34+D34)/2-(J34+K34)/2)/((J34+K34)/2)*100</f>
        <v>-26.086956521739129</v>
      </c>
      <c r="M34" s="53">
        <f>((C34+D34)/2-(E34+F34)/2)/((E34+F34)/2)*100</f>
        <v>0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90</v>
      </c>
      <c r="D36" s="41">
        <v>140</v>
      </c>
      <c r="E36" s="41">
        <v>70</v>
      </c>
      <c r="F36" s="41">
        <v>140</v>
      </c>
      <c r="G36" s="41">
        <v>60</v>
      </c>
      <c r="H36" s="41">
        <v>140</v>
      </c>
      <c r="I36" s="50">
        <f t="shared" si="5"/>
        <v>15</v>
      </c>
      <c r="J36" s="60">
        <v>110</v>
      </c>
      <c r="K36" s="60">
        <v>140</v>
      </c>
      <c r="L36" s="51">
        <f t="shared" si="6"/>
        <v>-8</v>
      </c>
      <c r="M36" s="53">
        <f t="shared" si="0"/>
        <v>9.5238095238095237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220</v>
      </c>
      <c r="G37" s="43">
        <v>130</v>
      </c>
      <c r="H37" s="41">
        <v>220</v>
      </c>
      <c r="I37" s="50">
        <f t="shared" si="5"/>
        <v>-8.5714285714285712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-5.8823529411764701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360</v>
      </c>
      <c r="I38" s="50">
        <f t="shared" si="5"/>
        <v>-2.8571428571428572</v>
      </c>
      <c r="J38" s="60">
        <v>300</v>
      </c>
      <c r="K38" s="60">
        <v>350</v>
      </c>
      <c r="L38" s="51">
        <f t="shared" si="6"/>
        <v>4.6153846153846159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350</v>
      </c>
      <c r="K39" s="60">
        <v>450</v>
      </c>
      <c r="L39" s="51">
        <f t="shared" si="6"/>
        <v>3.75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3">
        <v>300</v>
      </c>
      <c r="H40" s="43">
        <v>350</v>
      </c>
      <c r="I40" s="50">
        <f t="shared" si="5"/>
        <v>3.0769230769230771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3">
        <v>280</v>
      </c>
      <c r="H41" s="43">
        <v>400</v>
      </c>
      <c r="I41" s="50">
        <f t="shared" si="5"/>
        <v>-4.4117647058823533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41">
        <v>140</v>
      </c>
      <c r="H42" s="41">
        <v>160</v>
      </c>
      <c r="I42" s="50">
        <f t="shared" si="5"/>
        <v>-3.3333333333333335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640</v>
      </c>
      <c r="K44" s="60">
        <v>750</v>
      </c>
      <c r="L44" s="51">
        <f t="shared" si="6"/>
        <v>-6.4748201438848918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500</v>
      </c>
      <c r="K45" s="60">
        <v>600</v>
      </c>
      <c r="L45" s="51">
        <f t="shared" si="6"/>
        <v>0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4500</v>
      </c>
      <c r="K47" s="60">
        <v>5200</v>
      </c>
      <c r="L47" s="51">
        <f t="shared" si="6"/>
        <v>4.1237113402061851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1800</v>
      </c>
      <c r="L52" s="51">
        <f t="shared" si="8"/>
        <v>-3.7037037037037033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160</v>
      </c>
      <c r="F55" s="41">
        <v>180</v>
      </c>
      <c r="G55" s="41">
        <v>170</v>
      </c>
      <c r="H55" s="41">
        <v>200</v>
      </c>
      <c r="I55" s="50">
        <f t="shared" si="7"/>
        <v>-8.1081081081081088</v>
      </c>
      <c r="J55" s="60">
        <v>150</v>
      </c>
      <c r="K55" s="60">
        <v>160</v>
      </c>
      <c r="L55" s="51">
        <f t="shared" si="8"/>
        <v>9.67741935483871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830</v>
      </c>
      <c r="D58" s="41">
        <v>900</v>
      </c>
      <c r="E58" s="41">
        <v>720</v>
      </c>
      <c r="F58" s="41">
        <v>860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9.4936708860759502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 x14ac:dyDescent="0.3">
      <c r="A65" s="74" t="s">
        <v>1</v>
      </c>
      <c r="B65" s="74" t="s">
        <v>2</v>
      </c>
      <c r="C65" s="76" t="s">
        <v>3</v>
      </c>
      <c r="D65" s="77"/>
      <c r="E65" s="76" t="s">
        <v>4</v>
      </c>
      <c r="F65" s="77"/>
      <c r="G65" s="76" t="s">
        <v>5</v>
      </c>
      <c r="H65" s="77"/>
      <c r="I65" s="26" t="s">
        <v>6</v>
      </c>
      <c r="J65" s="76" t="s">
        <v>7</v>
      </c>
      <c r="K65" s="77"/>
      <c r="L65" s="26" t="s">
        <v>8</v>
      </c>
    </row>
    <row r="66" spans="1:13" ht="18" customHeight="1" x14ac:dyDescent="0.3">
      <c r="A66" s="75"/>
      <c r="B66" s="75"/>
      <c r="C66" s="78">
        <v>46207</v>
      </c>
      <c r="D66" s="79"/>
      <c r="E66" s="78">
        <v>46200</v>
      </c>
      <c r="F66" s="79"/>
      <c r="G66" s="78">
        <v>46177</v>
      </c>
      <c r="H66" s="79"/>
      <c r="I66" s="26" t="s">
        <v>9</v>
      </c>
      <c r="J66" s="80">
        <v>45842</v>
      </c>
      <c r="K66" s="81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-65.217391304347828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ht="18.75" x14ac:dyDescent="0.2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8.75" x14ac:dyDescent="0.25">
      <c r="A72" s="47" t="s">
        <v>105</v>
      </c>
      <c r="B72" s="54" t="s">
        <v>14</v>
      </c>
      <c r="C72" s="41">
        <v>80</v>
      </c>
      <c r="D72" s="41">
        <v>140</v>
      </c>
      <c r="E72" s="41">
        <v>80</v>
      </c>
      <c r="F72" s="41">
        <v>120</v>
      </c>
      <c r="G72" s="41">
        <v>80</v>
      </c>
      <c r="H72" s="41">
        <v>150</v>
      </c>
      <c r="I72" s="50">
        <f t="shared" si="11"/>
        <v>-4.3478260869565215</v>
      </c>
      <c r="J72" s="49">
        <v>60</v>
      </c>
      <c r="K72" s="49">
        <v>120</v>
      </c>
      <c r="L72" s="51">
        <f t="shared" si="9"/>
        <v>22.222222222222221</v>
      </c>
      <c r="M72" s="53">
        <f t="shared" si="12"/>
        <v>10</v>
      </c>
    </row>
    <row r="73" spans="1:13" s="53" customFormat="1" ht="18.75" x14ac:dyDescent="0.25">
      <c r="A73" s="47" t="s">
        <v>106</v>
      </c>
      <c r="B73" s="54" t="s">
        <v>14</v>
      </c>
      <c r="C73" s="41">
        <v>80</v>
      </c>
      <c r="D73" s="41">
        <v>100</v>
      </c>
      <c r="E73" s="41">
        <v>70</v>
      </c>
      <c r="F73" s="41">
        <v>80</v>
      </c>
      <c r="G73" s="41">
        <v>80</v>
      </c>
      <c r="H73" s="41">
        <v>120</v>
      </c>
      <c r="I73" s="50">
        <f t="shared" si="11"/>
        <v>-10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20</v>
      </c>
    </row>
    <row r="74" spans="1:13" s="53" customFormat="1" ht="18.75" x14ac:dyDescent="0.25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41">
        <v>50</v>
      </c>
      <c r="H74" s="41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88" t="s">
        <v>131</v>
      </c>
      <c r="C81" s="88"/>
      <c r="D81" s="88"/>
      <c r="E81" s="88"/>
      <c r="F81" s="88"/>
      <c r="G81" s="88"/>
      <c r="H81" s="88"/>
      <c r="I81" s="88"/>
      <c r="J81" s="88"/>
      <c r="K81" s="88"/>
      <c r="L81" s="88"/>
    </row>
    <row r="82" spans="1:12" x14ac:dyDescent="0.3">
      <c r="A82" s="7"/>
      <c r="B82" s="88" t="s">
        <v>126</v>
      </c>
      <c r="C82" s="88"/>
      <c r="D82" s="88"/>
      <c r="E82" s="88"/>
      <c r="F82" s="88"/>
      <c r="G82" s="88"/>
      <c r="H82" s="88"/>
      <c r="I82" s="88"/>
      <c r="J82" s="88"/>
      <c r="K82" s="88"/>
      <c r="L82" s="8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6" t="s">
        <v>3</v>
      </c>
      <c r="D85" s="77"/>
      <c r="E85" s="89" t="s">
        <v>78</v>
      </c>
      <c r="F85" s="90"/>
      <c r="G85" s="27" t="s">
        <v>9</v>
      </c>
      <c r="H85" s="76" t="s">
        <v>79</v>
      </c>
      <c r="I85" s="87"/>
      <c r="J85" s="77"/>
      <c r="K85" s="10"/>
      <c r="L85" s="2"/>
    </row>
    <row r="86" spans="1:12" x14ac:dyDescent="0.3">
      <c r="A86" s="47" t="s">
        <v>40</v>
      </c>
      <c r="B86" s="48" t="s">
        <v>14</v>
      </c>
      <c r="C86" s="41">
        <v>90</v>
      </c>
      <c r="D86" s="41">
        <v>140</v>
      </c>
      <c r="E86" s="41">
        <v>70</v>
      </c>
      <c r="F86" s="41">
        <v>140</v>
      </c>
      <c r="G86" s="32">
        <f t="shared" ref="G86:G91" si="13">((C86+D86)/2-(E86+F86)/2)/((E86+F86)/2)*100</f>
        <v>9.5238095238095237</v>
      </c>
      <c r="H86" s="76" t="s">
        <v>125</v>
      </c>
      <c r="I86" s="87"/>
      <c r="J86" s="77"/>
      <c r="K86" s="10"/>
      <c r="L86" s="2"/>
    </row>
    <row r="87" spans="1:12" x14ac:dyDescent="0.3">
      <c r="A87" s="47" t="s">
        <v>41</v>
      </c>
      <c r="B87" s="48" t="s">
        <v>14</v>
      </c>
      <c r="C87" s="43">
        <v>120</v>
      </c>
      <c r="D87" s="41">
        <v>200</v>
      </c>
      <c r="E87" s="43">
        <v>120</v>
      </c>
      <c r="F87" s="41">
        <v>220</v>
      </c>
      <c r="G87" s="32">
        <f t="shared" si="13"/>
        <v>-5.8823529411764701</v>
      </c>
      <c r="H87" s="76" t="s">
        <v>128</v>
      </c>
      <c r="I87" s="87"/>
      <c r="J87" s="77"/>
      <c r="K87" s="10"/>
      <c r="L87" s="2"/>
    </row>
    <row r="88" spans="1:12" x14ac:dyDescent="0.3">
      <c r="A88" s="47" t="s">
        <v>46</v>
      </c>
      <c r="B88" s="48" t="s">
        <v>14</v>
      </c>
      <c r="C88" s="41">
        <v>130</v>
      </c>
      <c r="D88" s="41">
        <v>160</v>
      </c>
      <c r="E88" s="41">
        <v>140</v>
      </c>
      <c r="F88" s="41">
        <v>160</v>
      </c>
      <c r="G88" s="32">
        <f t="shared" si="13"/>
        <v>-3.3333333333333335</v>
      </c>
      <c r="H88" s="76" t="s">
        <v>124</v>
      </c>
      <c r="I88" s="87"/>
      <c r="J88" s="77"/>
      <c r="K88" s="10"/>
      <c r="L88" s="2"/>
    </row>
    <row r="89" spans="1:12" x14ac:dyDescent="0.3">
      <c r="A89" s="47" t="s">
        <v>104</v>
      </c>
      <c r="B89" s="54" t="s">
        <v>69</v>
      </c>
      <c r="C89" s="41">
        <v>20</v>
      </c>
      <c r="D89" s="41">
        <v>25</v>
      </c>
      <c r="E89" s="41">
        <v>20</v>
      </c>
      <c r="F89" s="41">
        <v>30</v>
      </c>
      <c r="G89" s="32">
        <f t="shared" si="13"/>
        <v>-10</v>
      </c>
      <c r="H89" s="76" t="s">
        <v>128</v>
      </c>
      <c r="I89" s="87"/>
      <c r="J89" s="77"/>
      <c r="K89" s="10"/>
      <c r="L89" s="73"/>
    </row>
    <row r="90" spans="1:12" x14ac:dyDescent="0.3">
      <c r="A90" s="47" t="s">
        <v>105</v>
      </c>
      <c r="B90" s="54" t="s">
        <v>14</v>
      </c>
      <c r="C90" s="41">
        <v>80</v>
      </c>
      <c r="D90" s="41">
        <v>140</v>
      </c>
      <c r="E90" s="41">
        <v>80</v>
      </c>
      <c r="F90" s="41">
        <v>120</v>
      </c>
      <c r="G90" s="32">
        <f t="shared" si="13"/>
        <v>10</v>
      </c>
      <c r="H90" s="76" t="s">
        <v>125</v>
      </c>
      <c r="I90" s="87"/>
      <c r="J90" s="77"/>
      <c r="K90" s="10"/>
      <c r="L90" s="2"/>
    </row>
    <row r="91" spans="1:12" x14ac:dyDescent="0.3">
      <c r="A91" s="47" t="s">
        <v>106</v>
      </c>
      <c r="B91" s="54" t="s">
        <v>14</v>
      </c>
      <c r="C91" s="41">
        <v>80</v>
      </c>
      <c r="D91" s="41">
        <v>100</v>
      </c>
      <c r="E91" s="41">
        <v>70</v>
      </c>
      <c r="F91" s="41">
        <v>80</v>
      </c>
      <c r="G91" s="32">
        <f t="shared" si="13"/>
        <v>20</v>
      </c>
      <c r="H91" s="76" t="s">
        <v>127</v>
      </c>
      <c r="I91" s="87"/>
      <c r="J91" s="77"/>
      <c r="K91" s="10"/>
      <c r="L91" s="55"/>
    </row>
    <row r="92" spans="1:12" x14ac:dyDescent="0.3">
      <c r="A92" s="71"/>
      <c r="B92" s="72"/>
      <c r="C92" s="68"/>
      <c r="D92" s="68"/>
      <c r="E92" s="68"/>
      <c r="F92" s="68"/>
      <c r="G92" s="70"/>
      <c r="H92" s="7"/>
      <c r="I92" s="1"/>
      <c r="J92" s="1"/>
      <c r="K92" s="10"/>
      <c r="L92" s="12"/>
    </row>
    <row r="93" spans="1:12" x14ac:dyDescent="0.3">
      <c r="A93" s="66"/>
      <c r="B93" s="67"/>
      <c r="C93" s="68"/>
      <c r="D93" s="69"/>
      <c r="E93" s="68"/>
      <c r="F93" s="69"/>
      <c r="G93" s="70"/>
      <c r="H93" s="7"/>
      <c r="I93" s="1"/>
      <c r="J93" s="1"/>
      <c r="K93" s="10"/>
      <c r="L93" s="12"/>
    </row>
    <row r="94" spans="1:12" x14ac:dyDescent="0.3">
      <c r="A94" s="7"/>
      <c r="B94" s="13"/>
      <c r="C94" s="3"/>
      <c r="D94" s="3"/>
      <c r="E94" s="3"/>
      <c r="F94" s="3"/>
      <c r="G94" s="4"/>
      <c r="H94" s="7"/>
      <c r="I94" s="1"/>
      <c r="J94" s="1"/>
      <c r="K94" s="12"/>
      <c r="L94" s="12"/>
    </row>
    <row r="95" spans="1:12" x14ac:dyDescent="0.3">
      <c r="A95" s="7"/>
      <c r="B95" s="14" t="s">
        <v>114</v>
      </c>
      <c r="C95" s="2"/>
      <c r="E95" s="7"/>
      <c r="F95" s="14" t="s">
        <v>102</v>
      </c>
      <c r="G95" s="2"/>
      <c r="I95" s="15"/>
      <c r="J95" s="1" t="s">
        <v>122</v>
      </c>
      <c r="K95" s="2"/>
      <c r="L95" s="12"/>
    </row>
    <row r="96" spans="1:12" x14ac:dyDescent="0.3">
      <c r="A96" s="16"/>
      <c r="B96" s="14" t="s">
        <v>113</v>
      </c>
      <c r="C96" s="1"/>
      <c r="E96" s="16"/>
      <c r="F96" s="14" t="s">
        <v>103</v>
      </c>
      <c r="G96" s="1"/>
      <c r="I96" s="17"/>
      <c r="J96" s="1" t="s">
        <v>123</v>
      </c>
      <c r="L96" s="12"/>
    </row>
    <row r="97" spans="1:12" x14ac:dyDescent="0.3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 x14ac:dyDescent="0.3">
      <c r="A98" s="7"/>
      <c r="B98" s="1"/>
      <c r="C98" s="3"/>
      <c r="D98" s="3"/>
      <c r="E98" s="3"/>
      <c r="F98" s="3"/>
      <c r="G98" s="4"/>
      <c r="H98" s="18"/>
      <c r="I98" s="12"/>
      <c r="J98" s="12"/>
      <c r="K98" s="12"/>
      <c r="L98" s="12"/>
    </row>
    <row r="99" spans="1:12" x14ac:dyDescent="0.3">
      <c r="A99" s="7"/>
      <c r="C99" s="6"/>
      <c r="D99" s="6"/>
      <c r="E99" s="1"/>
      <c r="F99" s="6"/>
      <c r="G99" s="4"/>
      <c r="H99" s="18"/>
      <c r="I99" s="12"/>
      <c r="J99" s="12"/>
      <c r="K99" s="12"/>
      <c r="L99" s="12"/>
    </row>
    <row r="100" spans="1:12" x14ac:dyDescent="0.3">
      <c r="A100" s="19" t="s">
        <v>86</v>
      </c>
      <c r="B100" s="20"/>
      <c r="C100" s="21"/>
      <c r="D100" s="20"/>
      <c r="E100" s="21"/>
      <c r="F100" s="21"/>
      <c r="G100" s="21"/>
      <c r="H100" s="22"/>
      <c r="I100" s="2"/>
      <c r="J100" s="2"/>
      <c r="K100" s="2"/>
      <c r="L100" s="2"/>
    </row>
    <row r="101" spans="1:12" x14ac:dyDescent="0.3">
      <c r="A101" s="23" t="s">
        <v>115</v>
      </c>
      <c r="B101" s="20"/>
      <c r="C101" s="21"/>
      <c r="D101" s="20"/>
      <c r="E101" s="21"/>
      <c r="F101" s="21"/>
      <c r="G101" s="20"/>
      <c r="H101" s="22"/>
      <c r="I101" s="2"/>
      <c r="J101" s="2"/>
      <c r="K101" s="2"/>
      <c r="L101" s="2"/>
    </row>
    <row r="102" spans="1:12" x14ac:dyDescent="0.3">
      <c r="A102" s="23" t="s">
        <v>108</v>
      </c>
      <c r="B102" s="20"/>
      <c r="C102" s="20"/>
      <c r="D102" s="20"/>
      <c r="E102" s="20"/>
      <c r="F102" s="21"/>
      <c r="G102" s="20"/>
      <c r="H102" s="22"/>
      <c r="I102" s="2"/>
      <c r="J102" s="2"/>
      <c r="K102" s="2"/>
      <c r="L102" s="2"/>
    </row>
    <row r="103" spans="1:12" x14ac:dyDescent="0.3">
      <c r="A103" s="23" t="s">
        <v>80</v>
      </c>
      <c r="B103" s="20"/>
      <c r="C103" s="20"/>
      <c r="D103" s="20"/>
      <c r="E103" s="20"/>
      <c r="F103" s="22"/>
      <c r="G103" s="22"/>
      <c r="H103" s="22"/>
      <c r="I103" s="2"/>
      <c r="J103" s="2"/>
      <c r="K103" s="2"/>
      <c r="L103" s="2"/>
    </row>
    <row r="104" spans="1:12" x14ac:dyDescent="0.3">
      <c r="A104" s="23" t="s">
        <v>109</v>
      </c>
      <c r="B104" s="20"/>
      <c r="C104" s="20"/>
      <c r="D104" s="20"/>
      <c r="E104" s="20"/>
      <c r="F104" s="20"/>
      <c r="G104" s="22"/>
      <c r="H104" s="22"/>
      <c r="I104" s="2"/>
      <c r="J104" s="2"/>
      <c r="K104" s="2"/>
      <c r="L104" s="2"/>
    </row>
    <row r="105" spans="1:12" x14ac:dyDescent="0.3">
      <c r="A105" s="23" t="s">
        <v>89</v>
      </c>
      <c r="B105" s="20"/>
      <c r="C105" s="20"/>
      <c r="D105" s="20"/>
      <c r="E105" s="20"/>
      <c r="F105" s="20"/>
      <c r="G105" s="20"/>
      <c r="H105" s="22"/>
      <c r="I105" s="2"/>
      <c r="J105" s="2"/>
      <c r="K105" s="2"/>
      <c r="L105" s="2"/>
    </row>
    <row r="106" spans="1:12" x14ac:dyDescent="0.3">
      <c r="A106" s="23" t="s">
        <v>95</v>
      </c>
      <c r="B106" s="20"/>
      <c r="C106" s="20"/>
      <c r="D106" s="20"/>
      <c r="E106" s="20"/>
      <c r="F106" s="20"/>
      <c r="G106" s="20"/>
      <c r="H106" s="22"/>
      <c r="I106" s="2"/>
      <c r="J106" s="2"/>
      <c r="K106" s="2"/>
      <c r="L106" s="2"/>
    </row>
    <row r="107" spans="1:12" x14ac:dyDescent="0.3">
      <c r="A107" s="23" t="s">
        <v>88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87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81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90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116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91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92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110</v>
      </c>
      <c r="B114" s="20"/>
      <c r="C114" s="20"/>
      <c r="D114" s="20"/>
      <c r="E114" s="20"/>
      <c r="F114" s="20"/>
      <c r="G114" s="20"/>
      <c r="H114" s="24"/>
      <c r="I114" s="12"/>
      <c r="J114" s="12"/>
      <c r="K114" s="12"/>
      <c r="L114" s="12"/>
    </row>
    <row r="115" spans="1:12" x14ac:dyDescent="0.3">
      <c r="A115" s="23"/>
      <c r="B115" s="20"/>
      <c r="C115" s="20"/>
      <c r="D115" s="20"/>
      <c r="E115" s="20"/>
      <c r="F115" s="20"/>
      <c r="G115" s="20"/>
      <c r="H115" s="24"/>
      <c r="I115" s="12"/>
      <c r="J115" s="12"/>
      <c r="K115" s="12"/>
      <c r="L115" s="12"/>
    </row>
    <row r="116" spans="1:12" x14ac:dyDescent="0.3">
      <c r="A116" s="19" t="s">
        <v>82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23" t="s">
        <v>83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23" t="s">
        <v>117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118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99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436" spans="2:2" x14ac:dyDescent="0.3">
      <c r="B436" s="11" t="s">
        <v>112</v>
      </c>
    </row>
  </sheetData>
  <mergeCells count="36">
    <mergeCell ref="H90:J90"/>
    <mergeCell ref="H88:J88"/>
    <mergeCell ref="H89:J89"/>
    <mergeCell ref="B81:L81"/>
    <mergeCell ref="H86:J86"/>
    <mergeCell ref="H87:J87"/>
    <mergeCell ref="H91:J91"/>
    <mergeCell ref="C85:D85"/>
    <mergeCell ref="E85:F85"/>
    <mergeCell ref="H85:J85"/>
    <mergeCell ref="B82:L8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2026-06-30T08:56:03Z</cp:lastPrinted>
  <dcterms:created xsi:type="dcterms:W3CDTF">2021-06-05T07:13:00Z</dcterms:created>
  <dcterms:modified xsi:type="dcterms:W3CDTF">2026-07-02T09:25:13Z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