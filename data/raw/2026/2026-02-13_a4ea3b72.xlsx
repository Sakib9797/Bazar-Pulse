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8_{D5259902-F4D8-5045-9A1D-88F8C6CCA9D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4" l="1"/>
  <c r="G87" i="4"/>
  <c r="G86" i="4"/>
  <c r="G85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<sst xmlns="http://schemas.openxmlformats.org/spreadsheetml/2006/main" count="223" uniqueCount="128">
  <si>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</si>
  <si>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</si>
  <si>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</si>
  <si>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</si>
  <si>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</si>
  <si>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</si>
  <si>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</si>
  <si>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</si>
  <si>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</si>
  <si>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</si>
  <si>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</si>
  <si>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</si>
  <si>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</si>
  <si>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</si>
  <si>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</si>
  <si>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</si>
  <si>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</si>
  <si>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</si>
  <si>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</si>
  <si>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</si>
  <si>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</si>
  <si>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</si>
  <si>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</si>
  <si>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</si>
  <si>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</si>
  <si>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</si>
  <si>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</si>
  <si>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</si>
  <si>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</si>
  <si>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</si>
  <si>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</si>
  <si>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</si>
  <si>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</si>
  <si>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</si>
  <si>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</si>
  <si>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</si>
  <si>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</si>
  <si>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</si>
  <si>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</si>
  <si>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</si>
  <si>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</si>
  <si>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</si>
  <si>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</si>
  <si>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</si>
  <si>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</si>
  <si>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</si>
  <si>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</si>
  <si>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</si>
  <si>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</si>
  <si>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</si>
  <si>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</si>
  <si>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</si>
  <si>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</si>
  <si>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</si>
  <si>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</si>
  <si>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</si>
  <si>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</si>
  <si>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</si>
  <si>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</si>
  <si>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</si>
  <si>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</si>
  <si>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</si>
  <si>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</si>
  <si>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</si>
  <si>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</si>
  <si>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</si>
  <si>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</si>
  <si>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</si>
  <si>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</si>
  <si>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</si>
  <si>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</si>
  <si>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</si>
  <si>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</si>
  <si>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</si>
  <si>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</si>
  <si>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</si>
  <si>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</si>
  <si>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</si>
  <si>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</si>
  <si>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</si>
  <si>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</si>
  <si>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</si>
  <si>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</si>
  <si>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</si>
  <si>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</si>
  <si>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</si>
  <si>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</si>
  <si>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</si>
  <si>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</si>
  <si>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</si>
  <si>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</si>
  <si>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</si>
  <si>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</si>
  <si>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</si>
  <si>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</si>
  <si>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</si>
  <si>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</si>
  <si>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</si>
  <si>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</si>
  <si>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</si>
  <si>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</si>
  <si>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</si>
  <si>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</si>
  <si>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</si>
  <si>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</si>
  <si>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</si>
  <si>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</si>
  <si>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</si>
  <si>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</si>
  <si>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</si>
  <si>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</si>
  <si>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</si>
  <si>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</si>
  <si>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</si>
  <si>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</si>
  <si>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</si>
  <si>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</si>
  <si>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</si>
  <si>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</si>
  <si>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০৯-০২-২০২৬ তারিখে মূল্য হ্রাস পেয়েছে।</t>
  </si>
  <si>
    <t xml:space="preserve">যে সকল বাজার হতে তথ্য সংগ্রহ করা হয়েছেঃ- কাওরান বাজার, মোহাম্মদপুর টাউন হল, রামপুরা, নিউমার্কেট, মিরপুর-৬, মহাখালী  বাজার।   </t>
  </si>
  <si>
    <t>১০-০২-২০২৬ তারিখে মূল্য বৃদ্ধি পেয়েছে।</t>
  </si>
  <si>
    <t>স্মারক নং-২৬.০৫.০০০০.০১৭.৩১.০১.২৬-১৩১</t>
  </si>
  <si>
    <t xml:space="preserve">শুক্রবার ১৩ ফেব্রুয়ারী ২০২৬ খ্রিঃ, ৩০ মাঘ ১৪৩২ বাংলা, ২৪ শাবান ১৪৪৭ হিজরি </t>
  </si>
  <si>
    <t xml:space="preserve">   সিরিয়াল নংঃ     ০৪১</t>
  </si>
  <si>
    <t>১৩-০২-২০২৬ তারিখে মূল্য হ্রাস পেয়েছে।</t>
  </si>
  <si>
    <t>(১)    আলু, পেঁয়াজ (দেশী)    এর মূল্য হ্রাস পেয়েছে।</t>
  </si>
  <si>
    <t>(২)     ‍মুরগী ব্রয়লার, চিনি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</si>
</sst>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9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6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7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8987</xdr:colOff>
      <xdr:row>0</xdr:row>
      <xdr:rowOff>0</xdr:rowOff>
    </xdr:from>
    <xdr:to>
      <xdr:col>12</xdr:col>
      <xdr:colOff>44929</xdr:colOff>
      <xdr:row>5</xdr:row>
      <xdr:rowOff>26957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D593C-B43E-B2C5-7940-C3CB5D5D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9930" y="0"/>
          <a:ext cx="1869056" cy="117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14"/>
  <sheetViews>
    <sheetView tabSelected="1" topLeftCell="H1" zoomScale="112" zoomScaleNormal="112" workbookViewId="0">
      <selection activeCell="L8" sqref="L8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10.8125" customWidth="1"/>
    <col min="11" max="11" width="9.4140625" customWidth="1"/>
    <col min="12" max="12" width="9.765625" customWidth="1"/>
  </cols>
  <sheetData>
    <row r="4" spans="1:12" ht="21" x14ac:dyDescent="0.2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" x14ac:dyDescent="0.25">
      <c r="A5" s="18"/>
      <c r="B5" s="19"/>
      <c r="C5" s="19"/>
      <c r="D5" s="17"/>
      <c r="E5" s="19"/>
      <c r="F5" s="19" t="s">
        <v>102</v>
      </c>
      <c r="G5" s="19"/>
      <c r="H5" s="19"/>
      <c r="I5" s="19"/>
      <c r="J5" s="19"/>
      <c r="K5" s="48"/>
      <c r="L5" s="19"/>
    </row>
    <row r="6" spans="1:12" ht="21" x14ac:dyDescent="0.2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6" t="s">
        <v>124</v>
      </c>
      <c r="L6" s="87"/>
    </row>
    <row r="7" spans="1:12" ht="19.5" customHeight="1" x14ac:dyDescent="0.25">
      <c r="A7" s="17"/>
      <c r="B7" s="8"/>
      <c r="C7" s="8"/>
      <c r="D7" s="17"/>
      <c r="E7" s="8"/>
      <c r="F7" s="8" t="s">
        <v>123</v>
      </c>
      <c r="G7" s="8"/>
      <c r="H7" s="8"/>
      <c r="I7" s="8"/>
      <c r="J7" s="8"/>
      <c r="K7" s="8"/>
      <c r="L7" s="49"/>
    </row>
    <row r="8" spans="1:12" ht="21" x14ac:dyDescent="0.25">
      <c r="A8" s="20" t="s">
        <v>122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46066</v>
      </c>
    </row>
    <row r="9" spans="1:12" ht="21" x14ac:dyDescent="0.25">
      <c r="A9" s="25" t="s">
        <v>4</v>
      </c>
      <c r="B9" s="26" t="s">
        <v>5</v>
      </c>
      <c r="C9" s="86" t="s">
        <v>6</v>
      </c>
      <c r="D9" s="87"/>
      <c r="E9" s="86" t="s">
        <v>7</v>
      </c>
      <c r="F9" s="87"/>
      <c r="G9" s="86" t="s">
        <v>8</v>
      </c>
      <c r="H9" s="87"/>
      <c r="I9" s="26" t="s">
        <v>9</v>
      </c>
      <c r="J9" s="86" t="s">
        <v>10</v>
      </c>
      <c r="K9" s="87"/>
      <c r="L9" s="27" t="s">
        <v>11</v>
      </c>
    </row>
    <row r="10" spans="1:12" ht="21" x14ac:dyDescent="0.25">
      <c r="A10" s="25"/>
      <c r="B10" s="26"/>
      <c r="C10" s="88">
        <v>46066</v>
      </c>
      <c r="D10" s="87"/>
      <c r="E10" s="88">
        <v>46059</v>
      </c>
      <c r="F10" s="87"/>
      <c r="G10" s="88">
        <v>46035</v>
      </c>
      <c r="H10" s="87"/>
      <c r="I10" s="26" t="s">
        <v>12</v>
      </c>
      <c r="J10" s="88">
        <v>45701</v>
      </c>
      <c r="K10" s="87"/>
      <c r="L10" s="26" t="s">
        <v>12</v>
      </c>
    </row>
    <row r="11" spans="1:12" ht="21" x14ac:dyDescent="0.2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" x14ac:dyDescent="0.3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84</v>
      </c>
      <c r="L12" s="31">
        <f>((C12+D12)/2-(J12+K12)/2)/((J12+K12)/2)*100</f>
        <v>-0.64102564102564097</v>
      </c>
    </row>
    <row r="13" spans="1:12" ht="21" x14ac:dyDescent="0.3">
      <c r="A13" s="69" t="s">
        <v>103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64</v>
      </c>
      <c r="L13" s="31">
        <f>((C13+D13)/2-(J13+K13)/2)/((J13+K13)/2)*100</f>
        <v>3.278688524590164</v>
      </c>
    </row>
    <row r="14" spans="1:12" ht="21" x14ac:dyDescent="0.3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 x14ac:dyDescent="0.3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" x14ac:dyDescent="0.3">
      <c r="A16" s="69" t="s">
        <v>21</v>
      </c>
      <c r="B16" s="6" t="s">
        <v>18</v>
      </c>
      <c r="C16" s="29">
        <v>44</v>
      </c>
      <c r="D16" s="29">
        <v>50</v>
      </c>
      <c r="E16" s="29">
        <v>44</v>
      </c>
      <c r="F16" s="29">
        <v>50</v>
      </c>
      <c r="G16" s="29">
        <v>45</v>
      </c>
      <c r="H16" s="29">
        <v>50</v>
      </c>
      <c r="I16" s="30">
        <f>((C16+D16)/2-(G16+H16)/2)/((G16+H16)/2)*100</f>
        <v>-1.0526315789473684</v>
      </c>
      <c r="J16" s="29">
        <v>40</v>
      </c>
      <c r="K16" s="29">
        <v>45</v>
      </c>
      <c r="L16" s="31">
        <f>((C16+D16)/2-(J16+K16)/2)/((J16+K16)/2)*100</f>
        <v>10.588235294117647</v>
      </c>
    </row>
    <row r="17" spans="1:12" ht="21" x14ac:dyDescent="0.3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" x14ac:dyDescent="0.3">
      <c r="A18" s="69" t="s">
        <v>24</v>
      </c>
      <c r="B18" s="6" t="s">
        <v>18</v>
      </c>
      <c r="C18" s="29">
        <v>52</v>
      </c>
      <c r="D18" s="29">
        <v>65</v>
      </c>
      <c r="E18" s="29">
        <v>52</v>
      </c>
      <c r="F18" s="29">
        <v>65</v>
      </c>
      <c r="G18" s="29">
        <v>55</v>
      </c>
      <c r="H18" s="29">
        <v>65</v>
      </c>
      <c r="I18" s="30">
        <f>((C18+D18)/2-(G18+H18)/2)/((G18+H18)/2)*100</f>
        <v>-2.5</v>
      </c>
      <c r="J18" s="29">
        <v>55</v>
      </c>
      <c r="K18" s="29">
        <v>60</v>
      </c>
      <c r="L18" s="31">
        <f>((C18+D18)/2-(J18+K18)/2)/((J18+K18)/2)*100</f>
        <v>1.7391304347826086</v>
      </c>
    </row>
    <row r="19" spans="1:12" ht="21" x14ac:dyDescent="0.3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 x14ac:dyDescent="0.3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" x14ac:dyDescent="0.3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174</v>
      </c>
      <c r="H21" s="29">
        <v>185</v>
      </c>
      <c r="I21" s="30">
        <f t="shared" ref="I21:I27" si="0">((C21+D21)/2-(G21+H21)/2)/((G21+H21)/2)*100</f>
        <v>0.2785515320334262</v>
      </c>
      <c r="J21" s="29">
        <v>180</v>
      </c>
      <c r="K21" s="29">
        <v>185</v>
      </c>
      <c r="L21" s="31">
        <f t="shared" ref="L21:L27" si="1">((C21+D21)/2-(J21+K21)/2)/((J21+K21)/2)*100</f>
        <v>-1.3698630136986301</v>
      </c>
    </row>
    <row r="22" spans="1:12" ht="21" x14ac:dyDescent="0.3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" x14ac:dyDescent="0.3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378</v>
      </c>
      <c r="H23" s="29">
        <v>395</v>
      </c>
      <c r="I23" s="30">
        <f t="shared" si="0"/>
        <v>0.90556274256144886</v>
      </c>
      <c r="J23" s="29">
        <v>348</v>
      </c>
      <c r="K23" s="29">
        <v>350</v>
      </c>
      <c r="L23" s="31">
        <f t="shared" si="1"/>
        <v>11.74785100286533</v>
      </c>
    </row>
    <row r="24" spans="1:12" ht="21" x14ac:dyDescent="0.3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198</v>
      </c>
      <c r="I24" s="30">
        <f t="shared" si="0"/>
        <v>-0.77319587628865982</v>
      </c>
      <c r="J24" s="29">
        <v>175</v>
      </c>
      <c r="K24" s="29">
        <v>176</v>
      </c>
      <c r="L24" s="31">
        <f t="shared" si="1"/>
        <v>9.6866096866096854</v>
      </c>
    </row>
    <row r="25" spans="1:12" ht="21" x14ac:dyDescent="0.3">
      <c r="A25" s="69" t="s">
        <v>33</v>
      </c>
      <c r="B25" s="6" t="s">
        <v>28</v>
      </c>
      <c r="C25" s="29">
        <v>155</v>
      </c>
      <c r="D25" s="29">
        <v>162</v>
      </c>
      <c r="E25" s="29">
        <v>155</v>
      </c>
      <c r="F25" s="29">
        <v>162</v>
      </c>
      <c r="G25" s="29">
        <v>152</v>
      </c>
      <c r="H25" s="29">
        <v>162</v>
      </c>
      <c r="I25" s="30">
        <f t="shared" si="0"/>
        <v>0.95541401273885351</v>
      </c>
      <c r="J25" s="29">
        <v>148</v>
      </c>
      <c r="K25" s="29">
        <v>152</v>
      </c>
      <c r="L25" s="31">
        <f t="shared" si="1"/>
        <v>5.6666666666666661</v>
      </c>
    </row>
    <row r="26" spans="1:12" ht="21" x14ac:dyDescent="0.3">
      <c r="A26" s="69" t="s">
        <v>104</v>
      </c>
      <c r="B26" s="6" t="s">
        <v>28</v>
      </c>
      <c r="C26" s="29">
        <v>160</v>
      </c>
      <c r="D26" s="29">
        <v>165</v>
      </c>
      <c r="E26" s="29">
        <v>160</v>
      </c>
      <c r="F26" s="29">
        <v>165</v>
      </c>
      <c r="G26" s="29">
        <v>155</v>
      </c>
      <c r="H26" s="29">
        <v>165</v>
      </c>
      <c r="I26" s="30">
        <f t="shared" si="0"/>
        <v>1.5625</v>
      </c>
      <c r="J26" s="29">
        <v>155</v>
      </c>
      <c r="K26" s="29">
        <v>160</v>
      </c>
      <c r="L26" s="31">
        <f t="shared" si="1"/>
        <v>3.1746031746031744</v>
      </c>
    </row>
    <row r="27" spans="1:12" ht="21" x14ac:dyDescent="0.3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1060</v>
      </c>
      <c r="L27" s="31">
        <f t="shared" si="1"/>
        <v>0</v>
      </c>
    </row>
    <row r="28" spans="1:12" ht="21" x14ac:dyDescent="0.3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" x14ac:dyDescent="0.3">
      <c r="A29" s="69" t="s">
        <v>37</v>
      </c>
      <c r="B29" s="6" t="s">
        <v>18</v>
      </c>
      <c r="C29" s="29">
        <v>80</v>
      </c>
      <c r="D29" s="29">
        <v>105</v>
      </c>
      <c r="E29" s="29">
        <v>80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0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" x14ac:dyDescent="0.3">
      <c r="A30" s="69" t="s">
        <v>108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130</v>
      </c>
      <c r="I30" s="30">
        <f t="shared" si="2"/>
        <v>-4.1666666666666661</v>
      </c>
      <c r="J30" s="29">
        <v>110</v>
      </c>
      <c r="K30" s="29">
        <v>120</v>
      </c>
      <c r="L30" s="31">
        <f t="shared" si="3"/>
        <v>0</v>
      </c>
    </row>
    <row r="31" spans="1:12" ht="21" x14ac:dyDescent="0.3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" x14ac:dyDescent="0.3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" x14ac:dyDescent="0.3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75</v>
      </c>
      <c r="G33" s="29">
        <v>50</v>
      </c>
      <c r="H33" s="29">
        <v>65</v>
      </c>
      <c r="I33" s="30">
        <f t="shared" si="2"/>
        <v>8.695652173913043</v>
      </c>
      <c r="J33" s="29">
        <v>60</v>
      </c>
      <c r="K33" s="29">
        <v>80</v>
      </c>
      <c r="L33" s="31">
        <f t="shared" si="3"/>
        <v>-10.714285714285714</v>
      </c>
    </row>
    <row r="34" spans="1:12" ht="21" x14ac:dyDescent="0.3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110</v>
      </c>
      <c r="K34" s="29">
        <v>120</v>
      </c>
      <c r="L34" s="31">
        <f t="shared" si="3"/>
        <v>-23.913043478260871</v>
      </c>
    </row>
    <row r="35" spans="1:12" ht="21" x14ac:dyDescent="0.3">
      <c r="A35" s="69" t="s">
        <v>113</v>
      </c>
      <c r="B35" s="6" t="s">
        <v>18</v>
      </c>
      <c r="C35" s="29">
        <v>20</v>
      </c>
      <c r="D35" s="29">
        <v>25</v>
      </c>
      <c r="E35" s="29">
        <v>20</v>
      </c>
      <c r="F35" s="29">
        <v>30</v>
      </c>
      <c r="G35" s="29">
        <v>25</v>
      </c>
      <c r="H35" s="29">
        <v>40</v>
      </c>
      <c r="I35" s="30">
        <f t="shared" si="2"/>
        <v>-30.76923076923077</v>
      </c>
      <c r="J35" s="29">
        <v>20</v>
      </c>
      <c r="K35" s="29">
        <v>30</v>
      </c>
      <c r="L35" s="31">
        <f t="shared" si="3"/>
        <v>-10</v>
      </c>
    </row>
    <row r="36" spans="1:12" ht="21" x14ac:dyDescent="0.3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" x14ac:dyDescent="0.3">
      <c r="A37" s="82" t="s">
        <v>114</v>
      </c>
      <c r="B37" s="6" t="s">
        <v>18</v>
      </c>
      <c r="C37" s="29">
        <v>40</v>
      </c>
      <c r="D37" s="29">
        <v>60</v>
      </c>
      <c r="E37" s="29">
        <v>45</v>
      </c>
      <c r="F37" s="29">
        <v>60</v>
      </c>
      <c r="G37" s="29">
        <v>60</v>
      </c>
      <c r="H37" s="29">
        <v>70</v>
      </c>
      <c r="I37" s="30">
        <f t="shared" ref="I37:I52" si="4">((C37+D37)/2-(G37+H37)/2)/((G37+H37)/2)*100</f>
        <v>-23.076923076923077</v>
      </c>
      <c r="J37" s="29">
        <v>40</v>
      </c>
      <c r="K37" s="29">
        <v>50</v>
      </c>
      <c r="L37" s="31">
        <f t="shared" ref="L37:L52" si="5">((C37+D37)/2-(J37+K37)/2)/((J37+K37)/2)*100</f>
        <v>11.111111111111111</v>
      </c>
    </row>
    <row r="38" spans="1:12" ht="21" x14ac:dyDescent="0.3">
      <c r="A38" s="69" t="s">
        <v>43</v>
      </c>
      <c r="B38" s="6" t="s">
        <v>18</v>
      </c>
      <c r="C38" s="29">
        <v>0</v>
      </c>
      <c r="D38" s="29">
        <v>0</v>
      </c>
      <c r="E38" s="29">
        <v>60</v>
      </c>
      <c r="F38" s="29">
        <v>80</v>
      </c>
      <c r="G38" s="29">
        <v>70</v>
      </c>
      <c r="H38" s="29">
        <v>80</v>
      </c>
      <c r="I38" s="30">
        <f t="shared" si="4"/>
        <v>-100</v>
      </c>
      <c r="J38" s="29">
        <v>60</v>
      </c>
      <c r="K38" s="29">
        <v>65</v>
      </c>
      <c r="L38" s="31">
        <f t="shared" si="5"/>
        <v>-100</v>
      </c>
    </row>
    <row r="39" spans="1:12" ht="21" x14ac:dyDescent="0.3">
      <c r="A39" s="69" t="s">
        <v>44</v>
      </c>
      <c r="B39" s="6" t="s">
        <v>18</v>
      </c>
      <c r="C39" s="29">
        <v>80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0</v>
      </c>
      <c r="J39" s="29">
        <v>140</v>
      </c>
      <c r="K39" s="29">
        <v>240</v>
      </c>
      <c r="L39" s="31">
        <f t="shared" si="5"/>
        <v>-42.105263157894733</v>
      </c>
    </row>
    <row r="40" spans="1:12" ht="21" x14ac:dyDescent="0.3">
      <c r="A40" s="69" t="s">
        <v>45</v>
      </c>
      <c r="B40" s="6" t="s">
        <v>18</v>
      </c>
      <c r="C40" s="29">
        <v>180</v>
      </c>
      <c r="D40" s="29">
        <v>200</v>
      </c>
      <c r="E40" s="29">
        <v>180</v>
      </c>
      <c r="F40" s="29">
        <v>200</v>
      </c>
      <c r="G40" s="29">
        <v>160</v>
      </c>
      <c r="H40" s="29">
        <v>200</v>
      </c>
      <c r="I40" s="30">
        <f t="shared" si="4"/>
        <v>5.5555555555555554</v>
      </c>
      <c r="J40" s="29">
        <v>210</v>
      </c>
      <c r="K40" s="29">
        <v>240</v>
      </c>
      <c r="L40" s="31">
        <f t="shared" si="5"/>
        <v>-15.555555555555555</v>
      </c>
    </row>
    <row r="41" spans="1:12" ht="21" x14ac:dyDescent="0.3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" x14ac:dyDescent="0.3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" x14ac:dyDescent="0.3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" x14ac:dyDescent="0.3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" x14ac:dyDescent="0.3">
      <c r="A45" s="69" t="s">
        <v>50</v>
      </c>
      <c r="B45" s="6" t="s">
        <v>18</v>
      </c>
      <c r="C45" s="29">
        <v>140</v>
      </c>
      <c r="D45" s="29">
        <v>200</v>
      </c>
      <c r="E45" s="29">
        <v>140</v>
      </c>
      <c r="F45" s="29">
        <v>200</v>
      </c>
      <c r="G45" s="29">
        <v>100</v>
      </c>
      <c r="H45" s="29">
        <v>150</v>
      </c>
      <c r="I45" s="30">
        <f t="shared" si="4"/>
        <v>36</v>
      </c>
      <c r="J45" s="29">
        <v>100</v>
      </c>
      <c r="K45" s="29">
        <v>150</v>
      </c>
      <c r="L45" s="31">
        <f t="shared" si="5"/>
        <v>36</v>
      </c>
    </row>
    <row r="46" spans="1:12" ht="21" x14ac:dyDescent="0.3">
      <c r="A46" s="69" t="s">
        <v>51</v>
      </c>
      <c r="B46" s="6" t="s">
        <v>18</v>
      </c>
      <c r="C46" s="29">
        <v>140</v>
      </c>
      <c r="D46" s="29">
        <v>220</v>
      </c>
      <c r="E46" s="29">
        <v>140</v>
      </c>
      <c r="F46" s="29">
        <v>220</v>
      </c>
      <c r="G46" s="29">
        <v>150</v>
      </c>
      <c r="H46" s="29">
        <v>220</v>
      </c>
      <c r="I46" s="30">
        <f t="shared" si="4"/>
        <v>-2.7027027027027026</v>
      </c>
      <c r="J46" s="29">
        <v>100</v>
      </c>
      <c r="K46" s="29">
        <v>240</v>
      </c>
      <c r="L46" s="31">
        <f t="shared" si="5"/>
        <v>5.8823529411764701</v>
      </c>
    </row>
    <row r="47" spans="1:12" ht="21" x14ac:dyDescent="0.3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0</v>
      </c>
      <c r="J47" s="29">
        <v>650</v>
      </c>
      <c r="K47" s="29">
        <v>750</v>
      </c>
      <c r="L47" s="31">
        <f t="shared" si="5"/>
        <v>-7.1428571428571423</v>
      </c>
    </row>
    <row r="48" spans="1:12" ht="21" x14ac:dyDescent="0.3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480</v>
      </c>
      <c r="K48" s="29">
        <v>680</v>
      </c>
      <c r="L48" s="31">
        <f t="shared" si="5"/>
        <v>-6.8965517241379306</v>
      </c>
    </row>
    <row r="49" spans="1:12" ht="21" x14ac:dyDescent="0.3">
      <c r="A49" s="69" t="s">
        <v>54</v>
      </c>
      <c r="B49" s="6" t="s">
        <v>18</v>
      </c>
      <c r="C49" s="29">
        <v>1300</v>
      </c>
      <c r="D49" s="29">
        <v>1600</v>
      </c>
      <c r="E49" s="29">
        <v>1300</v>
      </c>
      <c r="F49" s="29">
        <v>1600</v>
      </c>
      <c r="G49" s="29">
        <v>1350</v>
      </c>
      <c r="H49" s="29">
        <v>1600</v>
      </c>
      <c r="I49" s="30">
        <f t="shared" si="4"/>
        <v>-1.6949152542372881</v>
      </c>
      <c r="J49" s="29">
        <v>1400</v>
      </c>
      <c r="K49" s="29">
        <v>1600</v>
      </c>
      <c r="L49" s="31">
        <f t="shared" si="5"/>
        <v>-3.3333333333333335</v>
      </c>
    </row>
    <row r="50" spans="1:12" ht="21" x14ac:dyDescent="0.3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4600</v>
      </c>
      <c r="K50" s="29">
        <v>5000</v>
      </c>
      <c r="L50" s="31">
        <f t="shared" si="5"/>
        <v>4.1666666666666661</v>
      </c>
    </row>
    <row r="51" spans="1:12" ht="21" x14ac:dyDescent="0.3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" x14ac:dyDescent="0.3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" x14ac:dyDescent="0.3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" x14ac:dyDescent="0.3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300</v>
      </c>
      <c r="K54" s="29">
        <v>450</v>
      </c>
      <c r="L54" s="31">
        <f t="shared" ref="L54:L59" si="7">((C54+D54)/2-(J54+K54)/2)/((J54+K54)/2)*100</f>
        <v>0</v>
      </c>
    </row>
    <row r="55" spans="1:12" ht="21" x14ac:dyDescent="0.3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0</v>
      </c>
      <c r="J55" s="29">
        <v>600</v>
      </c>
      <c r="K55" s="29">
        <v>1400</v>
      </c>
      <c r="L55" s="31">
        <f t="shared" si="7"/>
        <v>85</v>
      </c>
    </row>
    <row r="56" spans="1:12" ht="21" x14ac:dyDescent="0.3">
      <c r="A56" s="69" t="s">
        <v>89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" x14ac:dyDescent="0.3">
      <c r="A57" s="69" t="s">
        <v>90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" x14ac:dyDescent="0.3">
      <c r="A58" s="69" t="s">
        <v>61</v>
      </c>
      <c r="B58" s="6" t="s">
        <v>18</v>
      </c>
      <c r="C58" s="29">
        <v>170</v>
      </c>
      <c r="D58" s="29">
        <v>190</v>
      </c>
      <c r="E58" s="29">
        <v>170</v>
      </c>
      <c r="F58" s="29">
        <v>185</v>
      </c>
      <c r="G58" s="29">
        <v>160</v>
      </c>
      <c r="H58" s="29">
        <v>180</v>
      </c>
      <c r="I58" s="30">
        <f t="shared" si="6"/>
        <v>5.8823529411764701</v>
      </c>
      <c r="J58" s="29">
        <v>190</v>
      </c>
      <c r="K58" s="29">
        <v>210</v>
      </c>
      <c r="L58" s="31">
        <f t="shared" si="7"/>
        <v>-10</v>
      </c>
    </row>
    <row r="59" spans="1:12" ht="21" x14ac:dyDescent="0.3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600</v>
      </c>
      <c r="L59" s="31">
        <f t="shared" si="7"/>
        <v>11.111111111111111</v>
      </c>
    </row>
    <row r="60" spans="1:12" ht="21" x14ac:dyDescent="0.3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 x14ac:dyDescent="0.3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 x14ac:dyDescent="0.3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 x14ac:dyDescent="0.3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 x14ac:dyDescent="0.3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 x14ac:dyDescent="0.3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 x14ac:dyDescent="0.3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 x14ac:dyDescent="0.3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" x14ac:dyDescent="0.25">
      <c r="A68" s="69" t="s">
        <v>4</v>
      </c>
      <c r="B68" s="6" t="s">
        <v>5</v>
      </c>
      <c r="C68" s="86" t="s">
        <v>6</v>
      </c>
      <c r="D68" s="87"/>
      <c r="E68" s="86" t="s">
        <v>7</v>
      </c>
      <c r="F68" s="87"/>
      <c r="G68" s="86" t="s">
        <v>8</v>
      </c>
      <c r="H68" s="87"/>
      <c r="I68" s="26" t="s">
        <v>9</v>
      </c>
      <c r="J68" s="86" t="s">
        <v>10</v>
      </c>
      <c r="K68" s="87"/>
      <c r="L68" s="26" t="s">
        <v>11</v>
      </c>
    </row>
    <row r="69" spans="1:12" ht="18" customHeight="1" x14ac:dyDescent="0.25">
      <c r="A69" s="73"/>
      <c r="B69" s="64"/>
      <c r="C69" s="88">
        <v>46066</v>
      </c>
      <c r="D69" s="87"/>
      <c r="E69" s="88">
        <v>46059</v>
      </c>
      <c r="F69" s="87"/>
      <c r="G69" s="88">
        <v>46035</v>
      </c>
      <c r="H69" s="87"/>
      <c r="I69" s="26" t="s">
        <v>12</v>
      </c>
      <c r="J69" s="88">
        <v>45701</v>
      </c>
      <c r="K69" s="87"/>
      <c r="L69" s="26" t="s">
        <v>12</v>
      </c>
    </row>
    <row r="70" spans="1:12" ht="21" x14ac:dyDescent="0.2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 x14ac:dyDescent="0.3">
      <c r="A71" s="69" t="s">
        <v>70</v>
      </c>
      <c r="B71" s="6" t="s">
        <v>18</v>
      </c>
      <c r="C71" s="29">
        <v>100</v>
      </c>
      <c r="D71" s="29">
        <v>105</v>
      </c>
      <c r="E71" s="29">
        <v>98</v>
      </c>
      <c r="F71" s="29">
        <v>105</v>
      </c>
      <c r="G71" s="29">
        <v>100</v>
      </c>
      <c r="H71" s="29">
        <v>110</v>
      </c>
      <c r="I71" s="30">
        <f>((C71+D71)/2-(G71+H71)/2)/((G71+H71)/2)*100</f>
        <v>-2.3809523809523809</v>
      </c>
      <c r="J71" s="29">
        <v>120</v>
      </c>
      <c r="K71" s="29">
        <v>125</v>
      </c>
      <c r="L71" s="31">
        <f t="shared" ref="L71:L77" si="8">((C71+D71)/2-(J71+K71)/2)/((J71+K71)/2)*100</f>
        <v>-16.326530612244898</v>
      </c>
    </row>
    <row r="72" spans="1:12" ht="21" x14ac:dyDescent="0.3">
      <c r="A72" s="69" t="s">
        <v>71</v>
      </c>
      <c r="B72" s="66" t="s">
        <v>18</v>
      </c>
      <c r="C72" s="29">
        <v>180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77" si="9">((C72+D72)/2-(G72+H72)/2)/((G72+H72)/2)*100</f>
        <v>0</v>
      </c>
      <c r="J72" s="29">
        <v>260</v>
      </c>
      <c r="K72" s="29">
        <v>520</v>
      </c>
      <c r="L72" s="31">
        <f t="shared" si="8"/>
        <v>-6.4102564102564097</v>
      </c>
    </row>
    <row r="73" spans="1:12" ht="21" x14ac:dyDescent="0.3">
      <c r="A73" s="69" t="s">
        <v>106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18.75" customHeight="1" x14ac:dyDescent="0.3">
      <c r="A74" s="69" t="s">
        <v>72</v>
      </c>
      <c r="B74" s="6" t="s">
        <v>73</v>
      </c>
      <c r="C74" s="37">
        <v>34</v>
      </c>
      <c r="D74" s="37">
        <v>40</v>
      </c>
      <c r="E74" s="37">
        <v>34</v>
      </c>
      <c r="F74" s="37">
        <v>40</v>
      </c>
      <c r="G74" s="37">
        <v>36</v>
      </c>
      <c r="H74" s="37">
        <v>45</v>
      </c>
      <c r="I74" s="30">
        <f t="shared" si="9"/>
        <v>-8.6419753086419746</v>
      </c>
      <c r="J74" s="37">
        <v>40</v>
      </c>
      <c r="K74" s="37">
        <v>45</v>
      </c>
      <c r="L74" s="31">
        <f t="shared" si="8"/>
        <v>-12.941176470588237</v>
      </c>
    </row>
    <row r="75" spans="1:12" ht="21" x14ac:dyDescent="0.3">
      <c r="A75" s="69" t="s">
        <v>74</v>
      </c>
      <c r="B75" s="6" t="s">
        <v>75</v>
      </c>
      <c r="C75" s="37">
        <v>34</v>
      </c>
      <c r="D75" s="37">
        <v>40</v>
      </c>
      <c r="E75" s="37">
        <v>34</v>
      </c>
      <c r="F75" s="37">
        <v>40</v>
      </c>
      <c r="G75" s="37">
        <v>30</v>
      </c>
      <c r="H75" s="37">
        <v>40</v>
      </c>
      <c r="I75" s="30">
        <f t="shared" si="9"/>
        <v>5.7142857142857144</v>
      </c>
      <c r="J75" s="37">
        <v>30</v>
      </c>
      <c r="K75" s="37">
        <v>40</v>
      </c>
      <c r="L75" s="31">
        <f t="shared" si="8"/>
        <v>5.7142857142857144</v>
      </c>
    </row>
    <row r="76" spans="1:12" ht="21" x14ac:dyDescent="0.3">
      <c r="A76" s="69" t="s">
        <v>76</v>
      </c>
      <c r="B76" s="6" t="s">
        <v>77</v>
      </c>
      <c r="C76" s="29">
        <v>80500</v>
      </c>
      <c r="D76" s="29">
        <v>85000</v>
      </c>
      <c r="E76" s="29">
        <v>80500</v>
      </c>
      <c r="F76" s="29">
        <v>85000</v>
      </c>
      <c r="G76" s="29">
        <v>80500</v>
      </c>
      <c r="H76" s="29">
        <v>85000</v>
      </c>
      <c r="I76" s="30">
        <f t="shared" si="9"/>
        <v>0</v>
      </c>
      <c r="J76" s="29">
        <v>91000</v>
      </c>
      <c r="K76" s="29">
        <v>92200</v>
      </c>
      <c r="L76" s="31">
        <f t="shared" si="8"/>
        <v>-9.6615720524017465</v>
      </c>
    </row>
    <row r="77" spans="1:12" ht="21" x14ac:dyDescent="0.3">
      <c r="A77" s="69" t="s">
        <v>78</v>
      </c>
      <c r="B77" s="6" t="s">
        <v>77</v>
      </c>
      <c r="C77" s="29">
        <v>75000</v>
      </c>
      <c r="D77" s="37">
        <v>79000</v>
      </c>
      <c r="E77" s="29">
        <v>75000</v>
      </c>
      <c r="F77" s="37">
        <v>79000</v>
      </c>
      <c r="G77" s="29">
        <v>75000</v>
      </c>
      <c r="H77" s="37">
        <v>79000</v>
      </c>
      <c r="I77" s="30">
        <f t="shared" si="9"/>
        <v>0</v>
      </c>
      <c r="J77" s="29">
        <v>86000</v>
      </c>
      <c r="K77" s="37">
        <v>88000</v>
      </c>
      <c r="L77" s="31">
        <f t="shared" si="8"/>
        <v>-11.494252873563218</v>
      </c>
    </row>
    <row r="78" spans="1:12" ht="23.25" customHeight="1" x14ac:dyDescent="0.25">
      <c r="A78" s="89" t="s">
        <v>120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</row>
    <row r="79" spans="1:12" ht="21" x14ac:dyDescent="0.25">
      <c r="A79" s="15"/>
      <c r="B79" s="4" t="s">
        <v>107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126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" x14ac:dyDescent="0.25">
      <c r="A81" s="16"/>
      <c r="B81" s="1" t="s">
        <v>127</v>
      </c>
      <c r="C81" s="2"/>
      <c r="D81" s="2"/>
      <c r="E81" s="2"/>
      <c r="F81" s="2"/>
      <c r="G81" s="2"/>
      <c r="H81" s="3"/>
      <c r="I81" s="3"/>
      <c r="J81" s="3"/>
      <c r="K81" s="3"/>
      <c r="L81" s="8"/>
    </row>
    <row r="82" spans="1:12" ht="21" x14ac:dyDescent="0.25">
      <c r="A82" s="16"/>
      <c r="B82" s="1" t="s">
        <v>112</v>
      </c>
      <c r="C82" s="2"/>
      <c r="D82" s="2"/>
      <c r="E82" s="2"/>
      <c r="F82" s="2"/>
      <c r="G82" s="3"/>
      <c r="H82" s="3"/>
      <c r="I82" s="3"/>
      <c r="J82" s="3"/>
      <c r="K82" s="2"/>
      <c r="L82" s="8"/>
    </row>
    <row r="83" spans="1:12" ht="21" x14ac:dyDescent="0.25">
      <c r="A83" s="44" t="s">
        <v>79</v>
      </c>
      <c r="B83" s="45"/>
      <c r="C83" s="46"/>
      <c r="D83" s="46"/>
      <c r="E83" s="46"/>
      <c r="F83" s="46"/>
      <c r="G83" s="47"/>
      <c r="H83" s="47"/>
      <c r="I83" s="46"/>
      <c r="J83" s="46"/>
      <c r="K83" s="46"/>
      <c r="L83" s="8"/>
    </row>
    <row r="84" spans="1:12" ht="21" x14ac:dyDescent="0.25">
      <c r="A84" s="5" t="s">
        <v>80</v>
      </c>
      <c r="B84" s="6" t="s">
        <v>81</v>
      </c>
      <c r="C84" s="91" t="s">
        <v>6</v>
      </c>
      <c r="D84" s="92"/>
      <c r="E84" s="93" t="s">
        <v>82</v>
      </c>
      <c r="F84" s="94"/>
      <c r="G84" s="77" t="s">
        <v>12</v>
      </c>
      <c r="H84" s="91" t="s">
        <v>83</v>
      </c>
      <c r="I84" s="95"/>
      <c r="J84" s="92"/>
      <c r="K84" s="50"/>
      <c r="L84" s="17"/>
    </row>
    <row r="85" spans="1:12" ht="21" x14ac:dyDescent="0.3">
      <c r="A85" s="69" t="s">
        <v>113</v>
      </c>
      <c r="B85" s="6" t="s">
        <v>18</v>
      </c>
      <c r="C85" s="29">
        <v>20</v>
      </c>
      <c r="D85" s="29">
        <v>25</v>
      </c>
      <c r="E85" s="29">
        <v>20</v>
      </c>
      <c r="F85" s="29">
        <v>30</v>
      </c>
      <c r="G85" s="7">
        <f>((C85+D85)/2-(E85+F85)/2)/((E85+F85)/2)*100</f>
        <v>-10</v>
      </c>
      <c r="H85" s="5" t="s">
        <v>119</v>
      </c>
      <c r="I85" s="6"/>
      <c r="J85" s="6"/>
      <c r="K85" s="50"/>
      <c r="L85" s="17"/>
    </row>
    <row r="86" spans="1:12" ht="21" x14ac:dyDescent="0.3">
      <c r="A86" s="82" t="s">
        <v>114</v>
      </c>
      <c r="B86" s="6" t="s">
        <v>18</v>
      </c>
      <c r="C86" s="29">
        <v>40</v>
      </c>
      <c r="D86" s="29">
        <v>60</v>
      </c>
      <c r="E86" s="29">
        <v>45</v>
      </c>
      <c r="F86" s="29">
        <v>60</v>
      </c>
      <c r="G86" s="7">
        <f t="shared" ref="G86" si="10">((C86+D86)/2-(E86+F86)/2)/((E86+F86)/2)*100</f>
        <v>-4.7619047619047619</v>
      </c>
      <c r="H86" s="5" t="s">
        <v>125</v>
      </c>
      <c r="I86" s="6"/>
      <c r="J86" s="6"/>
      <c r="K86" s="50"/>
      <c r="L86" s="17"/>
    </row>
    <row r="87" spans="1:12" ht="21" x14ac:dyDescent="0.3">
      <c r="A87" s="69" t="s">
        <v>61</v>
      </c>
      <c r="B87" s="6" t="s">
        <v>18</v>
      </c>
      <c r="C87" s="29">
        <v>170</v>
      </c>
      <c r="D87" s="29">
        <v>190</v>
      </c>
      <c r="E87" s="29">
        <v>170</v>
      </c>
      <c r="F87" s="29">
        <v>185</v>
      </c>
      <c r="G87" s="7">
        <f>((C87+D87)/2-(E87+F87)/2)/((E87+F87)/2)*100</f>
        <v>1.4084507042253522</v>
      </c>
      <c r="H87" s="5" t="s">
        <v>121</v>
      </c>
      <c r="I87" s="6"/>
      <c r="J87" s="6"/>
      <c r="K87" s="50"/>
      <c r="L87" s="17"/>
    </row>
    <row r="88" spans="1:12" ht="23.25" x14ac:dyDescent="0.3">
      <c r="A88" s="69" t="s">
        <v>70</v>
      </c>
      <c r="B88" s="6" t="s">
        <v>18</v>
      </c>
      <c r="C88" s="29">
        <v>100</v>
      </c>
      <c r="D88" s="29">
        <v>105</v>
      </c>
      <c r="E88" s="29">
        <v>98</v>
      </c>
      <c r="F88" s="29">
        <v>105</v>
      </c>
      <c r="G88" s="7">
        <f>((C88+D88)/2-(E88+F88)/2)/((E88+F88)/2)*100</f>
        <v>0.98522167487684731</v>
      </c>
      <c r="H88" s="5" t="s">
        <v>121</v>
      </c>
      <c r="I88" s="6"/>
      <c r="J88" s="6"/>
      <c r="K88" s="40"/>
      <c r="L88" s="11"/>
    </row>
    <row r="89" spans="1:12" ht="23.25" x14ac:dyDescent="0.3">
      <c r="A89" s="72"/>
      <c r="B89" s="3"/>
      <c r="C89" s="78"/>
      <c r="D89" s="78"/>
      <c r="E89" s="78"/>
      <c r="F89" s="78"/>
      <c r="G89" s="38"/>
      <c r="H89" s="39"/>
      <c r="I89" s="40"/>
      <c r="J89" s="40"/>
      <c r="K89" s="40"/>
      <c r="L89" s="11"/>
    </row>
    <row r="90" spans="1:12" ht="23.25" x14ac:dyDescent="0.3">
      <c r="A90" s="1"/>
      <c r="C90" s="14"/>
      <c r="D90" s="14"/>
      <c r="E90" s="13"/>
      <c r="F90" s="14"/>
      <c r="G90" s="38"/>
      <c r="H90" s="39"/>
      <c r="I90" s="40"/>
      <c r="J90" s="40"/>
      <c r="K90" s="40"/>
      <c r="L90" s="11"/>
    </row>
    <row r="91" spans="1:12" ht="23.25" x14ac:dyDescent="0.3">
      <c r="A91" s="41"/>
      <c r="B91" s="42" t="s">
        <v>115</v>
      </c>
      <c r="C91" s="10"/>
      <c r="E91" s="83"/>
      <c r="F91" s="84"/>
      <c r="G91" s="85"/>
      <c r="I91" s="12"/>
      <c r="J91" s="13" t="s">
        <v>117</v>
      </c>
      <c r="K91" s="10"/>
    </row>
    <row r="92" spans="1:12" ht="23.25" x14ac:dyDescent="0.3">
      <c r="A92" s="43"/>
      <c r="B92" s="42" t="s">
        <v>116</v>
      </c>
      <c r="C92" s="13"/>
      <c r="E92" s="43"/>
      <c r="F92" s="84"/>
      <c r="G92" s="85"/>
      <c r="I92" s="76"/>
      <c r="J92" s="13" t="s">
        <v>118</v>
      </c>
    </row>
    <row r="93" spans="1:12" ht="23.25" x14ac:dyDescent="0.3">
      <c r="A93" s="1"/>
      <c r="B93" s="13"/>
      <c r="C93" s="14"/>
      <c r="D93" s="13"/>
      <c r="E93" s="14"/>
      <c r="F93" s="44"/>
      <c r="G93" s="46"/>
      <c r="H93" s="46"/>
      <c r="I93" s="45"/>
      <c r="J93" s="10"/>
      <c r="K93" s="10"/>
      <c r="L93" s="2"/>
    </row>
    <row r="94" spans="1:12" ht="18.75" x14ac:dyDescent="0.25">
      <c r="A94" s="55" t="s">
        <v>91</v>
      </c>
      <c r="B94" s="53"/>
      <c r="C94" s="51"/>
      <c r="D94" s="53"/>
      <c r="E94" s="51"/>
      <c r="F94" s="51"/>
      <c r="G94" s="51"/>
      <c r="H94" s="52"/>
      <c r="I94" s="57"/>
      <c r="J94" s="2"/>
      <c r="K94" s="2"/>
      <c r="L94" s="2"/>
    </row>
    <row r="95" spans="1:12" ht="18.75" x14ac:dyDescent="0.25">
      <c r="A95" s="54" t="s">
        <v>97</v>
      </c>
      <c r="B95" s="53"/>
      <c r="C95" s="51"/>
      <c r="D95" s="53"/>
      <c r="E95" s="51"/>
      <c r="F95" s="51"/>
      <c r="G95" s="53"/>
      <c r="H95" s="52"/>
      <c r="I95" s="57"/>
      <c r="J95" s="2"/>
      <c r="K95" s="2"/>
      <c r="L95" s="2"/>
    </row>
    <row r="96" spans="1:12" ht="18.75" x14ac:dyDescent="0.25">
      <c r="A96" s="54" t="s">
        <v>96</v>
      </c>
      <c r="B96" s="53"/>
      <c r="C96" s="53"/>
      <c r="D96" s="53"/>
      <c r="E96" s="53"/>
      <c r="F96" s="51"/>
      <c r="G96" s="53"/>
      <c r="H96" s="52"/>
      <c r="I96" s="57"/>
      <c r="J96" s="2"/>
      <c r="K96" s="2"/>
      <c r="L96" s="2"/>
    </row>
    <row r="97" spans="1:12" ht="18.75" x14ac:dyDescent="0.25">
      <c r="A97" s="54" t="s">
        <v>84</v>
      </c>
      <c r="B97" s="53"/>
      <c r="C97" s="53"/>
      <c r="D97" s="53"/>
      <c r="E97" s="53"/>
      <c r="F97" s="52"/>
      <c r="G97" s="52"/>
      <c r="H97" s="52"/>
      <c r="I97" s="57"/>
      <c r="J97" s="2"/>
      <c r="K97" s="2"/>
      <c r="L97" s="2"/>
    </row>
    <row r="98" spans="1:12" ht="18.75" x14ac:dyDescent="0.25">
      <c r="A98" s="54" t="s">
        <v>95</v>
      </c>
      <c r="B98" s="53"/>
      <c r="C98" s="53"/>
      <c r="D98" s="53"/>
      <c r="E98" s="53"/>
      <c r="F98" s="53"/>
      <c r="G98" s="52"/>
      <c r="H98" s="52"/>
      <c r="I98" s="57"/>
      <c r="J98" s="2"/>
      <c r="K98" s="2"/>
      <c r="L98" s="2"/>
    </row>
    <row r="99" spans="1:12" ht="18.75" x14ac:dyDescent="0.25">
      <c r="A99" s="54" t="s">
        <v>94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8.75" x14ac:dyDescent="0.25">
      <c r="A100" s="54" t="s">
        <v>105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8.75" x14ac:dyDescent="0.25">
      <c r="A101" s="54" t="s">
        <v>93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8.75" x14ac:dyDescent="0.25">
      <c r="A102" s="54" t="s">
        <v>92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85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99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98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100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101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86</v>
      </c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8.75" x14ac:dyDescent="0.25">
      <c r="A109" s="54"/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8.75" x14ac:dyDescent="0.25">
      <c r="A110" s="55" t="s">
        <v>87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8.75" x14ac:dyDescent="0.25">
      <c r="A111" s="54" t="s">
        <v>88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4" t="s">
        <v>111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4" t="s">
        <v>110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4" t="s">
        <v>109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</sheetData>
  <mergeCells count="21">
    <mergeCell ref="K6:L6"/>
    <mergeCell ref="G68:H68"/>
    <mergeCell ref="G69:H69"/>
    <mergeCell ref="A78:L78"/>
    <mergeCell ref="C84:D84"/>
    <mergeCell ref="E84:F84"/>
    <mergeCell ref="H84:J84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2026-02-01T07:48:31Z</cp:lastPrinted>
  <dcterms:created xsi:type="dcterms:W3CDTF">2021-06-05T07:13:00Z</dcterms:created>
  <dcterms:modified xsi:type="dcterms:W3CDTF">2026-02-10T09:44:20Z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