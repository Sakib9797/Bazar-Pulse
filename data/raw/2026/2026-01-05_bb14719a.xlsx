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5251BFB0-D1E5-486A-9499-3F872F3119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83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<sst xmlns="http://schemas.openxmlformats.org/spreadsheetml/2006/main" count="223" uniqueCount="129">
  <si>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</si>
  <si>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</si>
  <si>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</si>
  <si>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</si>
  <si>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</si>
  <si>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</si>
  <si>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</si>
  <si>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</si>
  <si>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</si>
  <si>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</si>
  <si>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</si>
  <si>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</si>
  <si>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</si>
  <si>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</si>
  <si>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</si>
  <si>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</si>
  <si>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</si>
  <si>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</si>
  <si>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</si>
  <si>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</si>
  <si>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</si>
  <si>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</si>
  <si>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</si>
  <si>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</si>
  <si>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</si>
  <si>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</si>
  <si>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</si>
  <si>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</si>
  <si>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</si>
  <si>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</si>
  <si>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</si>
  <si>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</si>
  <si>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</si>
  <si>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</si>
  <si>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</si>
  <si>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</si>
  <si>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</si>
  <si>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</si>
  <si>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</si>
  <si>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</si>
  <si>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</si>
  <si>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</si>
  <si>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</si>
  <si>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</si>
  <si>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</si>
  <si>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</si>
  <si>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</si>
  <si>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</si>
  <si>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</si>
  <si>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</si>
  <si>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</si>
  <si>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</si>
  <si>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</si>
  <si>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</si>
  <si>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</si>
  <si>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</si>
  <si>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</si>
  <si>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</si>
  <si>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</si>
  <si>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</si>
  <si>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</si>
  <si>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</si>
  <si>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</si>
  <si>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</si>
  <si>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</si>
  <si>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</si>
  <si>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</si>
  <si>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</si>
  <si>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</si>
  <si>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</si>
  <si>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</si>
  <si>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</si>
  <si>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</si>
  <si>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</si>
  <si>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</si>
  <si>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</si>
  <si>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</si>
  <si>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</si>
  <si>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</si>
  <si>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</si>
  <si>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</si>
  <si>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</si>
  <si>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</si>
  <si>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</si>
  <si>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</si>
  <si>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</si>
  <si>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</si>
  <si>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</si>
  <si>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</si>
  <si>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</si>
  <si>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</si>
  <si>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</si>
  <si>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</si>
  <si>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</si>
  <si>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</si>
  <si>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</si>
  <si>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</si>
  <si>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</si>
  <si>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</si>
  <si>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</si>
  <si>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</si>
  <si>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</si>
  <si>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</si>
  <si>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</si>
  <si>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</si>
  <si>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</si>
  <si>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</si>
  <si>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</si>
  <si>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</si>
  <si>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</si>
  <si>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</si>
  <si>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</si>
  <si>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</si>
  <si>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</si>
  <si>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</si>
  <si>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</si>
  <si>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</si>
  <si>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</si>
  <si>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৩০-১২-২০২৫ তারিখে মূল্য বৃদ্ধি পেয়েছে।</t>
  </si>
  <si>
    <t>০১-০১-২০২৬ তারিখে মূল্য হ্রাস পেয়েছে।</t>
  </si>
  <si>
    <t>০৩-০১-২০২৬ তারিখে মূল্য হ্রাস পেয়েছে।</t>
  </si>
  <si>
    <t>০৪-০১-২০২৬ তারিখে মূল্য হ্রাস পেয়েছে।</t>
  </si>
  <si>
    <t>(মোনালিসা পারভীন)</t>
  </si>
  <si>
    <t>উপ পরিচালক (বাজার তথ্য)(প্রতিকল্প)</t>
  </si>
  <si>
    <t>স্মারক নং-২৬.০৫.০০০০.০১৭.৩১.০১.২৬-০০৯</t>
  </si>
  <si>
    <t xml:space="preserve">সোমবার ০৫ জানুয়ারী ২০২৬ খ্রিঃ, ২১ পৌষ ১৪৩২ বাংলা, ১৫ রজব ১৪৪৭ হিজরি </t>
  </si>
  <si>
    <t xml:space="preserve">   সিরিয়াল নংঃ     ০০৫</t>
  </si>
  <si>
    <t>(২)      চিনি  এর মূল্য বৃদ্ধি পেয়েছে।</t>
  </si>
  <si>
    <t>(১)     পেঁয়াজ (দেশী), জিরা,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</si>
</sst>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4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46027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46027</v>
      </c>
      <c r="D8" s="88"/>
      <c r="E8" s="89">
        <v>46020</v>
      </c>
      <c r="F8" s="88"/>
      <c r="G8" s="89">
        <v>45996</v>
      </c>
      <c r="H8" s="88"/>
      <c r="I8" s="26" t="s">
        <v>12</v>
      </c>
      <c r="J8" s="89">
        <v>45662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75</v>
      </c>
      <c r="K10" s="29">
        <v>84</v>
      </c>
      <c r="L10" s="31">
        <f>((C10+D10)/2-(J10+K10)/2)/((J10+K10)/2)*100</f>
        <v>-2.5157232704402519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910</v>
      </c>
      <c r="H20" s="29">
        <v>965</v>
      </c>
      <c r="I20" s="30">
        <f t="shared" si="0"/>
        <v>0.53333333333333333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396</v>
      </c>
      <c r="I21" s="30">
        <f t="shared" si="0"/>
        <v>0.25940337224383914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157</v>
      </c>
      <c r="K23" s="29">
        <v>160</v>
      </c>
      <c r="L23" s="31">
        <f t="shared" si="1"/>
        <v>-0.94637223974763407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160</v>
      </c>
      <c r="K24" s="29">
        <v>162</v>
      </c>
      <c r="L24" s="31">
        <f t="shared" si="1"/>
        <v>-0.6211180124223602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-2.5641025641025639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130</v>
      </c>
      <c r="L32" s="31">
        <f t="shared" si="3"/>
        <v>-24</v>
      </c>
    </row>
    <row r="33" spans="1:12" ht="21.75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45</v>
      </c>
      <c r="K33" s="29">
        <v>50</v>
      </c>
      <c r="L33" s="31">
        <f t="shared" si="3"/>
        <v>-47.368421052631575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75</v>
      </c>
      <c r="E35" s="29">
        <v>60</v>
      </c>
      <c r="F35" s="29">
        <v>140</v>
      </c>
      <c r="G35" s="29">
        <v>120</v>
      </c>
      <c r="H35" s="29">
        <v>140</v>
      </c>
      <c r="I35" s="30">
        <f t="shared" ref="I35:I50" si="4">((C35+D35)/2-(G35+H35)/2)/((G35+H35)/2)*100</f>
        <v>-48.07692307692308</v>
      </c>
      <c r="J35" s="29">
        <v>50</v>
      </c>
      <c r="K35" s="29">
        <v>85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240</v>
      </c>
      <c r="K37" s="29">
        <v>260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140</v>
      </c>
      <c r="H43" s="29">
        <v>170</v>
      </c>
      <c r="I43" s="30">
        <f t="shared" si="4"/>
        <v>-19.35483870967742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220</v>
      </c>
      <c r="L44" s="31">
        <f t="shared" si="5"/>
        <v>15.625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650</v>
      </c>
      <c r="K45" s="29">
        <v>750</v>
      </c>
      <c r="L45" s="31">
        <f t="shared" si="5"/>
        <v>-7.1428571428571423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4500</v>
      </c>
      <c r="L48" s="31">
        <f t="shared" si="5"/>
        <v>26.582278481012654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200</v>
      </c>
      <c r="K56" s="29">
        <v>220</v>
      </c>
      <c r="L56" s="31">
        <f t="shared" si="7"/>
        <v>-23.809523809523807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46027</v>
      </c>
      <c r="D67" s="88"/>
      <c r="E67" s="89">
        <v>46020</v>
      </c>
      <c r="F67" s="88"/>
      <c r="G67" s="89">
        <v>45996</v>
      </c>
      <c r="H67" s="88"/>
      <c r="I67" s="26" t="s">
        <v>12</v>
      </c>
      <c r="J67" s="89">
        <v>45662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98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84000</v>
      </c>
      <c r="K74" s="29">
        <v>85000</v>
      </c>
      <c r="L74" s="31">
        <f t="shared" si="8"/>
        <v>-2.0710059171597637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83" t="s">
        <v>114</v>
      </c>
      <c r="B83" s="6" t="s">
        <v>18</v>
      </c>
      <c r="C83" s="29">
        <v>60</v>
      </c>
      <c r="D83" s="29">
        <v>75</v>
      </c>
      <c r="E83" s="29">
        <v>60</v>
      </c>
      <c r="F83" s="29">
        <v>140</v>
      </c>
      <c r="G83" s="7">
        <f t="shared" ref="G83:G86" si="10">((C83+D83)/2-(E83+F83)/2)/((E83+F83)/2)*100</f>
        <v>-32.5</v>
      </c>
      <c r="H83" s="5" t="s">
        <v>119</v>
      </c>
      <c r="I83" s="6"/>
      <c r="J83" s="6"/>
      <c r="K83" s="50"/>
      <c r="L83" s="17"/>
    </row>
    <row r="84" spans="1:12" ht="21.75">
      <c r="A84" s="69" t="s">
        <v>52</v>
      </c>
      <c r="B84" s="6" t="s">
        <v>18</v>
      </c>
      <c r="C84" s="29">
        <v>580</v>
      </c>
      <c r="D84" s="29">
        <v>720</v>
      </c>
      <c r="E84" s="29">
        <v>580</v>
      </c>
      <c r="F84" s="29">
        <v>750</v>
      </c>
      <c r="G84" s="7">
        <f t="shared" si="10"/>
        <v>-2.2556390977443606</v>
      </c>
      <c r="H84" s="5" t="s">
        <v>121</v>
      </c>
      <c r="I84" s="6"/>
      <c r="J84" s="6"/>
      <c r="K84" s="50"/>
      <c r="L84" s="17"/>
    </row>
    <row r="85" spans="1:12" ht="21.75">
      <c r="A85" s="69" t="s">
        <v>57</v>
      </c>
      <c r="B85" s="6" t="s">
        <v>18</v>
      </c>
      <c r="C85" s="29">
        <v>160</v>
      </c>
      <c r="D85" s="29">
        <v>220</v>
      </c>
      <c r="E85" s="29">
        <v>160</v>
      </c>
      <c r="F85" s="29">
        <v>225</v>
      </c>
      <c r="G85" s="7">
        <f>((C85+D85)/2-(E85+F85)/2)/((E85+F85)/2)*100</f>
        <v>-1.2987012987012987</v>
      </c>
      <c r="H85" s="5" t="s">
        <v>120</v>
      </c>
      <c r="I85" s="6"/>
      <c r="J85" s="6"/>
      <c r="K85" s="50"/>
      <c r="L85" s="17"/>
    </row>
    <row r="86" spans="1:12" ht="21.75">
      <c r="A86" s="69" t="s">
        <v>70</v>
      </c>
      <c r="B86" s="6" t="s">
        <v>18</v>
      </c>
      <c r="C86" s="29">
        <v>100</v>
      </c>
      <c r="D86" s="29">
        <v>110</v>
      </c>
      <c r="E86" s="29">
        <v>98</v>
      </c>
      <c r="F86" s="29">
        <v>100</v>
      </c>
      <c r="G86" s="7">
        <f t="shared" si="10"/>
        <v>6.0606060606060606</v>
      </c>
      <c r="H86" s="5" t="s">
        <v>118</v>
      </c>
      <c r="I86" s="6"/>
      <c r="J86" s="6"/>
      <c r="K86" s="50"/>
      <c r="L86" s="17"/>
    </row>
    <row r="87" spans="1:12" ht="24.75">
      <c r="A87" s="72"/>
      <c r="B87" s="3"/>
      <c r="C87" s="78"/>
      <c r="D87" s="78"/>
      <c r="E87" s="78"/>
      <c r="F87" s="78"/>
      <c r="G87" s="9"/>
      <c r="H87" s="39"/>
      <c r="I87" s="40"/>
      <c r="J87" s="40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41"/>
      <c r="B90" s="42" t="s">
        <v>122</v>
      </c>
      <c r="C90" s="10"/>
      <c r="E90" s="84"/>
      <c r="F90" s="85"/>
      <c r="G90" s="86"/>
      <c r="I90" s="12"/>
      <c r="J90" s="13" t="s">
        <v>116</v>
      </c>
      <c r="K90" s="10"/>
    </row>
    <row r="91" spans="1:12" ht="24.75">
      <c r="A91" s="43"/>
      <c r="B91" s="42" t="s">
        <v>123</v>
      </c>
      <c r="C91" s="13"/>
      <c r="E91" s="43"/>
      <c r="F91" s="85"/>
      <c r="G91" s="86"/>
      <c r="I91" s="76"/>
      <c r="J91" s="13" t="s">
        <v>117</v>
      </c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2026-01-05T07:41:08Z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