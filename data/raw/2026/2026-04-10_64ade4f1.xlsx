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8_{B16AE87F-816F-294D-A516-5A7D469D034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91" i="4"/>
  <c r="G88" i="4"/>
  <c r="G94" i="4"/>
  <c r="G95" i="4"/>
  <c r="G96" i="4"/>
  <c r="G90" i="4"/>
  <c r="G89" i="4"/>
  <c r="G97" i="4"/>
  <c r="G92" i="4"/>
  <c r="G8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<sst xmlns="http://schemas.openxmlformats.org/spreadsheetml/2006/main" count="251" uniqueCount="137">
  <si>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</si>
  <si>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</si>
  <si>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</si>
  <si>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</si>
  <si>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</si>
  <si>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</si>
  <si>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</si>
  <si>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</si>
  <si>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</si>
  <si>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</si>
  <si>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</si>
  <si>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</si>
  <si>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</si>
  <si>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</si>
  <si>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</si>
  <si>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</si>
  <si>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</si>
  <si>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</si>
  <si>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</si>
  <si>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</si>
  <si>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</si>
  <si>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</si>
  <si>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</si>
  <si>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</si>
  <si>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</si>
  <si>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</si>
  <si>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</si>
  <si>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</si>
  <si>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</si>
  <si>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</si>
  <si>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</si>
  <si>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</si>
  <si>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</si>
  <si>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</si>
  <si>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</si>
  <si>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</si>
  <si>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</si>
  <si>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</si>
  <si>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</si>
  <si>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</si>
  <si>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</si>
  <si>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</si>
  <si>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</si>
  <si>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</si>
  <si>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</si>
  <si>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</si>
  <si>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</si>
  <si>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</si>
  <si>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</si>
  <si>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</si>
  <si>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</si>
  <si>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</si>
  <si>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</si>
  <si>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</si>
  <si>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</si>
  <si>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</si>
  <si>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</si>
  <si>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</si>
  <si>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</si>
  <si>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</si>
  <si>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</si>
  <si>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</si>
  <si>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</si>
  <si>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</si>
  <si>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</si>
  <si>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</si>
  <si>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</si>
  <si>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</si>
  <si>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</si>
  <si>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</si>
  <si>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</si>
  <si>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</si>
  <si>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</si>
  <si>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</si>
  <si>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</si>
  <si>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</si>
  <si>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</si>
  <si>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</si>
  <si>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</si>
  <si>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</si>
  <si>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</si>
  <si>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</si>
  <si>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</si>
  <si>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</si>
  <si>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</si>
  <si>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</si>
  <si>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</si>
  <si>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</si>
  <si>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</si>
  <si>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</si>
  <si>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</si>
  <si>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</si>
  <si>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</si>
  <si>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</si>
  <si>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</si>
  <si>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</si>
  <si>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</si>
  <si>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</si>
  <si>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</si>
  <si>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</si>
  <si>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</si>
  <si>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</si>
  <si>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</si>
  <si>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</si>
  <si>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</si>
  <si>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</si>
  <si>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</si>
  <si>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</si>
  <si>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</si>
  <si>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</si>
  <si>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</si>
  <si>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</si>
  <si>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</si>
  <si>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</si>
  <si>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</si>
  <si>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</si>
  <si>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</si>
  <si>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</si>
  <si>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</si>
  <si>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</si>
  <si>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</si>
  <si>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</si>
  <si>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০৬-০৪-২০২৬ তারিখে মূল্য বৃদ্ধি পেয়েছে।</t>
  </si>
  <si>
    <t>০৬-০৪-২০২৬ তারিখে মূল্য হ্রাস পেয়েছে।</t>
  </si>
  <si>
    <t>০৭-০৪-২০২৬ তারিখে মূল্য বৃদ্ধি পেয়েছে।</t>
  </si>
  <si>
    <t>০৮-০৪-২০২৬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</si>
  <si>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মালিবাগ, মিরপুর-৬, মোহাম্মদপুর টাউন হল, নিউমার্কেট, রামপুরা, মহাখালী  বাজার।   </t>
  </si>
  <si>
    <t>০৯-০৪-২০২৬ তারিখে মূল্য বৃদ্ধি পেয়েছে।</t>
  </si>
  <si>
    <t>স্মারক নং-২৬.০৫.০০০০.০১৭.৩১.০১.২৬-২৭৫</t>
  </si>
  <si>
    <t xml:space="preserve">শুক্রবার ১০ এপ্রিল ২০২৬ খ্রিঃ, ২৭ চৈত্র ১৪৩২ বাংলা, ২১ শাওয়াল ১৪৪৭ হিজরি </t>
  </si>
  <si>
    <t xml:space="preserve">   সিরিয়াল নংঃ     ০৮৬</t>
  </si>
  <si>
    <t>১০-০৪-২০২৬ তারিখে মূল্য বৃদ্ধি পেয়েছে।</t>
  </si>
  <si>
    <t>(১)    রশুন (আম)   এর মূল্য হ্রাস পেয়েছে।</t>
  </si>
  <si>
    <t>(২)   পাম অয়েল (লুজ, সুপার), মসুর ডাল (বড়), আলু, রশুন (দেশী), চিনি, মুরগী ব্রয়লার, কাঁচামরিচ, বেগুন, শসা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</si>
</sst>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213202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4"/>
  <sheetViews>
    <sheetView tabSelected="1" topLeftCell="I1" zoomScale="95" zoomScaleNormal="95" workbookViewId="0">
      <selection activeCell="L7" sqref="L7"/>
    </sheetView>
  </sheetViews>
  <sheetFormatPr defaultRowHeight="16.5" x14ac:dyDescent="0.25"/>
  <cols>
    <col min="1" max="1" width="17.78515625" customWidth="1"/>
    <col min="2" max="2" width="9.76562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8.8359375" customWidth="1"/>
    <col min="8" max="8" width="8.6015625" customWidth="1"/>
    <col min="9" max="9" width="8.94921875" customWidth="1"/>
    <col min="10" max="10" width="10.6953125" customWidth="1"/>
    <col min="11" max="11" width="9.4140625" customWidth="1"/>
    <col min="12" max="12" width="9.765625" customWidth="1"/>
  </cols>
  <sheetData>
    <row r="3" spans="1:12" ht="21" x14ac:dyDescent="0.2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" x14ac:dyDescent="0.2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3" t="s">
        <v>130</v>
      </c>
      <c r="L5" s="72"/>
    </row>
    <row r="6" spans="1:12" ht="19.5" customHeight="1" x14ac:dyDescent="0.25">
      <c r="A6" s="10"/>
      <c r="B6" s="8"/>
      <c r="C6" s="8"/>
      <c r="D6" s="10"/>
      <c r="E6" s="8"/>
      <c r="F6" s="8" t="s">
        <v>129</v>
      </c>
      <c r="G6" s="8"/>
      <c r="H6" s="8"/>
      <c r="I6" s="8"/>
      <c r="J6" s="8"/>
      <c r="K6" s="8"/>
      <c r="L6" s="30"/>
    </row>
    <row r="7" spans="1:12" ht="21" x14ac:dyDescent="0.25">
      <c r="A7" s="13" t="s">
        <v>128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46122</v>
      </c>
    </row>
    <row r="8" spans="1:12" ht="18.75" x14ac:dyDescent="0.25">
      <c r="A8" s="5" t="s">
        <v>4</v>
      </c>
      <c r="B8" s="6" t="s">
        <v>5</v>
      </c>
      <c r="C8" s="69" t="s">
        <v>6</v>
      </c>
      <c r="D8" s="70"/>
      <c r="E8" s="69" t="s">
        <v>7</v>
      </c>
      <c r="F8" s="70"/>
      <c r="G8" s="69" t="s">
        <v>8</v>
      </c>
      <c r="H8" s="70"/>
      <c r="I8" s="6" t="s">
        <v>9</v>
      </c>
      <c r="J8" s="69" t="s">
        <v>10</v>
      </c>
      <c r="K8" s="70"/>
      <c r="L8" s="55" t="s">
        <v>11</v>
      </c>
    </row>
    <row r="9" spans="1:12" ht="21" x14ac:dyDescent="0.25">
      <c r="A9" s="5"/>
      <c r="B9" s="6"/>
      <c r="C9" s="71">
        <v>46122</v>
      </c>
      <c r="D9" s="72"/>
      <c r="E9" s="71">
        <v>46115</v>
      </c>
      <c r="F9" s="72"/>
      <c r="G9" s="71">
        <v>46091</v>
      </c>
      <c r="H9" s="72"/>
      <c r="I9" s="18" t="s">
        <v>12</v>
      </c>
      <c r="J9" s="71">
        <v>45757</v>
      </c>
      <c r="K9" s="72"/>
      <c r="L9" s="18" t="s">
        <v>12</v>
      </c>
    </row>
    <row r="10" spans="1:12" ht="21" x14ac:dyDescent="0.2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" x14ac:dyDescent="0.3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" x14ac:dyDescent="0.3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" x14ac:dyDescent="0.3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 x14ac:dyDescent="0.3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" x14ac:dyDescent="0.3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38</v>
      </c>
      <c r="K15" s="20">
        <v>45</v>
      </c>
      <c r="L15" s="22">
        <f>((C15+D15)/2-(J15+K15)/2)/((J15+K15)/2)*100</f>
        <v>2.4096385542168677</v>
      </c>
    </row>
    <row r="16" spans="1:12" ht="21" x14ac:dyDescent="0.3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" x14ac:dyDescent="0.3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50</v>
      </c>
      <c r="K17" s="20">
        <v>60</v>
      </c>
      <c r="L17" s="22">
        <f>((C17+D17)/2-(J17+K17)/2)/((J17+K17)/2)*100</f>
        <v>-1.8181818181818181</v>
      </c>
    </row>
    <row r="18" spans="1:12" ht="21" x14ac:dyDescent="0.3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64</v>
      </c>
      <c r="K18" s="20">
        <v>70</v>
      </c>
      <c r="L18" s="22">
        <f>((C18+D18)/2-(J18+K18)/2)/((J18+K18)/2)*100</f>
        <v>0.74626865671641784</v>
      </c>
    </row>
    <row r="19" spans="1:12" ht="18" customHeight="1" x14ac:dyDescent="0.3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" x14ac:dyDescent="0.3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196</v>
      </c>
      <c r="G20" s="20">
        <v>178</v>
      </c>
      <c r="H20" s="20">
        <v>193</v>
      </c>
      <c r="I20" s="21">
        <f t="shared" ref="I20:I26" si="0">((C20+D20)/2-(G20+H20)/2)/((G20+H20)/2)*100</f>
        <v>2.6954177897574128</v>
      </c>
      <c r="J20" s="20">
        <v>158</v>
      </c>
      <c r="K20" s="20">
        <v>168</v>
      </c>
      <c r="L20" s="22">
        <f t="shared" ref="L20:L26" si="1">((C20+D20)/2-(J20+K20)/2)/((J20+K20)/2)*100</f>
        <v>16.871165644171779</v>
      </c>
    </row>
    <row r="21" spans="1:12" ht="21" x14ac:dyDescent="0.3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940</v>
      </c>
      <c r="H21" s="20">
        <v>955</v>
      </c>
      <c r="I21" s="21">
        <f t="shared" si="0"/>
        <v>0.52770448548812665</v>
      </c>
      <c r="J21" s="20">
        <v>845</v>
      </c>
      <c r="K21" s="20">
        <v>850</v>
      </c>
      <c r="L21" s="22">
        <f t="shared" si="1"/>
        <v>12.389380530973451</v>
      </c>
    </row>
    <row r="22" spans="1:12" ht="21" x14ac:dyDescent="0.3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345</v>
      </c>
      <c r="K22" s="20">
        <v>350</v>
      </c>
      <c r="L22" s="22">
        <f t="shared" si="1"/>
        <v>12.949640287769784</v>
      </c>
    </row>
    <row r="23" spans="1:12" ht="21" x14ac:dyDescent="0.3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" x14ac:dyDescent="0.3">
      <c r="A24" s="61" t="s">
        <v>32</v>
      </c>
      <c r="B24" s="6" t="s">
        <v>27</v>
      </c>
      <c r="C24" s="20">
        <v>164</v>
      </c>
      <c r="D24" s="20">
        <v>168</v>
      </c>
      <c r="E24" s="20">
        <v>162</v>
      </c>
      <c r="F24" s="20">
        <v>168</v>
      </c>
      <c r="G24" s="20">
        <v>158</v>
      </c>
      <c r="H24" s="20">
        <v>162</v>
      </c>
      <c r="I24" s="21">
        <f t="shared" si="0"/>
        <v>3.75</v>
      </c>
      <c r="J24" s="20">
        <v>144</v>
      </c>
      <c r="K24" s="20">
        <v>150</v>
      </c>
      <c r="L24" s="22">
        <f t="shared" si="1"/>
        <v>12.925170068027212</v>
      </c>
    </row>
    <row r="25" spans="1:12" ht="21" x14ac:dyDescent="0.3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3.0581039755351682</v>
      </c>
      <c r="J25" s="20">
        <v>150</v>
      </c>
      <c r="K25" s="20">
        <v>155</v>
      </c>
      <c r="L25" s="22">
        <f t="shared" si="1"/>
        <v>10.491803278688524</v>
      </c>
    </row>
    <row r="26" spans="1:12" ht="21" x14ac:dyDescent="0.3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" x14ac:dyDescent="0.3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" x14ac:dyDescent="0.3">
      <c r="A28" s="61" t="s">
        <v>36</v>
      </c>
      <c r="B28" s="6" t="s">
        <v>17</v>
      </c>
      <c r="C28" s="20">
        <v>90</v>
      </c>
      <c r="D28" s="20">
        <v>105</v>
      </c>
      <c r="E28" s="20">
        <v>85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5.4054054054054053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" x14ac:dyDescent="0.3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" x14ac:dyDescent="0.3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" x14ac:dyDescent="0.3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" x14ac:dyDescent="0.3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" x14ac:dyDescent="0.3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" x14ac:dyDescent="0.3">
      <c r="A34" s="61" t="s">
        <v>108</v>
      </c>
      <c r="B34" s="6" t="s">
        <v>17</v>
      </c>
      <c r="C34" s="20">
        <v>25</v>
      </c>
      <c r="D34" s="20">
        <v>30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25</v>
      </c>
      <c r="L34" s="22">
        <f t="shared" si="3"/>
        <v>22.222222222222221</v>
      </c>
    </row>
    <row r="35" spans="1:12" ht="21" x14ac:dyDescent="0.3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" x14ac:dyDescent="0.3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30</v>
      </c>
      <c r="H36" s="20">
        <v>55</v>
      </c>
      <c r="I36" s="21">
        <f t="shared" ref="I36:I51" si="4">((C36+D36)/2-(G36+H36)/2)/((G36+H36)/2)*100</f>
        <v>-11.76470588235294</v>
      </c>
      <c r="J36" s="20">
        <v>30</v>
      </c>
      <c r="K36" s="20">
        <v>46</v>
      </c>
      <c r="L36" s="22">
        <f t="shared" ref="L36:L51" si="5">((C36+D36)/2-(J36+K36)/2)/((J36+K36)/2)*100</f>
        <v>-1.3157894736842104</v>
      </c>
    </row>
    <row r="37" spans="1:12" ht="21" x14ac:dyDescent="0.3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" x14ac:dyDescent="0.3">
      <c r="A38" s="61" t="s">
        <v>43</v>
      </c>
      <c r="B38" s="6" t="s">
        <v>17</v>
      </c>
      <c r="C38" s="20">
        <v>80</v>
      </c>
      <c r="D38" s="20">
        <v>140</v>
      </c>
      <c r="E38" s="20">
        <v>70</v>
      </c>
      <c r="F38" s="20">
        <v>130</v>
      </c>
      <c r="G38" s="20">
        <v>60</v>
      </c>
      <c r="H38" s="20">
        <v>130</v>
      </c>
      <c r="I38" s="21">
        <f t="shared" si="4"/>
        <v>15.789473684210526</v>
      </c>
      <c r="J38" s="20">
        <v>80</v>
      </c>
      <c r="K38" s="20">
        <v>160</v>
      </c>
      <c r="L38" s="22">
        <f t="shared" si="5"/>
        <v>-8.3333333333333321</v>
      </c>
    </row>
    <row r="39" spans="1:12" ht="21" x14ac:dyDescent="0.3">
      <c r="A39" s="61" t="s">
        <v>44</v>
      </c>
      <c r="B39" s="6" t="s">
        <v>17</v>
      </c>
      <c r="C39" s="20">
        <v>160</v>
      </c>
      <c r="D39" s="20">
        <v>220</v>
      </c>
      <c r="E39" s="20">
        <v>170</v>
      </c>
      <c r="F39" s="20">
        <v>220</v>
      </c>
      <c r="G39" s="20">
        <v>200</v>
      </c>
      <c r="H39" s="20">
        <v>240</v>
      </c>
      <c r="I39" s="21">
        <f t="shared" si="4"/>
        <v>-13.636363636363635</v>
      </c>
      <c r="J39" s="20">
        <v>190</v>
      </c>
      <c r="K39" s="20">
        <v>240</v>
      </c>
      <c r="L39" s="22">
        <f t="shared" si="5"/>
        <v>-11.627906976744185</v>
      </c>
    </row>
    <row r="40" spans="1:12" ht="21" x14ac:dyDescent="0.3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" x14ac:dyDescent="0.3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" x14ac:dyDescent="0.3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" x14ac:dyDescent="0.3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" x14ac:dyDescent="0.3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200</v>
      </c>
      <c r="L44" s="22">
        <f t="shared" si="5"/>
        <v>0</v>
      </c>
    </row>
    <row r="45" spans="1:12" ht="21" x14ac:dyDescent="0.3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120</v>
      </c>
      <c r="H45" s="20">
        <v>220</v>
      </c>
      <c r="I45" s="21">
        <f t="shared" si="4"/>
        <v>-2.9411764705882351</v>
      </c>
      <c r="J45" s="20">
        <v>100</v>
      </c>
      <c r="K45" s="20">
        <v>200</v>
      </c>
      <c r="L45" s="22">
        <f t="shared" si="5"/>
        <v>10</v>
      </c>
    </row>
    <row r="46" spans="1:12" ht="21" x14ac:dyDescent="0.3">
      <c r="A46" s="61" t="s">
        <v>51</v>
      </c>
      <c r="B46" s="6" t="s">
        <v>17</v>
      </c>
      <c r="C46" s="20">
        <v>620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-1.4925373134328357</v>
      </c>
      <c r="J46" s="20">
        <v>650</v>
      </c>
      <c r="K46" s="20">
        <v>750</v>
      </c>
      <c r="L46" s="22">
        <f t="shared" si="5"/>
        <v>-5.7142857142857144</v>
      </c>
    </row>
    <row r="47" spans="1:12" ht="21" x14ac:dyDescent="0.3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400</v>
      </c>
      <c r="H47" s="20">
        <v>600</v>
      </c>
      <c r="I47" s="21">
        <f t="shared" si="4"/>
        <v>0</v>
      </c>
      <c r="J47" s="20">
        <v>500</v>
      </c>
      <c r="K47" s="20">
        <v>550</v>
      </c>
      <c r="L47" s="22">
        <f t="shared" si="5"/>
        <v>-4.7619047619047619</v>
      </c>
    </row>
    <row r="48" spans="1:12" ht="21" x14ac:dyDescent="0.3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1350</v>
      </c>
      <c r="K48" s="20">
        <v>1600</v>
      </c>
      <c r="L48" s="22">
        <f t="shared" si="5"/>
        <v>1.6949152542372881</v>
      </c>
    </row>
    <row r="49" spans="1:12" ht="21" x14ac:dyDescent="0.3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5100</v>
      </c>
      <c r="L49" s="22">
        <f t="shared" si="5"/>
        <v>4.1666666666666661</v>
      </c>
    </row>
    <row r="50" spans="1:12" ht="21" x14ac:dyDescent="0.3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" x14ac:dyDescent="0.3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" x14ac:dyDescent="0.3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" x14ac:dyDescent="0.3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" x14ac:dyDescent="0.3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" x14ac:dyDescent="0.3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" x14ac:dyDescent="0.3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" x14ac:dyDescent="0.3">
      <c r="A57" s="61" t="s">
        <v>60</v>
      </c>
      <c r="B57" s="6" t="s">
        <v>17</v>
      </c>
      <c r="C57" s="20">
        <v>180</v>
      </c>
      <c r="D57" s="20">
        <v>200</v>
      </c>
      <c r="E57" s="20">
        <v>170</v>
      </c>
      <c r="F57" s="20">
        <v>200</v>
      </c>
      <c r="G57" s="20">
        <v>210</v>
      </c>
      <c r="H57" s="20">
        <v>220</v>
      </c>
      <c r="I57" s="21">
        <f t="shared" si="6"/>
        <v>-11.627906976744185</v>
      </c>
      <c r="J57" s="20">
        <v>190</v>
      </c>
      <c r="K57" s="20">
        <v>210</v>
      </c>
      <c r="L57" s="22">
        <f t="shared" si="7"/>
        <v>-5</v>
      </c>
    </row>
    <row r="58" spans="1:12" ht="21" x14ac:dyDescent="0.3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" x14ac:dyDescent="0.3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 x14ac:dyDescent="0.3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 x14ac:dyDescent="0.3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 x14ac:dyDescent="0.3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 x14ac:dyDescent="0.3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 x14ac:dyDescent="0.3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 x14ac:dyDescent="0.3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" x14ac:dyDescent="0.25">
      <c r="A66" s="61" t="s">
        <v>4</v>
      </c>
      <c r="B66" s="6" t="s">
        <v>5</v>
      </c>
      <c r="C66" s="69" t="s">
        <v>6</v>
      </c>
      <c r="D66" s="70"/>
      <c r="E66" s="69" t="s">
        <v>7</v>
      </c>
      <c r="F66" s="70"/>
      <c r="G66" s="69" t="s">
        <v>8</v>
      </c>
      <c r="H66" s="70"/>
      <c r="I66" s="6" t="s">
        <v>9</v>
      </c>
      <c r="J66" s="69" t="s">
        <v>10</v>
      </c>
      <c r="K66" s="70"/>
      <c r="L66" s="18" t="s">
        <v>11</v>
      </c>
    </row>
    <row r="67" spans="1:12" ht="18" customHeight="1" x14ac:dyDescent="0.25">
      <c r="A67" s="66"/>
      <c r="B67" s="59"/>
      <c r="C67" s="71">
        <v>46122</v>
      </c>
      <c r="D67" s="72"/>
      <c r="E67" s="71">
        <v>46115</v>
      </c>
      <c r="F67" s="72"/>
      <c r="G67" s="71">
        <v>46091</v>
      </c>
      <c r="H67" s="72"/>
      <c r="I67" s="18" t="s">
        <v>12</v>
      </c>
      <c r="J67" s="71">
        <v>45757</v>
      </c>
      <c r="K67" s="72"/>
      <c r="L67" s="18" t="s">
        <v>12</v>
      </c>
    </row>
    <row r="68" spans="1:12" ht="21" x14ac:dyDescent="0.2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 x14ac:dyDescent="0.3">
      <c r="A69" s="61" t="s">
        <v>69</v>
      </c>
      <c r="B69" s="6" t="s">
        <v>17</v>
      </c>
      <c r="C69" s="20">
        <v>100</v>
      </c>
      <c r="D69" s="20">
        <v>110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" x14ac:dyDescent="0.3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" x14ac:dyDescent="0.3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" x14ac:dyDescent="0.3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30</v>
      </c>
      <c r="H72" s="20">
        <v>60</v>
      </c>
      <c r="I72" s="21">
        <f t="shared" si="9"/>
        <v>-22.222222222222221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" x14ac:dyDescent="0.3">
      <c r="A73" s="61" t="s">
        <v>113</v>
      </c>
      <c r="B73" s="53" t="s">
        <v>17</v>
      </c>
      <c r="C73" s="20">
        <v>60</v>
      </c>
      <c r="D73" s="20">
        <v>100</v>
      </c>
      <c r="E73" s="20">
        <v>40</v>
      </c>
      <c r="F73" s="20">
        <v>80</v>
      </c>
      <c r="G73" s="20">
        <v>80</v>
      </c>
      <c r="H73" s="20">
        <v>160</v>
      </c>
      <c r="I73" s="21">
        <f t="shared" si="9"/>
        <v>-33.333333333333329</v>
      </c>
      <c r="J73" s="20">
        <v>60</v>
      </c>
      <c r="K73" s="20">
        <v>80</v>
      </c>
      <c r="L73" s="22">
        <f t="shared" si="8"/>
        <v>14.285714285714285</v>
      </c>
    </row>
    <row r="74" spans="1:12" ht="21" x14ac:dyDescent="0.3">
      <c r="A74" s="61" t="s">
        <v>114</v>
      </c>
      <c r="B74" s="53" t="s">
        <v>17</v>
      </c>
      <c r="C74" s="20">
        <v>80</v>
      </c>
      <c r="D74" s="20">
        <v>120</v>
      </c>
      <c r="E74" s="20">
        <v>40</v>
      </c>
      <c r="F74" s="20">
        <v>70</v>
      </c>
      <c r="G74" s="20">
        <v>50</v>
      </c>
      <c r="H74" s="20">
        <v>70</v>
      </c>
      <c r="I74" s="21">
        <f t="shared" si="9"/>
        <v>66.666666666666657</v>
      </c>
      <c r="J74" s="20">
        <v>50</v>
      </c>
      <c r="K74" s="20">
        <v>80</v>
      </c>
      <c r="L74" s="22">
        <f t="shared" si="8"/>
        <v>53.846153846153847</v>
      </c>
    </row>
    <row r="75" spans="1:12" ht="21" x14ac:dyDescent="0.3">
      <c r="A75" s="61" t="s">
        <v>115</v>
      </c>
      <c r="B75" s="53" t="s">
        <v>17</v>
      </c>
      <c r="C75" s="20">
        <v>50</v>
      </c>
      <c r="D75" s="20">
        <v>80</v>
      </c>
      <c r="E75" s="20">
        <v>30</v>
      </c>
      <c r="F75" s="20">
        <v>70</v>
      </c>
      <c r="G75" s="20">
        <v>20</v>
      </c>
      <c r="H75" s="20">
        <v>80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 x14ac:dyDescent="0.3">
      <c r="A76" s="61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36</v>
      </c>
      <c r="H76" s="28">
        <v>40</v>
      </c>
      <c r="I76" s="21">
        <f t="shared" si="9"/>
        <v>-2.6315789473684208</v>
      </c>
      <c r="J76" s="28">
        <v>38</v>
      </c>
      <c r="K76" s="28">
        <v>45</v>
      </c>
      <c r="L76" s="22">
        <f t="shared" si="8"/>
        <v>-10.843373493975903</v>
      </c>
    </row>
    <row r="77" spans="1:12" ht="21" x14ac:dyDescent="0.3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" x14ac:dyDescent="0.3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83000</v>
      </c>
      <c r="H78" s="20">
        <v>88000</v>
      </c>
      <c r="I78" s="21">
        <f t="shared" si="9"/>
        <v>2.3391812865497075</v>
      </c>
      <c r="J78" s="20">
        <v>92500</v>
      </c>
      <c r="K78" s="20">
        <v>95000</v>
      </c>
      <c r="L78" s="22">
        <f t="shared" si="8"/>
        <v>-6.666666666666667</v>
      </c>
    </row>
    <row r="79" spans="1:12" ht="21" x14ac:dyDescent="0.3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79000</v>
      </c>
      <c r="H79" s="28">
        <v>82000</v>
      </c>
      <c r="I79" s="21">
        <f t="shared" si="9"/>
        <v>1.8633540372670807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 x14ac:dyDescent="0.25">
      <c r="A80" s="74" t="s">
        <v>126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8.75" x14ac:dyDescent="0.2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8.75" x14ac:dyDescent="0.25">
      <c r="A82" s="1"/>
      <c r="B82" s="1" t="s">
        <v>132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133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8.75" x14ac:dyDescent="0.2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8.75" x14ac:dyDescent="0.25">
      <c r="A86" s="5" t="s">
        <v>79</v>
      </c>
      <c r="B86" s="6" t="s">
        <v>80</v>
      </c>
      <c r="C86" s="69" t="s">
        <v>6</v>
      </c>
      <c r="D86" s="70"/>
      <c r="E86" s="76" t="s">
        <v>81</v>
      </c>
      <c r="F86" s="77"/>
      <c r="G86" s="41" t="s">
        <v>12</v>
      </c>
      <c r="H86" s="69" t="s">
        <v>82</v>
      </c>
      <c r="I86" s="78"/>
      <c r="J86" s="70"/>
      <c r="K86" s="44"/>
      <c r="L86" s="2"/>
    </row>
    <row r="87" spans="1:12" ht="18.75" x14ac:dyDescent="0.25">
      <c r="A87" s="61" t="s">
        <v>32</v>
      </c>
      <c r="B87" s="6" t="s">
        <v>27</v>
      </c>
      <c r="C87" s="42">
        <v>164</v>
      </c>
      <c r="D87" s="42">
        <v>168</v>
      </c>
      <c r="E87" s="42">
        <v>162</v>
      </c>
      <c r="F87" s="42">
        <v>168</v>
      </c>
      <c r="G87" s="7">
        <f t="shared" ref="G87:G90" si="10">((C87+D87)/2-(E87+F87)/2)/((E87+F87)/2)*100</f>
        <v>0.60606060606060608</v>
      </c>
      <c r="H87" s="5" t="s">
        <v>122</v>
      </c>
      <c r="I87" s="6"/>
      <c r="J87" s="6"/>
      <c r="K87" s="44"/>
      <c r="L87" s="2"/>
    </row>
    <row r="88" spans="1:12" ht="18.75" x14ac:dyDescent="0.25">
      <c r="A88" s="61" t="s">
        <v>99</v>
      </c>
      <c r="B88" s="6" t="s">
        <v>27</v>
      </c>
      <c r="C88" s="42">
        <v>165</v>
      </c>
      <c r="D88" s="42">
        <v>172</v>
      </c>
      <c r="E88" s="42">
        <v>165</v>
      </c>
      <c r="F88" s="42">
        <v>170</v>
      </c>
      <c r="G88" s="7">
        <f>((C88+D88)/2-(E88+F88)/2)/((E88+F88)/2)*100</f>
        <v>0.59701492537313439</v>
      </c>
      <c r="H88" s="5" t="s">
        <v>124</v>
      </c>
      <c r="I88" s="6"/>
      <c r="J88" s="6"/>
      <c r="K88" s="44"/>
      <c r="L88" s="2"/>
    </row>
    <row r="89" spans="1:12" ht="18.75" x14ac:dyDescent="0.25">
      <c r="A89" s="61" t="s">
        <v>36</v>
      </c>
      <c r="B89" s="6" t="s">
        <v>17</v>
      </c>
      <c r="C89" s="42">
        <v>90</v>
      </c>
      <c r="D89" s="42">
        <v>105</v>
      </c>
      <c r="E89" s="42">
        <v>85</v>
      </c>
      <c r="F89" s="42">
        <v>105</v>
      </c>
      <c r="G89" s="7">
        <f t="shared" si="10"/>
        <v>2.6315789473684208</v>
      </c>
      <c r="H89" s="5" t="s">
        <v>122</v>
      </c>
      <c r="I89" s="6"/>
      <c r="J89" s="6"/>
      <c r="K89" s="44"/>
      <c r="L89" s="2"/>
    </row>
    <row r="90" spans="1:12" ht="18.75" x14ac:dyDescent="0.25">
      <c r="A90" s="61" t="s">
        <v>108</v>
      </c>
      <c r="B90" s="6" t="s">
        <v>17</v>
      </c>
      <c r="C90" s="42">
        <v>25</v>
      </c>
      <c r="D90" s="42">
        <v>30</v>
      </c>
      <c r="E90" s="42">
        <v>20</v>
      </c>
      <c r="F90" s="42">
        <v>25</v>
      </c>
      <c r="G90" s="7">
        <f t="shared" si="10"/>
        <v>22.222222222222221</v>
      </c>
      <c r="H90" s="5" t="s">
        <v>125</v>
      </c>
      <c r="I90" s="6"/>
      <c r="J90" s="6"/>
      <c r="K90" s="44"/>
      <c r="L90" s="2"/>
    </row>
    <row r="91" spans="1:12" ht="21" x14ac:dyDescent="0.3">
      <c r="A91" s="61" t="s">
        <v>43</v>
      </c>
      <c r="B91" s="6" t="s">
        <v>17</v>
      </c>
      <c r="C91" s="20">
        <v>80</v>
      </c>
      <c r="D91" s="20">
        <v>140</v>
      </c>
      <c r="E91" s="20">
        <v>70</v>
      </c>
      <c r="F91" s="20">
        <v>130</v>
      </c>
      <c r="G91" s="7">
        <f t="shared" ref="G91:G92" si="11">((C91+D91)/2-(E91+F91)/2)/((E91+F91)/2)*100</f>
        <v>10</v>
      </c>
      <c r="H91" s="5" t="s">
        <v>127</v>
      </c>
      <c r="I91" s="6"/>
      <c r="J91" s="6"/>
      <c r="K91" s="44"/>
      <c r="L91" s="2"/>
    </row>
    <row r="92" spans="1:12" ht="21" customHeight="1" x14ac:dyDescent="0.3">
      <c r="A92" s="61" t="s">
        <v>44</v>
      </c>
      <c r="B92" s="6" t="s">
        <v>17</v>
      </c>
      <c r="C92" s="20">
        <v>160</v>
      </c>
      <c r="D92" s="20">
        <v>220</v>
      </c>
      <c r="E92" s="20">
        <v>170</v>
      </c>
      <c r="F92" s="20">
        <v>220</v>
      </c>
      <c r="G92" s="7">
        <f t="shared" si="11"/>
        <v>-2.5641025641025639</v>
      </c>
      <c r="H92" s="5" t="s">
        <v>123</v>
      </c>
      <c r="I92" s="6"/>
      <c r="J92" s="6"/>
      <c r="K92" s="44"/>
      <c r="L92" s="2"/>
    </row>
    <row r="93" spans="1:12" ht="21" customHeight="1" x14ac:dyDescent="0.3">
      <c r="A93" s="61" t="s">
        <v>60</v>
      </c>
      <c r="B93" s="6" t="s">
        <v>17</v>
      </c>
      <c r="C93" s="20">
        <v>180</v>
      </c>
      <c r="D93" s="20">
        <v>200</v>
      </c>
      <c r="E93" s="20">
        <v>170</v>
      </c>
      <c r="F93" s="20">
        <v>200</v>
      </c>
      <c r="G93" s="7">
        <f t="shared" ref="G93:G97" si="12">((C93+D93)/2-(E93+F93)/2)/((E93+F93)/2)*100</f>
        <v>2.7027027027027026</v>
      </c>
      <c r="H93" s="5" t="s">
        <v>131</v>
      </c>
      <c r="I93" s="6"/>
      <c r="J93" s="6"/>
      <c r="K93" s="44"/>
      <c r="L93" s="2"/>
    </row>
    <row r="94" spans="1:12" ht="21" x14ac:dyDescent="0.3">
      <c r="A94" s="61" t="s">
        <v>113</v>
      </c>
      <c r="B94" s="53" t="s">
        <v>17</v>
      </c>
      <c r="C94" s="20">
        <v>60</v>
      </c>
      <c r="D94" s="20">
        <v>100</v>
      </c>
      <c r="E94" s="20">
        <v>40</v>
      </c>
      <c r="F94" s="20">
        <v>80</v>
      </c>
      <c r="G94" s="7">
        <f t="shared" si="12"/>
        <v>33.333333333333329</v>
      </c>
      <c r="H94" s="5" t="s">
        <v>131</v>
      </c>
      <c r="I94" s="6"/>
      <c r="J94" s="6"/>
      <c r="K94" s="44"/>
      <c r="L94" s="45"/>
    </row>
    <row r="95" spans="1:12" ht="21" x14ac:dyDescent="0.3">
      <c r="A95" s="61" t="s">
        <v>114</v>
      </c>
      <c r="B95" s="53" t="s">
        <v>17</v>
      </c>
      <c r="C95" s="20">
        <v>80</v>
      </c>
      <c r="D95" s="20">
        <v>120</v>
      </c>
      <c r="E95" s="20">
        <v>40</v>
      </c>
      <c r="F95" s="20">
        <v>70</v>
      </c>
      <c r="G95" s="7">
        <f t="shared" si="12"/>
        <v>81.818181818181827</v>
      </c>
      <c r="H95" s="5" t="s">
        <v>125</v>
      </c>
      <c r="I95" s="6"/>
      <c r="J95" s="6"/>
      <c r="K95" s="44"/>
      <c r="L95" s="45"/>
    </row>
    <row r="96" spans="1:12" ht="21" x14ac:dyDescent="0.3">
      <c r="A96" s="61" t="s">
        <v>115</v>
      </c>
      <c r="B96" s="53" t="s">
        <v>17</v>
      </c>
      <c r="C96" s="20">
        <v>50</v>
      </c>
      <c r="D96" s="20">
        <v>80</v>
      </c>
      <c r="E96" s="20">
        <v>30</v>
      </c>
      <c r="F96" s="20">
        <v>70</v>
      </c>
      <c r="G96" s="7">
        <f t="shared" si="12"/>
        <v>30</v>
      </c>
      <c r="H96" s="5" t="s">
        <v>127</v>
      </c>
      <c r="I96" s="6"/>
      <c r="J96" s="6"/>
      <c r="K96" s="44"/>
      <c r="L96" s="45"/>
    </row>
    <row r="97" spans="1:12" ht="18.75" x14ac:dyDescent="0.25">
      <c r="A97" s="61" t="s">
        <v>69</v>
      </c>
      <c r="B97" s="6" t="s">
        <v>17</v>
      </c>
      <c r="C97" s="42">
        <v>100</v>
      </c>
      <c r="D97" s="42">
        <v>110</v>
      </c>
      <c r="E97" s="42">
        <v>100</v>
      </c>
      <c r="F97" s="42">
        <v>105</v>
      </c>
      <c r="G97" s="7">
        <f t="shared" si="12"/>
        <v>2.4390243902439024</v>
      </c>
      <c r="H97" s="5" t="s">
        <v>127</v>
      </c>
      <c r="I97" s="6"/>
      <c r="J97" s="6"/>
      <c r="K97" s="45"/>
      <c r="L97" s="45"/>
    </row>
    <row r="98" spans="1:12" ht="18.75" x14ac:dyDescent="0.25">
      <c r="A98" s="1"/>
      <c r="B98" s="54"/>
      <c r="C98" s="37"/>
      <c r="D98" s="37"/>
      <c r="E98" s="37"/>
      <c r="F98" s="37"/>
      <c r="G98" s="9"/>
      <c r="H98" s="1"/>
      <c r="I98" s="3"/>
      <c r="J98" s="3"/>
      <c r="K98" s="45"/>
      <c r="L98" s="45"/>
    </row>
    <row r="99" spans="1:12" ht="18.75" x14ac:dyDescent="0.25">
      <c r="A99" s="1"/>
      <c r="B99" s="3"/>
      <c r="C99" s="37"/>
      <c r="D99" s="37"/>
      <c r="E99" s="37"/>
      <c r="F99" s="37"/>
      <c r="G99" s="9"/>
      <c r="H99" s="46"/>
      <c r="I99" s="45"/>
      <c r="J99" s="45"/>
      <c r="K99" s="45"/>
      <c r="L99" s="45"/>
    </row>
    <row r="100" spans="1:12" ht="18.75" x14ac:dyDescent="0.25">
      <c r="A100" s="1"/>
      <c r="B100" s="47"/>
      <c r="C100" s="48"/>
      <c r="D100" s="48"/>
      <c r="E100" s="3"/>
      <c r="F100" s="48"/>
      <c r="G100" s="9"/>
      <c r="H100" s="46"/>
      <c r="I100" s="45"/>
      <c r="J100" s="45"/>
      <c r="K100" s="45"/>
      <c r="L100" s="45"/>
    </row>
    <row r="101" spans="1:12" ht="18.75" x14ac:dyDescent="0.25">
      <c r="A101" s="47"/>
      <c r="B101" s="1"/>
      <c r="C101" s="49" t="s">
        <v>110</v>
      </c>
      <c r="D101" s="2"/>
      <c r="E101" s="47"/>
      <c r="F101" s="50"/>
      <c r="G101" s="3" t="s">
        <v>120</v>
      </c>
      <c r="H101" s="2"/>
      <c r="I101" s="47"/>
    </row>
    <row r="102" spans="1:12" ht="18.75" x14ac:dyDescent="0.25">
      <c r="A102" s="47"/>
      <c r="B102" s="51"/>
      <c r="C102" s="49" t="s">
        <v>111</v>
      </c>
      <c r="D102" s="3"/>
      <c r="E102" s="47"/>
      <c r="F102" s="52"/>
      <c r="G102" s="3" t="s">
        <v>121</v>
      </c>
      <c r="H102" s="47"/>
      <c r="I102" s="47"/>
    </row>
    <row r="103" spans="1:12" ht="18.75" x14ac:dyDescent="0.25">
      <c r="A103" s="1"/>
      <c r="B103" s="3"/>
      <c r="C103" s="48"/>
      <c r="D103" s="3"/>
      <c r="E103" s="48"/>
      <c r="F103" s="1"/>
      <c r="G103" s="3"/>
      <c r="H103" s="3"/>
      <c r="I103" s="2"/>
      <c r="J103" s="2"/>
      <c r="K103" s="2"/>
      <c r="L103" s="2"/>
    </row>
    <row r="104" spans="1:12" ht="18.75" x14ac:dyDescent="0.25">
      <c r="A104" s="35" t="s">
        <v>89</v>
      </c>
      <c r="B104" s="33"/>
      <c r="C104" s="31"/>
      <c r="D104" s="33"/>
      <c r="E104" s="31"/>
      <c r="F104" s="31"/>
      <c r="G104" s="31"/>
      <c r="H104" s="32"/>
      <c r="I104" s="2"/>
      <c r="J104" s="2"/>
      <c r="K104" s="2"/>
      <c r="L104" s="2"/>
    </row>
    <row r="105" spans="1:12" ht="18.75" x14ac:dyDescent="0.25">
      <c r="A105" s="34" t="s">
        <v>93</v>
      </c>
      <c r="B105" s="33"/>
      <c r="C105" s="31"/>
      <c r="D105" s="33"/>
      <c r="E105" s="31"/>
      <c r="F105" s="31"/>
      <c r="G105" s="33"/>
      <c r="H105" s="32"/>
      <c r="I105" s="2"/>
      <c r="J105" s="2"/>
      <c r="K105" s="2"/>
      <c r="L105" s="2"/>
    </row>
    <row r="106" spans="1:12" ht="18.75" x14ac:dyDescent="0.25">
      <c r="A106" s="34" t="s">
        <v>117</v>
      </c>
      <c r="B106" s="33"/>
      <c r="C106" s="33"/>
      <c r="D106" s="33"/>
      <c r="E106" s="33"/>
      <c r="F106" s="31"/>
      <c r="G106" s="33"/>
      <c r="H106" s="32"/>
      <c r="I106" s="2"/>
      <c r="J106" s="2"/>
      <c r="K106" s="2"/>
      <c r="L106" s="2"/>
    </row>
    <row r="107" spans="1:12" ht="18.75" x14ac:dyDescent="0.25">
      <c r="A107" s="34" t="s">
        <v>83</v>
      </c>
      <c r="B107" s="33"/>
      <c r="C107" s="33"/>
      <c r="D107" s="33"/>
      <c r="E107" s="33"/>
      <c r="F107" s="32"/>
      <c r="G107" s="32"/>
      <c r="H107" s="32"/>
      <c r="I107" s="2"/>
      <c r="J107" s="2"/>
      <c r="K107" s="2"/>
      <c r="L107" s="2"/>
    </row>
    <row r="108" spans="1:12" ht="18.75" x14ac:dyDescent="0.25">
      <c r="A108" s="34" t="s">
        <v>118</v>
      </c>
      <c r="B108" s="33"/>
      <c r="C108" s="33"/>
      <c r="D108" s="33"/>
      <c r="E108" s="33"/>
      <c r="F108" s="33"/>
      <c r="G108" s="32"/>
      <c r="H108" s="32"/>
      <c r="I108" s="2"/>
      <c r="J108" s="2"/>
      <c r="K108" s="2"/>
      <c r="L108" s="2"/>
    </row>
    <row r="109" spans="1:12" ht="18.75" x14ac:dyDescent="0.25">
      <c r="A109" s="34" t="s">
        <v>92</v>
      </c>
      <c r="B109" s="33"/>
      <c r="C109" s="33"/>
      <c r="D109" s="33"/>
      <c r="E109" s="33"/>
      <c r="F109" s="33"/>
      <c r="G109" s="33"/>
      <c r="H109" s="32"/>
      <c r="I109" s="2"/>
      <c r="J109" s="2"/>
      <c r="K109" s="2"/>
      <c r="L109" s="2"/>
    </row>
    <row r="110" spans="1:12" ht="18.75" x14ac:dyDescent="0.25">
      <c r="A110" s="34" t="s">
        <v>100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8.75" x14ac:dyDescent="0.25">
      <c r="A111" s="34" t="s">
        <v>91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8.75" x14ac:dyDescent="0.25">
      <c r="A112" s="34" t="s">
        <v>90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8.75" x14ac:dyDescent="0.25">
      <c r="A113" s="34" t="s">
        <v>84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8.75" x14ac:dyDescent="0.25">
      <c r="A114" s="34" t="s">
        <v>94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8.75" x14ac:dyDescent="0.25">
      <c r="A115" s="34" t="s">
        <v>116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8.75" x14ac:dyDescent="0.25">
      <c r="A116" s="34" t="s">
        <v>95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8.75" x14ac:dyDescent="0.25">
      <c r="A117" s="34" t="s">
        <v>96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8.75" x14ac:dyDescent="0.25">
      <c r="A118" s="34" t="s">
        <v>119</v>
      </c>
      <c r="B118" s="33"/>
      <c r="C118" s="33"/>
      <c r="D118" s="33"/>
      <c r="E118" s="33"/>
      <c r="F118" s="33"/>
      <c r="G118" s="33"/>
      <c r="H118" s="36"/>
      <c r="I118" s="45"/>
      <c r="J118" s="45"/>
      <c r="K118" s="45"/>
      <c r="L118" s="45"/>
    </row>
    <row r="119" spans="1:12" ht="18.75" x14ac:dyDescent="0.25">
      <c r="A119" s="34"/>
      <c r="B119" s="33"/>
      <c r="C119" s="33"/>
      <c r="D119" s="33"/>
      <c r="E119" s="33"/>
      <c r="F119" s="33"/>
      <c r="G119" s="33"/>
      <c r="H119" s="36"/>
      <c r="I119" s="45"/>
      <c r="J119" s="45"/>
      <c r="K119" s="45"/>
      <c r="L119" s="45"/>
    </row>
    <row r="120" spans="1:12" ht="18.75" x14ac:dyDescent="0.25">
      <c r="A120" s="35" t="s">
        <v>85</v>
      </c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8.75" x14ac:dyDescent="0.25">
      <c r="A121" s="34" t="s">
        <v>86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8.75" x14ac:dyDescent="0.25">
      <c r="A122" s="34" t="s">
        <v>106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8.75" x14ac:dyDescent="0.25">
      <c r="A123" s="34" t="s">
        <v>105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8.75" x14ac:dyDescent="0.25">
      <c r="A124" s="34" t="s">
        <v>104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2026-04-09T09:09:57Z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