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rch-2026\"/>
    </mc:Choice>
  </mc:AlternateContent>
  <xr:revisionPtr revIDLastSave="0" documentId="13_ncr:1_{630C0928-63C6-4EF6-81D9-02C4C37E0EC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5" i="4" l="1"/>
  <c r="G91" i="4"/>
  <c r="G90" i="4"/>
  <c r="G89" i="4"/>
  <c r="G97" i="4"/>
  <c r="G94" i="4"/>
  <c r="G96" i="4"/>
  <c r="G92" i="4"/>
  <c r="I77" i="4"/>
  <c r="I76" i="4"/>
  <c r="I75" i="4"/>
  <c r="I74" i="4"/>
  <c r="L74" i="4"/>
  <c r="L77" i="4"/>
  <c r="L76" i="4"/>
  <c r="L75" i="4"/>
  <c r="G93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<sst xmlns="http://schemas.openxmlformats.org/spreadsheetml/2006/main" count="248" uniqueCount="137">
  <si>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</si>
  <si>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</si>
  <si>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</si>
  <si>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</si>
  <si>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</si>
  <si>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</si>
  <si>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</si>
  <si>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</si>
  <si>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</si>
  <si>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</si>
  <si>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</si>
  <si>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</si>
  <si>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</si>
  <si>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</si>
  <si>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</si>
  <si>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</si>
  <si>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</si>
  <si>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</si>
  <si>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</si>
  <si>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</si>
  <si>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</si>
  <si>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</si>
  <si>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</si>
  <si>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</si>
  <si>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</si>
  <si>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</si>
  <si>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</si>
  <si>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</si>
  <si>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</si>
  <si>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</si>
  <si>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</si>
  <si>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</si>
  <si>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</si>
  <si>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</si>
  <si>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</si>
  <si>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</si>
  <si>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</si>
  <si>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</si>
  <si>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</si>
  <si>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</si>
  <si>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</si>
  <si>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</si>
  <si>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</si>
  <si>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</si>
  <si>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</si>
  <si>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</si>
  <si>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</si>
  <si>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</si>
  <si>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</si>
  <si>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</si>
  <si>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</si>
  <si>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</si>
  <si>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</si>
  <si>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</si>
  <si>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</si>
  <si>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</si>
  <si>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</si>
  <si>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</si>
  <si>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</si>
  <si>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</si>
  <si>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</si>
  <si>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</si>
  <si>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</si>
  <si>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</si>
  <si>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</si>
  <si>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</si>
  <si>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</si>
  <si>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</si>
  <si>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</si>
  <si>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</si>
  <si>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</si>
  <si>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</si>
  <si>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</si>
  <si>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</si>
  <si>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</si>
  <si>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</si>
  <si>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</si>
  <si>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</si>
  <si>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</si>
  <si>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</si>
  <si>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</si>
  <si>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</si>
  <si>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</si>
  <si>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</si>
  <si>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</si>
  <si>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</si>
  <si>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</si>
  <si>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</si>
  <si>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</si>
  <si>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</si>
  <si>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</si>
  <si>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</si>
  <si>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</si>
  <si>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</si>
  <si>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</si>
  <si>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</si>
  <si>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</si>
  <si>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</si>
  <si>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</si>
  <si>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</si>
  <si>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</si>
  <si>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</si>
  <si>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</si>
  <si>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</si>
  <si>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</si>
  <si>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</si>
  <si>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</si>
  <si>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</si>
  <si>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</si>
  <si>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</si>
  <si>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</si>
  <si>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</si>
  <si>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</si>
  <si>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</si>
  <si>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</si>
  <si>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</si>
  <si>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</si>
  <si>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</si>
  <si>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</si>
  <si>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</si>
  <si>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</si>
  <si>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</si>
  <si>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২৫-০২-২০২৬ তারিখে মূল্য বৃদ্ধি পেয়েছে।</t>
  </si>
  <si>
    <t>(মোঃ ইসমাইল মজুমদার)</t>
  </si>
  <si>
    <t>সহকারী পরিচালক (বাজার তথ্য)</t>
  </si>
  <si>
    <t>২৭-০২-২০২৬ তারিখে মূল্য হ্রাস পেয়েছে।</t>
  </si>
  <si>
    <t>০১-০৩-২০২৬ তারিখে মূল্য বৃদ্ধি পেয়েছে।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</si>
  <si>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</si>
  <si>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০২-০৩-২০২৬ তারিখে মূল্য হ্রাস পেয়েছে।</t>
  </si>
  <si>
    <t>০২-০৩-২০২৬ তারিখে মূল্য বৃদ্ধি পেয়েছে।</t>
  </si>
  <si>
    <t>(২)   সয়াবিন তেল লুজ, রশুন (আম), শুকনা মরিচ (আম)   এর মূল্য বৃদ্ধি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</si>
  <si>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রামপুরা, মহাখালী  বাজার।   </t>
  </si>
  <si>
    <t>স্মারক নং-২৬.০৫.০০০০.০১৭.৩১.০১.২৬-১৮০</t>
  </si>
  <si>
    <t xml:space="preserve">মঙ্গলবার ০৩ মার্চ ২০২৬ খ্রিঃ, ১৮ ফাল্গুন ১৪৩২ বাংলা, ১৩ রমজান ১৪৪৭ হিজরি </t>
  </si>
  <si>
    <t xml:space="preserve">   সিরিয়াল নংঃ     ০৫৮</t>
  </si>
  <si>
    <t>০৩-০৩-২০২৬ তারিখে মূল্য হ্রাস পেয়েছে।</t>
  </si>
  <si>
    <t>(১)   চাল (মাঝারী), ময়দা (প্যা:), মসুর ডাল (বড়), লেবু, বেগুন, শসা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</si>
</sst>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23"/>
  <sheetViews>
    <sheetView tabSelected="1" topLeftCell="A88" zoomScale="112" zoomScaleNormal="112" workbookViewId="0">
      <selection activeCell="B84" sqref="B84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3" t="s">
        <v>134</v>
      </c>
      <c r="L6" s="84"/>
    </row>
    <row r="7" spans="1:12" ht="19.5" customHeight="1">
      <c r="A7" s="17"/>
      <c r="B7" s="8"/>
      <c r="C7" s="8"/>
      <c r="D7" s="17"/>
      <c r="E7" s="8"/>
      <c r="F7" s="8" t="s">
        <v>133</v>
      </c>
      <c r="G7" s="8"/>
      <c r="H7" s="8"/>
      <c r="I7" s="8"/>
      <c r="J7" s="8"/>
      <c r="K7" s="8"/>
      <c r="L7" s="49"/>
    </row>
    <row r="8" spans="1:12" ht="21.75">
      <c r="A8" s="20" t="s">
        <v>132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46084</v>
      </c>
    </row>
    <row r="9" spans="1:12" ht="21.75">
      <c r="A9" s="25" t="s">
        <v>4</v>
      </c>
      <c r="B9" s="26" t="s">
        <v>5</v>
      </c>
      <c r="C9" s="83" t="s">
        <v>6</v>
      </c>
      <c r="D9" s="84"/>
      <c r="E9" s="83" t="s">
        <v>7</v>
      </c>
      <c r="F9" s="84"/>
      <c r="G9" s="83" t="s">
        <v>8</v>
      </c>
      <c r="H9" s="84"/>
      <c r="I9" s="26" t="s">
        <v>9</v>
      </c>
      <c r="J9" s="83" t="s">
        <v>10</v>
      </c>
      <c r="K9" s="84"/>
      <c r="L9" s="27" t="s">
        <v>11</v>
      </c>
    </row>
    <row r="10" spans="1:12" ht="21.75">
      <c r="A10" s="25"/>
      <c r="B10" s="26"/>
      <c r="C10" s="85">
        <v>46084</v>
      </c>
      <c r="D10" s="84"/>
      <c r="E10" s="85">
        <v>46077</v>
      </c>
      <c r="F10" s="84"/>
      <c r="G10" s="85">
        <v>46056</v>
      </c>
      <c r="H10" s="84"/>
      <c r="I10" s="26" t="s">
        <v>12</v>
      </c>
      <c r="J10" s="85">
        <v>45719</v>
      </c>
      <c r="K10" s="84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55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-2.3809523809523809</v>
      </c>
      <c r="J13" s="29">
        <v>58</v>
      </c>
      <c r="K13" s="29">
        <v>65</v>
      </c>
      <c r="L13" s="31">
        <f>((C13+D13)/2-(J13+K13)/2)/((J13+K13)/2)*100</f>
        <v>0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46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60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60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-3.5714285714285712</v>
      </c>
      <c r="J19" s="29">
        <v>65</v>
      </c>
      <c r="K19" s="29">
        <v>70</v>
      </c>
      <c r="L19" s="31">
        <f>((C19+D19)/2-(J19+K19)/2)/((J19+K19)/2)*100</f>
        <v>0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186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0.27777777777777779</v>
      </c>
      <c r="J21" s="29">
        <v>185</v>
      </c>
      <c r="K21" s="29">
        <v>190</v>
      </c>
      <c r="L21" s="31">
        <f t="shared" ref="L21:L27" si="1">((C21+D21)/2-(J21+K21)/2)/((J21+K21)/2)*100</f>
        <v>-3.7333333333333338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150</v>
      </c>
      <c r="F25" s="29">
        <v>162</v>
      </c>
      <c r="G25" s="29">
        <v>155</v>
      </c>
      <c r="H25" s="29">
        <v>162</v>
      </c>
      <c r="I25" s="30">
        <f t="shared" si="0"/>
        <v>-1.5772870662460567</v>
      </c>
      <c r="J25" s="29">
        <v>150</v>
      </c>
      <c r="K25" s="29">
        <v>153</v>
      </c>
      <c r="L25" s="31">
        <f t="shared" si="1"/>
        <v>2.9702970297029703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55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13.043478260869565</v>
      </c>
      <c r="J33" s="29">
        <v>60</v>
      </c>
      <c r="K33" s="29">
        <v>80</v>
      </c>
      <c r="L33" s="31">
        <f t="shared" si="3"/>
        <v>-7.1428571428571423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-10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40</v>
      </c>
      <c r="D37" s="29">
        <v>60</v>
      </c>
      <c r="E37" s="29">
        <v>40</v>
      </c>
      <c r="F37" s="29">
        <v>60</v>
      </c>
      <c r="G37" s="29">
        <v>45</v>
      </c>
      <c r="H37" s="29">
        <v>60</v>
      </c>
      <c r="I37" s="30">
        <f t="shared" ref="I37:I52" si="4">((C37+D37)/2-(G37+H37)/2)/((G37+H37)/2)*100</f>
        <v>-4.7619047619047619</v>
      </c>
      <c r="J37" s="29">
        <v>40</v>
      </c>
      <c r="K37" s="29">
        <v>50</v>
      </c>
      <c r="L37" s="31">
        <f t="shared" ref="L37:L52" si="5">((C37+D37)/2-(J37+K37)/2)/((J37+K37)/2)*100</f>
        <v>11.111111111111111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60</v>
      </c>
      <c r="H38" s="29">
        <v>80</v>
      </c>
      <c r="I38" s="30">
        <f t="shared" si="4"/>
        <v>-100</v>
      </c>
      <c r="J38" s="29">
        <v>60</v>
      </c>
      <c r="K38" s="29">
        <v>70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80</v>
      </c>
      <c r="F39" s="29">
        <v>130</v>
      </c>
      <c r="G39" s="29">
        <v>80</v>
      </c>
      <c r="H39" s="29">
        <v>140</v>
      </c>
      <c r="I39" s="30">
        <f t="shared" si="4"/>
        <v>-4.5454545454545459</v>
      </c>
      <c r="J39" s="29">
        <v>110</v>
      </c>
      <c r="K39" s="29">
        <v>240</v>
      </c>
      <c r="L39" s="31">
        <f t="shared" si="5"/>
        <v>-40</v>
      </c>
    </row>
    <row r="40" spans="1:12" ht="21.75">
      <c r="A40" s="69" t="s">
        <v>45</v>
      </c>
      <c r="B40" s="6" t="s">
        <v>18</v>
      </c>
      <c r="C40" s="29">
        <v>190</v>
      </c>
      <c r="D40" s="29">
        <v>220</v>
      </c>
      <c r="E40" s="29">
        <v>180</v>
      </c>
      <c r="F40" s="29">
        <v>220</v>
      </c>
      <c r="G40" s="29">
        <v>180</v>
      </c>
      <c r="H40" s="29">
        <v>200</v>
      </c>
      <c r="I40" s="30">
        <f t="shared" si="4"/>
        <v>7.8947368421052628</v>
      </c>
      <c r="J40" s="29">
        <v>220</v>
      </c>
      <c r="K40" s="29">
        <v>250</v>
      </c>
      <c r="L40" s="31">
        <f t="shared" si="5"/>
        <v>-12.76595744680851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250</v>
      </c>
      <c r="F41" s="29">
        <v>300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450</v>
      </c>
      <c r="L42" s="31">
        <f t="shared" si="5"/>
        <v>-16.25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350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350</v>
      </c>
      <c r="L43" s="31">
        <f t="shared" si="5"/>
        <v>-2.9850746268656714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250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300</v>
      </c>
      <c r="L44" s="31">
        <f t="shared" si="5"/>
        <v>18.181818181818183</v>
      </c>
    </row>
    <row r="45" spans="1:12" ht="21.75">
      <c r="A45" s="69" t="s">
        <v>50</v>
      </c>
      <c r="B45" s="6" t="s">
        <v>18</v>
      </c>
      <c r="C45" s="29">
        <v>140</v>
      </c>
      <c r="D45" s="29">
        <v>250</v>
      </c>
      <c r="E45" s="29">
        <v>140</v>
      </c>
      <c r="F45" s="29">
        <v>250</v>
      </c>
      <c r="G45" s="29">
        <v>140</v>
      </c>
      <c r="H45" s="29">
        <v>200</v>
      </c>
      <c r="I45" s="30">
        <f t="shared" si="4"/>
        <v>14.705882352941178</v>
      </c>
      <c r="J45" s="29">
        <v>100</v>
      </c>
      <c r="K45" s="29">
        <v>250</v>
      </c>
      <c r="L45" s="31">
        <f t="shared" si="5"/>
        <v>11.428571428571429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140</v>
      </c>
      <c r="H46" s="29">
        <v>220</v>
      </c>
      <c r="I46" s="30">
        <f t="shared" si="4"/>
        <v>2.7777777777777777</v>
      </c>
      <c r="J46" s="29">
        <v>100</v>
      </c>
      <c r="K46" s="29">
        <v>200</v>
      </c>
      <c r="L46" s="31">
        <f t="shared" si="5"/>
        <v>23.333333333333332</v>
      </c>
    </row>
    <row r="47" spans="1:12" ht="21.75">
      <c r="A47" s="69" t="s">
        <v>52</v>
      </c>
      <c r="B47" s="6" t="s">
        <v>18</v>
      </c>
      <c r="C47" s="29">
        <v>580</v>
      </c>
      <c r="D47" s="29">
        <v>700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-1.5384615384615385</v>
      </c>
      <c r="J47" s="29">
        <v>650</v>
      </c>
      <c r="K47" s="29">
        <v>750</v>
      </c>
      <c r="L47" s="31">
        <f t="shared" si="5"/>
        <v>-8.5714285714285712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680</v>
      </c>
      <c r="L48" s="31">
        <f t="shared" si="5"/>
        <v>-8.4745762711864394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1300</v>
      </c>
      <c r="H49" s="29">
        <v>1600</v>
      </c>
      <c r="I49" s="30">
        <f t="shared" si="4"/>
        <v>1.7241379310344827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5000</v>
      </c>
      <c r="L50" s="31">
        <f t="shared" si="5"/>
        <v>2.0408163265306123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800</v>
      </c>
      <c r="F55" s="29">
        <v>1800</v>
      </c>
      <c r="G55" s="29">
        <v>1200</v>
      </c>
      <c r="H55" s="29">
        <v>2500</v>
      </c>
      <c r="I55" s="30">
        <f t="shared" si="6"/>
        <v>-29.72972972972973</v>
      </c>
      <c r="J55" s="29">
        <v>600</v>
      </c>
      <c r="K55" s="29">
        <v>1400</v>
      </c>
      <c r="L55" s="31">
        <f t="shared" si="7"/>
        <v>30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1100</v>
      </c>
      <c r="K57" s="29">
        <v>1250</v>
      </c>
      <c r="L57" s="31">
        <f t="shared" si="7"/>
        <v>-6.3829787234042552</v>
      </c>
    </row>
    <row r="58" spans="1:12" ht="21.75">
      <c r="A58" s="69" t="s">
        <v>61</v>
      </c>
      <c r="B58" s="6" t="s">
        <v>18</v>
      </c>
      <c r="C58" s="29">
        <v>165</v>
      </c>
      <c r="D58" s="29">
        <v>190</v>
      </c>
      <c r="E58" s="29">
        <v>165</v>
      </c>
      <c r="F58" s="29">
        <v>190</v>
      </c>
      <c r="G58" s="29">
        <v>170</v>
      </c>
      <c r="H58" s="29">
        <v>185</v>
      </c>
      <c r="I58" s="30">
        <f t="shared" si="6"/>
        <v>0</v>
      </c>
      <c r="J58" s="29">
        <v>165</v>
      </c>
      <c r="K58" s="29">
        <v>210</v>
      </c>
      <c r="L58" s="31">
        <f t="shared" si="7"/>
        <v>-5.3333333333333339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3" t="s">
        <v>6</v>
      </c>
      <c r="D68" s="84"/>
      <c r="E68" s="83" t="s">
        <v>7</v>
      </c>
      <c r="F68" s="84"/>
      <c r="G68" s="83" t="s">
        <v>8</v>
      </c>
      <c r="H68" s="84"/>
      <c r="I68" s="26" t="s">
        <v>9</v>
      </c>
      <c r="J68" s="83" t="s">
        <v>10</v>
      </c>
      <c r="K68" s="84"/>
      <c r="L68" s="26" t="s">
        <v>11</v>
      </c>
    </row>
    <row r="69" spans="1:12" ht="18" customHeight="1">
      <c r="A69" s="73"/>
      <c r="B69" s="64"/>
      <c r="C69" s="85">
        <v>46084</v>
      </c>
      <c r="D69" s="84"/>
      <c r="E69" s="85">
        <v>46077</v>
      </c>
      <c r="F69" s="84"/>
      <c r="G69" s="85">
        <v>46056</v>
      </c>
      <c r="H69" s="84"/>
      <c r="I69" s="26" t="s">
        <v>12</v>
      </c>
      <c r="J69" s="85">
        <v>45719</v>
      </c>
      <c r="K69" s="84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</v>
      </c>
      <c r="J71" s="29">
        <v>118</v>
      </c>
      <c r="K71" s="29">
        <v>125</v>
      </c>
      <c r="L71" s="31">
        <f t="shared" ref="L71:L81" si="8">((C71+D71)/2-(J71+K71)/2)/((J71+K71)/2)*100</f>
        <v>-16.460905349794238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300</v>
      </c>
      <c r="F72" s="29">
        <v>500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70</v>
      </c>
      <c r="E74" s="29">
        <v>35</v>
      </c>
      <c r="F74" s="29">
        <v>80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100</v>
      </c>
      <c r="D75" s="29">
        <v>140</v>
      </c>
      <c r="E75" s="29">
        <v>70</v>
      </c>
      <c r="F75" s="29">
        <v>160</v>
      </c>
      <c r="G75" s="37">
        <v>100</v>
      </c>
      <c r="H75" s="37">
        <v>120</v>
      </c>
      <c r="I75" s="30">
        <f t="shared" si="9"/>
        <v>9.0909090909090917</v>
      </c>
      <c r="J75" s="29">
        <v>40</v>
      </c>
      <c r="K75" s="29">
        <v>90</v>
      </c>
      <c r="L75" s="31">
        <f t="shared" si="8"/>
        <v>84.615384615384613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100</v>
      </c>
      <c r="E76" s="29">
        <v>60</v>
      </c>
      <c r="F76" s="29">
        <v>110</v>
      </c>
      <c r="G76" s="29">
        <v>40</v>
      </c>
      <c r="H76" s="29">
        <v>80</v>
      </c>
      <c r="I76" s="30">
        <f t="shared" si="9"/>
        <v>33.333333333333329</v>
      </c>
      <c r="J76" s="29">
        <v>80</v>
      </c>
      <c r="K76" s="29">
        <v>130</v>
      </c>
      <c r="L76" s="31">
        <f t="shared" si="8"/>
        <v>-23.809523809523807</v>
      </c>
    </row>
    <row r="77" spans="1:12" ht="21.75">
      <c r="A77" s="69" t="s">
        <v>118</v>
      </c>
      <c r="B77" s="66" t="s">
        <v>18</v>
      </c>
      <c r="C77" s="29">
        <v>40</v>
      </c>
      <c r="D77" s="29">
        <v>100</v>
      </c>
      <c r="E77" s="29">
        <v>60</v>
      </c>
      <c r="F77" s="29">
        <v>100</v>
      </c>
      <c r="G77" s="29">
        <v>50</v>
      </c>
      <c r="H77" s="37">
        <v>120</v>
      </c>
      <c r="I77" s="30">
        <f t="shared" si="9"/>
        <v>-17.647058823529413</v>
      </c>
      <c r="J77" s="29">
        <v>50</v>
      </c>
      <c r="K77" s="29">
        <v>140</v>
      </c>
      <c r="L77" s="31">
        <f t="shared" si="8"/>
        <v>-26.315789473684209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32</v>
      </c>
      <c r="F78" s="37">
        <v>40</v>
      </c>
      <c r="G78" s="37">
        <v>34</v>
      </c>
      <c r="H78" s="37">
        <v>40</v>
      </c>
      <c r="I78" s="30">
        <f t="shared" si="9"/>
        <v>-2.7027027027027026</v>
      </c>
      <c r="J78" s="37">
        <v>40</v>
      </c>
      <c r="K78" s="37">
        <v>45</v>
      </c>
      <c r="L78" s="31">
        <f t="shared" si="8"/>
        <v>-15.294117647058824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6" t="s">
        <v>131</v>
      </c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136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130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88" t="s">
        <v>6</v>
      </c>
      <c r="D88" s="89"/>
      <c r="E88" s="90" t="s">
        <v>82</v>
      </c>
      <c r="F88" s="91"/>
      <c r="G88" s="77" t="s">
        <v>12</v>
      </c>
      <c r="H88" s="88" t="s">
        <v>83</v>
      </c>
      <c r="I88" s="92"/>
      <c r="J88" s="89"/>
      <c r="K88" s="50"/>
      <c r="L88" s="17"/>
    </row>
    <row r="89" spans="1:12" ht="21.75">
      <c r="A89" s="69" t="s">
        <v>99</v>
      </c>
      <c r="B89" s="6" t="s">
        <v>18</v>
      </c>
      <c r="C89" s="29">
        <v>55</v>
      </c>
      <c r="D89" s="29">
        <v>68</v>
      </c>
      <c r="E89" s="29">
        <v>58</v>
      </c>
      <c r="F89" s="29">
        <v>68</v>
      </c>
      <c r="G89" s="7">
        <f t="shared" ref="G89:G91" si="10">((C89+D89)/2-(E89+F89)/2)/((E89+F89)/2)*100</f>
        <v>-2.3809523809523809</v>
      </c>
      <c r="H89" s="5" t="s">
        <v>128</v>
      </c>
      <c r="I89" s="6"/>
      <c r="J89" s="6"/>
      <c r="K89" s="50"/>
      <c r="L89" s="17"/>
    </row>
    <row r="90" spans="1:12" ht="21.75">
      <c r="A90" s="69" t="s">
        <v>25</v>
      </c>
      <c r="B90" s="6" t="s">
        <v>23</v>
      </c>
      <c r="C90" s="29">
        <v>60</v>
      </c>
      <c r="D90" s="29">
        <v>75</v>
      </c>
      <c r="E90" s="29">
        <v>65</v>
      </c>
      <c r="F90" s="29">
        <v>75</v>
      </c>
      <c r="G90" s="7">
        <f t="shared" si="10"/>
        <v>-3.5714285714285712</v>
      </c>
      <c r="H90" s="5" t="s">
        <v>128</v>
      </c>
      <c r="I90" s="6"/>
      <c r="J90" s="6"/>
      <c r="K90" s="50"/>
      <c r="L90" s="17"/>
    </row>
    <row r="91" spans="1:12" ht="21.75">
      <c r="A91" s="69" t="s">
        <v>27</v>
      </c>
      <c r="B91" s="6" t="s">
        <v>28</v>
      </c>
      <c r="C91" s="29">
        <v>175</v>
      </c>
      <c r="D91" s="29">
        <v>186</v>
      </c>
      <c r="E91" s="29">
        <v>175</v>
      </c>
      <c r="F91" s="29">
        <v>185</v>
      </c>
      <c r="G91" s="7">
        <f t="shared" si="10"/>
        <v>0.27777777777777779</v>
      </c>
      <c r="H91" s="5" t="s">
        <v>129</v>
      </c>
      <c r="I91" s="6"/>
      <c r="J91" s="6"/>
      <c r="K91" s="50"/>
      <c r="L91" s="17"/>
    </row>
    <row r="92" spans="1:12" ht="21.75">
      <c r="A92" s="69" t="s">
        <v>37</v>
      </c>
      <c r="B92" s="6" t="s">
        <v>18</v>
      </c>
      <c r="C92" s="29">
        <v>80</v>
      </c>
      <c r="D92" s="29">
        <v>105</v>
      </c>
      <c r="E92" s="29">
        <v>85</v>
      </c>
      <c r="F92" s="29">
        <v>105</v>
      </c>
      <c r="G92" s="7">
        <f t="shared" ref="G92" si="11">((C92+D92)/2-(E92+F92)/2)/((E92+F92)/2)*100</f>
        <v>-2.6315789473684208</v>
      </c>
      <c r="H92" s="5" t="s">
        <v>128</v>
      </c>
      <c r="I92" s="6"/>
      <c r="J92" s="6"/>
      <c r="K92" s="50"/>
      <c r="L92" s="17"/>
    </row>
    <row r="93" spans="1:12" ht="24.75">
      <c r="A93" s="69" t="s">
        <v>45</v>
      </c>
      <c r="B93" s="6" t="s">
        <v>18</v>
      </c>
      <c r="C93" s="29">
        <v>190</v>
      </c>
      <c r="D93" s="29">
        <v>220</v>
      </c>
      <c r="E93" s="29">
        <v>180</v>
      </c>
      <c r="F93" s="29">
        <v>220</v>
      </c>
      <c r="G93" s="7">
        <f>((C93+D93)/2-(E93+F93)/2)/((E93+F93)/2)*100</f>
        <v>2.5</v>
      </c>
      <c r="H93" s="5" t="s">
        <v>126</v>
      </c>
      <c r="I93" s="6"/>
      <c r="J93" s="6"/>
      <c r="K93" s="40"/>
      <c r="L93" s="11"/>
    </row>
    <row r="94" spans="1:12" ht="24.75">
      <c r="A94" s="69" t="s">
        <v>47</v>
      </c>
      <c r="B94" s="6" t="s">
        <v>18</v>
      </c>
      <c r="C94" s="29">
        <v>320</v>
      </c>
      <c r="D94" s="29">
        <v>350</v>
      </c>
      <c r="E94" s="29">
        <v>300</v>
      </c>
      <c r="F94" s="29">
        <v>350</v>
      </c>
      <c r="G94" s="7">
        <f>((C94+D94)/2-(E94+F94)/2)/((E94+F94)/2)*100</f>
        <v>3.0769230769230771</v>
      </c>
      <c r="H94" s="5" t="s">
        <v>122</v>
      </c>
      <c r="I94" s="6"/>
      <c r="J94" s="6"/>
      <c r="K94" s="40"/>
      <c r="L94" s="11"/>
    </row>
    <row r="95" spans="1:12" ht="24.75">
      <c r="A95" s="69" t="s">
        <v>115</v>
      </c>
      <c r="B95" s="66" t="s">
        <v>73</v>
      </c>
      <c r="C95" s="29">
        <v>30</v>
      </c>
      <c r="D95" s="29">
        <v>70</v>
      </c>
      <c r="E95" s="29">
        <v>35</v>
      </c>
      <c r="F95" s="29">
        <v>80</v>
      </c>
      <c r="G95" s="7">
        <f>((C95+D95)/2-(E95+F95)/2)/((E95+F95)/2)*100</f>
        <v>-13.043478260869565</v>
      </c>
      <c r="H95" s="5" t="s">
        <v>135</v>
      </c>
      <c r="I95" s="6"/>
      <c r="J95" s="6"/>
      <c r="K95" s="40"/>
      <c r="L95" s="11"/>
    </row>
    <row r="96" spans="1:12" ht="24.75">
      <c r="A96" s="69" t="s">
        <v>117</v>
      </c>
      <c r="B96" s="66" t="s">
        <v>18</v>
      </c>
      <c r="C96" s="29">
        <v>60</v>
      </c>
      <c r="D96" s="29">
        <v>100</v>
      </c>
      <c r="E96" s="29">
        <v>60</v>
      </c>
      <c r="F96" s="29">
        <v>110</v>
      </c>
      <c r="G96" s="7">
        <f>((C96+D96)/2-(E96+F96)/2)/((E96+F96)/2)*100</f>
        <v>-5.8823529411764701</v>
      </c>
      <c r="H96" s="5" t="s">
        <v>125</v>
      </c>
      <c r="I96" s="6"/>
      <c r="J96" s="6"/>
      <c r="K96" s="40"/>
      <c r="L96" s="11"/>
    </row>
    <row r="97" spans="1:12" ht="24.75">
      <c r="A97" s="69" t="s">
        <v>118</v>
      </c>
      <c r="B97" s="66" t="s">
        <v>18</v>
      </c>
      <c r="C97" s="29">
        <v>40</v>
      </c>
      <c r="D97" s="29">
        <v>100</v>
      </c>
      <c r="E97" s="29">
        <v>60</v>
      </c>
      <c r="F97" s="29">
        <v>100</v>
      </c>
      <c r="G97" s="7">
        <f>((C97+D97)/2-(E97+F97)/2)/((E97+F97)/2)*100</f>
        <v>-12.5</v>
      </c>
      <c r="H97" s="5" t="s">
        <v>135</v>
      </c>
      <c r="I97" s="6"/>
      <c r="J97" s="6"/>
      <c r="K97" s="40"/>
      <c r="L97" s="11"/>
    </row>
    <row r="98" spans="1:12" ht="24.75">
      <c r="A98" s="72"/>
      <c r="B98" s="3"/>
      <c r="C98" s="78"/>
      <c r="D98" s="78"/>
      <c r="E98" s="78"/>
      <c r="F98" s="78"/>
      <c r="G98" s="38"/>
      <c r="H98" s="39"/>
      <c r="I98" s="40"/>
      <c r="J98" s="40"/>
      <c r="K98" s="40"/>
      <c r="L98" s="11"/>
    </row>
    <row r="99" spans="1:12" ht="24.75">
      <c r="A99" s="1"/>
      <c r="C99" s="14"/>
      <c r="D99" s="14"/>
      <c r="E99" s="13"/>
      <c r="F99" s="14"/>
      <c r="G99" s="38"/>
      <c r="H99" s="39"/>
      <c r="I99" s="40"/>
      <c r="J99" s="40"/>
      <c r="K99" s="40"/>
      <c r="L99" s="11"/>
    </row>
    <row r="100" spans="1:12" ht="24.75">
      <c r="A100" s="41"/>
      <c r="B100" s="42" t="s">
        <v>123</v>
      </c>
      <c r="C100" s="10"/>
      <c r="E100" s="41"/>
      <c r="F100" s="42" t="s">
        <v>111</v>
      </c>
      <c r="G100" s="10"/>
      <c r="I100" s="12"/>
      <c r="J100" s="13" t="s">
        <v>113</v>
      </c>
      <c r="K100" s="10"/>
    </row>
    <row r="101" spans="1:12" ht="24.75">
      <c r="A101" s="43"/>
      <c r="B101" s="42" t="s">
        <v>124</v>
      </c>
      <c r="C101" s="13"/>
      <c r="E101" s="43"/>
      <c r="F101" s="42" t="s">
        <v>112</v>
      </c>
      <c r="G101" s="13"/>
      <c r="I101" s="76"/>
      <c r="J101" s="13" t="s">
        <v>114</v>
      </c>
    </row>
    <row r="102" spans="1:12" ht="24.75">
      <c r="A102" s="1"/>
      <c r="B102" s="13"/>
      <c r="C102" s="14"/>
      <c r="D102" s="13"/>
      <c r="E102" s="14"/>
      <c r="F102" s="44"/>
      <c r="G102" s="46"/>
      <c r="H102" s="46"/>
      <c r="I102" s="45"/>
      <c r="J102" s="10"/>
      <c r="K102" s="10"/>
      <c r="L102" s="2"/>
    </row>
    <row r="103" spans="1:12" ht="19.5">
      <c r="A103" s="55" t="s">
        <v>90</v>
      </c>
      <c r="B103" s="53"/>
      <c r="C103" s="51"/>
      <c r="D103" s="53"/>
      <c r="E103" s="51"/>
      <c r="F103" s="51"/>
      <c r="G103" s="51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1"/>
      <c r="D104" s="53"/>
      <c r="E104" s="51"/>
      <c r="F104" s="51"/>
      <c r="G104" s="53"/>
      <c r="H104" s="52"/>
      <c r="I104" s="57"/>
      <c r="J104" s="2"/>
      <c r="K104" s="2"/>
      <c r="L104" s="2"/>
    </row>
    <row r="105" spans="1:12" ht="19.5">
      <c r="A105" s="54" t="s">
        <v>120</v>
      </c>
      <c r="B105" s="53"/>
      <c r="C105" s="53"/>
      <c r="D105" s="53"/>
      <c r="E105" s="53"/>
      <c r="F105" s="51"/>
      <c r="G105" s="53"/>
      <c r="H105" s="52"/>
      <c r="I105" s="57"/>
      <c r="J105" s="2"/>
      <c r="K105" s="2"/>
      <c r="L105" s="2"/>
    </row>
    <row r="106" spans="1:12" ht="19.5">
      <c r="A106" s="54" t="s">
        <v>84</v>
      </c>
      <c r="B106" s="53"/>
      <c r="C106" s="53"/>
      <c r="D106" s="53"/>
      <c r="E106" s="53"/>
      <c r="F106" s="52"/>
      <c r="G106" s="52"/>
      <c r="H106" s="52"/>
      <c r="I106" s="57"/>
      <c r="J106" s="2"/>
      <c r="K106" s="2"/>
      <c r="L106" s="2"/>
    </row>
    <row r="107" spans="1:12" ht="19.5">
      <c r="A107" s="54" t="s">
        <v>121</v>
      </c>
      <c r="B107" s="53"/>
      <c r="C107" s="53"/>
      <c r="D107" s="53"/>
      <c r="E107" s="53"/>
      <c r="F107" s="53"/>
      <c r="G107" s="52"/>
      <c r="H107" s="52"/>
      <c r="I107" s="57"/>
      <c r="J107" s="2"/>
      <c r="K107" s="2"/>
      <c r="L107" s="2"/>
    </row>
    <row r="108" spans="1:12" ht="19.5">
      <c r="A108" s="54" t="s">
        <v>93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101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92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91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85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95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119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96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97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127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/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5" t="s">
        <v>86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87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107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 t="s">
        <v>106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 t="s">
        <v>105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</sheetData>
  <mergeCells count="21"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2026-03-01T05:59:10Z</cp:lastPrinted>
  <dcterms:created xsi:type="dcterms:W3CDTF">2021-06-05T07:13:00Z</dcterms:created>
  <dcterms:modified xsi:type="dcterms:W3CDTF">2026-03-03T06:33:34Z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