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7A56BA1A-81A0-4A07-9C95-3DB82E0959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83" i="4"/>
  <c r="G91" i="4"/>
  <c r="G87" i="4"/>
  <c r="G86" i="4"/>
  <c r="G85" i="4"/>
  <c r="G84" i="4"/>
  <c r="G90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<sst xmlns="http://schemas.openxmlformats.org/spreadsheetml/2006/main" count="238" uniqueCount="129">
  <si>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</si>
  <si>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</si>
  <si>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</si>
  <si>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</si>
  <si>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</si>
  <si>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</si>
  <si>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</si>
  <si>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</si>
  <si>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</si>
  <si>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</si>
  <si>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</si>
  <si>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</si>
  <si>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</si>
  <si>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</si>
  <si>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</si>
  <si>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</si>
  <si>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</si>
  <si>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</si>
  <si>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</si>
  <si>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</si>
  <si>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</si>
  <si>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</si>
  <si>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</si>
  <si>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</si>
  <si>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</si>
  <si>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</si>
  <si>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</si>
  <si>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</si>
  <si>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</si>
  <si>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</si>
  <si>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</si>
  <si>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</si>
  <si>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</si>
  <si>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</si>
  <si>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</si>
  <si>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</si>
  <si>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</si>
  <si>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</si>
  <si>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</si>
  <si>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</si>
  <si>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</si>
  <si>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</si>
  <si>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</si>
  <si>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</si>
  <si>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</si>
  <si>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</si>
  <si>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</si>
  <si>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</si>
  <si>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</si>
  <si>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</si>
  <si>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</si>
  <si>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</si>
  <si>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</si>
  <si>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</si>
  <si>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</si>
  <si>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</si>
  <si>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</si>
  <si>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</si>
  <si>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</si>
  <si>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</si>
  <si>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</si>
  <si>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</si>
  <si>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</si>
  <si>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</si>
  <si>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</si>
  <si>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</si>
  <si>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</si>
  <si>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</si>
  <si>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</si>
  <si>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</si>
  <si>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</si>
  <si>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</si>
  <si>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</si>
  <si>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</si>
  <si>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</si>
  <si>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</si>
  <si>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</si>
  <si>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</si>
  <si>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</si>
  <si>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</si>
  <si>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</si>
  <si>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</si>
  <si>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</si>
  <si>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</si>
  <si>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</si>
  <si>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</si>
  <si>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</si>
  <si>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</si>
  <si>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</si>
  <si>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</si>
  <si>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</si>
  <si>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</si>
  <si>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</si>
  <si>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</si>
  <si>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</si>
  <si>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</si>
  <si>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</si>
  <si>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</si>
  <si>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</si>
  <si>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</si>
  <si>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</si>
  <si>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</si>
  <si>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</si>
  <si>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</si>
  <si>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</si>
  <si>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</si>
  <si>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</si>
  <si>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</si>
  <si>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</si>
  <si>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</si>
  <si>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</si>
  <si>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</si>
  <si>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</si>
  <si>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</si>
  <si>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</si>
  <si>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</si>
  <si>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</si>
  <si>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</si>
  <si>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০৪-০১-২০২৬ তারিখে মূল্য হ্রাস পেয়েছে।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</si>
  <si>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</si>
  <si>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</si>
  <si>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</si>
  <si>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</si>
  <si>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(২)  সয়াবিন তেল লুজ, আলু, চিনি   এর মূল্য বৃদ্ধি পেয়েছে।</t>
  </si>
  <si>
    <t>স্মারক নং-২৬.০৫.০০০০.০১৭.৩১.০১.২৬-০৩২</t>
  </si>
  <si>
    <t xml:space="preserve">শনিবার ১০ জানুয়ারী ২০২৬ খ্রিঃ, ২৬ পৌষ ১৪৩২ বাংলা, ২০ রজব ১৪৪৭ হিজরি </t>
  </si>
  <si>
    <t xml:space="preserve">   সিরিয়াল নংঃ     ০১০</t>
  </si>
  <si>
    <t>০৯-০১-২০২৬ তারিখে মূল্য হ্রাস পেয়েছে।</t>
  </si>
  <si>
    <t>(১)  চাল (মোটা), মসুর ডাল (বড়, মাঝারী), ছোলা, পেঁয়াজ (দেশী), জিরা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</si>
</sst>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zoomScaleNormal="100" workbookViewId="0">
      <selection activeCell="L6" sqref="L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46032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46032</v>
      </c>
      <c r="D8" s="88"/>
      <c r="E8" s="89">
        <v>46025</v>
      </c>
      <c r="F8" s="88"/>
      <c r="G8" s="89">
        <v>46001</v>
      </c>
      <c r="H8" s="88"/>
      <c r="I8" s="26" t="s">
        <v>12</v>
      </c>
      <c r="J8" s="89">
        <v>45667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90</v>
      </c>
      <c r="F27" s="29">
        <v>100</v>
      </c>
      <c r="G27" s="29">
        <v>85</v>
      </c>
      <c r="H27" s="29">
        <v>100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125</v>
      </c>
      <c r="L32" s="31">
        <f t="shared" si="3"/>
        <v>-28.571428571428569</v>
      </c>
    </row>
    <row r="33" spans="1:12" ht="21.75">
      <c r="A33" s="69" t="s">
        <v>113</v>
      </c>
      <c r="B33" s="6" t="s">
        <v>18</v>
      </c>
      <c r="C33" s="29">
        <v>25</v>
      </c>
      <c r="D33" s="29">
        <v>35</v>
      </c>
      <c r="E33" s="29">
        <v>20</v>
      </c>
      <c r="F33" s="29">
        <v>30</v>
      </c>
      <c r="G33" s="29">
        <v>25</v>
      </c>
      <c r="H33" s="29">
        <v>40</v>
      </c>
      <c r="I33" s="30">
        <f t="shared" si="2"/>
        <v>-7.6923076923076925</v>
      </c>
      <c r="J33" s="29">
        <v>40</v>
      </c>
      <c r="K33" s="29">
        <v>50</v>
      </c>
      <c r="L33" s="31">
        <f t="shared" si="3"/>
        <v>-33.333333333333329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70</v>
      </c>
      <c r="E35" s="29">
        <v>60</v>
      </c>
      <c r="F35" s="29">
        <v>75</v>
      </c>
      <c r="G35" s="29">
        <v>100</v>
      </c>
      <c r="H35" s="29">
        <v>140</v>
      </c>
      <c r="I35" s="30">
        <f t="shared" ref="I35:I50" si="4">((C35+D35)/2-(G35+H35)/2)/((G35+H35)/2)*100</f>
        <v>-45.833333333333329</v>
      </c>
      <c r="J35" s="29">
        <v>50</v>
      </c>
      <c r="K35" s="29">
        <v>70</v>
      </c>
      <c r="L35" s="31">
        <f t="shared" ref="L35:L50" si="5">((C35+D35)/2-(J35+K35)/2)/((J35+K35)/2)*100</f>
        <v>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65</v>
      </c>
      <c r="K36" s="29">
        <v>80</v>
      </c>
      <c r="L36" s="31">
        <f t="shared" si="5"/>
        <v>3.4482758620689653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250</v>
      </c>
      <c r="L37" s="31">
        <f t="shared" si="5"/>
        <v>-52.173913043478258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140</v>
      </c>
      <c r="H43" s="29">
        <v>170</v>
      </c>
      <c r="I43" s="30">
        <f t="shared" si="4"/>
        <v>-19.35483870967742</v>
      </c>
      <c r="J43" s="29">
        <v>250</v>
      </c>
      <c r="K43" s="29">
        <v>300</v>
      </c>
      <c r="L43" s="31">
        <f t="shared" si="5"/>
        <v>-54.54545454545454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1.5873015873015872</v>
      </c>
      <c r="J56" s="29">
        <v>200</v>
      </c>
      <c r="K56" s="29">
        <v>210</v>
      </c>
      <c r="L56" s="31">
        <f t="shared" si="7"/>
        <v>-21.951219512195124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46032</v>
      </c>
      <c r="D67" s="88"/>
      <c r="E67" s="89">
        <v>46025</v>
      </c>
      <c r="F67" s="88"/>
      <c r="G67" s="89">
        <v>46001</v>
      </c>
      <c r="H67" s="88"/>
      <c r="I67" s="26" t="s">
        <v>12</v>
      </c>
      <c r="J67" s="89">
        <v>45667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115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4.8780487804878048</v>
      </c>
      <c r="J69" s="29">
        <v>120</v>
      </c>
      <c r="K69" s="29">
        <v>130</v>
      </c>
      <c r="L69" s="31">
        <f t="shared" ref="L69:L75" si="8">((C69+D69)/2-(J69+K69)/2)/((J69+K69)/2)*100</f>
        <v>-14.000000000000002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123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119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 t="shared" ref="G84:G90" si="10">((C84+D84)/2-(E84+F84)/2)/((E84+F84)/2)*100</f>
        <v>0.56022408963585435</v>
      </c>
      <c r="H84" s="5" t="s">
        <v>120</v>
      </c>
      <c r="I84" s="6"/>
      <c r="J84" s="6"/>
      <c r="K84" s="50"/>
      <c r="L84" s="17"/>
    </row>
    <row r="85" spans="1:12" ht="21.75">
      <c r="A85" s="69" t="s">
        <v>37</v>
      </c>
      <c r="B85" s="6" t="s">
        <v>18</v>
      </c>
      <c r="C85" s="29">
        <v>80</v>
      </c>
      <c r="D85" s="29">
        <v>105</v>
      </c>
      <c r="E85" s="29">
        <v>90</v>
      </c>
      <c r="F85" s="29">
        <v>100</v>
      </c>
      <c r="G85" s="7">
        <f t="shared" si="10"/>
        <v>-2.6315789473684208</v>
      </c>
      <c r="H85" s="5" t="s">
        <v>119</v>
      </c>
      <c r="I85" s="6"/>
      <c r="J85" s="6"/>
      <c r="K85" s="50"/>
      <c r="L85" s="17"/>
    </row>
    <row r="86" spans="1:12" ht="21.75">
      <c r="A86" s="69" t="s">
        <v>108</v>
      </c>
      <c r="B86" s="6" t="s">
        <v>18</v>
      </c>
      <c r="C86" s="29">
        <v>110</v>
      </c>
      <c r="D86" s="29">
        <v>130</v>
      </c>
      <c r="E86" s="29">
        <v>115</v>
      </c>
      <c r="F86" s="29">
        <v>140</v>
      </c>
      <c r="G86" s="7">
        <f t="shared" si="10"/>
        <v>-5.8823529411764701</v>
      </c>
      <c r="H86" s="5" t="s">
        <v>119</v>
      </c>
      <c r="I86" s="6"/>
      <c r="J86" s="6"/>
      <c r="K86" s="50"/>
      <c r="L86" s="17"/>
    </row>
    <row r="87" spans="1:12" ht="21.75">
      <c r="A87" s="69" t="s">
        <v>41</v>
      </c>
      <c r="B87" s="6" t="s">
        <v>18</v>
      </c>
      <c r="C87" s="29">
        <v>80</v>
      </c>
      <c r="D87" s="29">
        <v>95</v>
      </c>
      <c r="E87" s="29">
        <v>90</v>
      </c>
      <c r="F87" s="29">
        <v>100</v>
      </c>
      <c r="G87" s="7">
        <f t="shared" si="10"/>
        <v>-7.8947368421052628</v>
      </c>
      <c r="H87" s="5" t="s">
        <v>119</v>
      </c>
      <c r="I87" s="6"/>
      <c r="J87" s="6"/>
      <c r="K87" s="50"/>
      <c r="L87" s="17"/>
    </row>
    <row r="88" spans="1:12" ht="21.75">
      <c r="A88" s="69" t="s">
        <v>113</v>
      </c>
      <c r="B88" s="6" t="s">
        <v>18</v>
      </c>
      <c r="C88" s="29">
        <v>25</v>
      </c>
      <c r="D88" s="29">
        <v>35</v>
      </c>
      <c r="E88" s="29">
        <v>20</v>
      </c>
      <c r="F88" s="29">
        <v>30</v>
      </c>
      <c r="G88" s="7">
        <f t="shared" si="10"/>
        <v>20</v>
      </c>
      <c r="H88" s="5" t="s">
        <v>120</v>
      </c>
      <c r="I88" s="6"/>
      <c r="J88" s="6"/>
      <c r="K88" s="50"/>
      <c r="L88" s="17"/>
    </row>
    <row r="89" spans="1:12" ht="21.75">
      <c r="A89" s="83" t="s">
        <v>114</v>
      </c>
      <c r="B89" s="6" t="s">
        <v>18</v>
      </c>
      <c r="C89" s="29">
        <v>60</v>
      </c>
      <c r="D89" s="29">
        <v>70</v>
      </c>
      <c r="E89" s="29">
        <v>60</v>
      </c>
      <c r="F89" s="29">
        <v>75</v>
      </c>
      <c r="G89" s="7">
        <f t="shared" si="10"/>
        <v>-3.7037037037037033</v>
      </c>
      <c r="H89" s="5" t="s">
        <v>127</v>
      </c>
      <c r="I89" s="6"/>
      <c r="J89" s="6"/>
      <c r="K89" s="50"/>
      <c r="L89" s="17"/>
    </row>
    <row r="90" spans="1:12" ht="21.75">
      <c r="A90" s="69" t="s">
        <v>52</v>
      </c>
      <c r="B90" s="6" t="s">
        <v>18</v>
      </c>
      <c r="C90" s="29">
        <v>580</v>
      </c>
      <c r="D90" s="29">
        <v>720</v>
      </c>
      <c r="E90" s="29">
        <v>580</v>
      </c>
      <c r="F90" s="29">
        <v>750</v>
      </c>
      <c r="G90" s="7">
        <f t="shared" si="10"/>
        <v>-2.2556390977443606</v>
      </c>
      <c r="H90" s="5" t="s">
        <v>118</v>
      </c>
      <c r="I90" s="6"/>
      <c r="J90" s="6"/>
      <c r="K90" s="50"/>
      <c r="L90" s="17"/>
    </row>
    <row r="91" spans="1:12" ht="24.75">
      <c r="A91" s="69" t="s">
        <v>70</v>
      </c>
      <c r="B91" s="6" t="s">
        <v>18</v>
      </c>
      <c r="C91" s="29">
        <v>100</v>
      </c>
      <c r="D91" s="29">
        <v>115</v>
      </c>
      <c r="E91" s="29">
        <v>100</v>
      </c>
      <c r="F91" s="29">
        <v>110</v>
      </c>
      <c r="G91" s="7">
        <f>((C91+D91)/2-(E91+F91)/2)/((E91+F91)/2)*100</f>
        <v>2.3809523809523809</v>
      </c>
      <c r="H91" s="5" t="s">
        <v>120</v>
      </c>
      <c r="I91" s="6"/>
      <c r="J91" s="6"/>
      <c r="K91" s="40"/>
      <c r="L91" s="11"/>
    </row>
    <row r="92" spans="1:12" ht="24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121</v>
      </c>
      <c r="C96" s="10"/>
      <c r="E96" s="84"/>
      <c r="F96" s="85"/>
      <c r="G96" s="86"/>
      <c r="I96" s="12"/>
      <c r="J96" s="13" t="s">
        <v>116</v>
      </c>
      <c r="K96" s="10"/>
    </row>
    <row r="97" spans="1:12" ht="24.75">
      <c r="A97" s="43"/>
      <c r="B97" s="42" t="s">
        <v>122</v>
      </c>
      <c r="C97" s="13"/>
      <c r="E97" s="43"/>
      <c r="F97" s="85"/>
      <c r="G97" s="86"/>
      <c r="I97" s="76"/>
      <c r="J97" s="13" t="s">
        <v>117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2026-01-11T07:12:19Z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