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F597E575-463B-40C2-9FED-96FED9DE15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4" l="1"/>
  <c r="G84" i="4"/>
  <c r="G83" i="4"/>
  <c r="G88" i="4"/>
  <c r="G87" i="4"/>
  <c r="G91" i="4"/>
  <c r="G86" i="4"/>
  <c r="G92" i="4"/>
  <c r="G90" i="4"/>
  <c r="G89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<sst xmlns="http://schemas.openxmlformats.org/spreadsheetml/2006/main" count="244" uniqueCount="131">
  <si>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</si>
  <si>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</si>
  <si>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</si>
  <si>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</si>
  <si>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</si>
  <si>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</si>
  <si>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</si>
  <si>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</si>
  <si>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</si>
  <si>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</si>
  <si>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</si>
  <si>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</si>
  <si>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</si>
  <si>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</si>
  <si>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</si>
  <si>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</si>
  <si>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</si>
  <si>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</si>
  <si>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</si>
  <si>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</si>
  <si>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</si>
  <si>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</si>
  <si>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</si>
  <si>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</si>
  <si>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</si>
  <si>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</si>
  <si>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</si>
  <si>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</si>
  <si>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</si>
  <si>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</si>
  <si>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</si>
  <si>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</si>
  <si>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</si>
  <si>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</si>
  <si>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</si>
  <si>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</si>
  <si>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</si>
  <si>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</si>
  <si>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</si>
  <si>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</si>
  <si>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</si>
  <si>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</si>
  <si>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</si>
  <si>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</si>
  <si>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</si>
  <si>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</si>
  <si>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</si>
  <si>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</si>
  <si>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</si>
  <si>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</si>
  <si>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</si>
  <si>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</si>
  <si>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</si>
  <si>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</si>
  <si>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</si>
  <si>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</si>
  <si>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</si>
  <si>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</si>
  <si>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</si>
  <si>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</si>
  <si>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</si>
  <si>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</si>
  <si>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</si>
  <si>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</si>
  <si>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</si>
  <si>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</si>
  <si>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</si>
  <si>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</si>
  <si>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</si>
  <si>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</si>
  <si>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</si>
  <si>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</si>
  <si>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</si>
  <si>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</si>
  <si>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</si>
  <si>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</si>
  <si>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</si>
  <si>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</si>
  <si>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</si>
  <si>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</si>
  <si>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</si>
  <si>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</si>
  <si>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</si>
  <si>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</si>
  <si>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</si>
  <si>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</si>
  <si>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</si>
  <si>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</si>
  <si>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</si>
  <si>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</si>
  <si>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</si>
  <si>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</si>
  <si>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</si>
  <si>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</si>
  <si>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</si>
  <si>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</si>
  <si>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</si>
  <si>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</si>
  <si>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</si>
  <si>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</si>
  <si>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</si>
  <si>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</si>
  <si>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</si>
  <si>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</si>
  <si>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</si>
  <si>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</si>
  <si>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</si>
  <si>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</si>
  <si>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</si>
  <si>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</si>
  <si>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</si>
  <si>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</si>
  <si>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</si>
  <si>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</si>
  <si>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</si>
  <si>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০৮-০১-২০২৬ তারিখে মূল্য হ্রাস পেয়েছে।</t>
  </si>
  <si>
    <t>(মোঃ শাহাদত হোসেন)</t>
  </si>
  <si>
    <t>উপ পরিচালক (বাজার তথ্য)</t>
  </si>
  <si>
    <t>১২-০১-২০২৬ তারিখে মূল্য বৃদ্ধি পেয়েছে।</t>
  </si>
  <si>
    <t>১৪-০১-২০২৬ তারিখে মূল্য হ্রাস পেয়েছে।</t>
  </si>
  <si>
    <t>১৪-০১-২০২৬ তারিখে মূল্য বৃদ্ধি পেয়েছে।</t>
  </si>
  <si>
    <t>১৫-০১-২০২৬ তারিখে মূল্য বৃদ্ধি পেয়েছে।</t>
  </si>
  <si>
    <t>(২)  সয়াবিন তেল (লুজ, ১লিঃ, ২লিঃ বোতল), সুপার পাম অয়েল লুজ, আদা (দেশী), মুরগী ব্রয়লার   এর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</si>
  <si>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</si>
  <si>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</si>
  <si>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স্মারক নং-২৬.০৫.০০০০.০১৭.৩১.০১.২৬-০৫৫</t>
  </si>
  <si>
    <t xml:space="preserve">শুক্রবার ১৬ জানুয়ারী ২০২৬ খ্রিঃ, ০২ মাঘ ১৪৩২ বাংলা, ২৬ রজব ১৪৪৭ হিজরি </t>
  </si>
  <si>
    <t xml:space="preserve">   সিরিয়াল নংঃ     ০১৬</t>
  </si>
  <si>
    <t>১৬-০১-২০২৬ তারিখে মূল্য হ্রাস পেয়েছে।</t>
  </si>
  <si>
    <t>(১)   আটা (খোলা), ময়দা (খোলা), মসুর ডাল (মাঝারী), পেঁয়াজ (দেশী), চিনি    এর মূল্য হ্রাস পেয়েছে।</t>
  </si>
  <si>
    <t xml:space="preserve">যে সকল বাজার হতে তথ্য সংগ্রহ করা হয়েছেঃ-  মোহাম্মদপুর টাউন হল বাজার, মহাখালী, মিরপুর-৬, নিউমার্কেট 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</si>
</sst>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zoomScaleNormal="100" workbookViewId="0">
      <selection activeCell="A76" sqref="A76:L7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127</v>
      </c>
      <c r="L4" s="88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46038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46038</v>
      </c>
      <c r="D8" s="88"/>
      <c r="E8" s="89">
        <v>46031</v>
      </c>
      <c r="F8" s="88"/>
      <c r="G8" s="89">
        <v>46006</v>
      </c>
      <c r="H8" s="88"/>
      <c r="I8" s="26" t="s">
        <v>12</v>
      </c>
      <c r="J8" s="89">
        <v>45673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174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2.8571428571428572</v>
      </c>
      <c r="J19" s="29">
        <v>165</v>
      </c>
      <c r="K19" s="29">
        <v>172</v>
      </c>
      <c r="L19" s="31">
        <f t="shared" ref="L19:L25" si="1">((C19+D19)/2-(J19+K19)/2)/((J19+K19)/2)*100</f>
        <v>6.8249258160237387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380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0.25873221216041398</v>
      </c>
      <c r="J21" s="29">
        <v>345</v>
      </c>
      <c r="K21" s="29">
        <v>350</v>
      </c>
      <c r="L21" s="31">
        <f t="shared" si="1"/>
        <v>11.510791366906476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0.2583979328165375</v>
      </c>
      <c r="J22" s="29">
        <v>174</v>
      </c>
      <c r="K22" s="29">
        <v>175</v>
      </c>
      <c r="L22" s="31">
        <f t="shared" si="1"/>
        <v>11.174785100286533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160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1.5625</v>
      </c>
      <c r="J24" s="29">
        <v>159</v>
      </c>
      <c r="K24" s="29">
        <v>162</v>
      </c>
      <c r="L24" s="31">
        <f t="shared" si="1"/>
        <v>1.2461059190031152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130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90</v>
      </c>
      <c r="H32" s="29">
        <v>110</v>
      </c>
      <c r="I32" s="30">
        <f t="shared" si="2"/>
        <v>-12.5</v>
      </c>
      <c r="J32" s="29">
        <v>118</v>
      </c>
      <c r="K32" s="29">
        <v>130</v>
      </c>
      <c r="L32" s="31">
        <f t="shared" si="3"/>
        <v>-29.435483870967744</v>
      </c>
    </row>
    <row r="33" spans="1:12" ht="21.75">
      <c r="A33" s="69" t="s">
        <v>113</v>
      </c>
      <c r="B33" s="6" t="s">
        <v>18</v>
      </c>
      <c r="C33" s="29">
        <v>20</v>
      </c>
      <c r="D33" s="29">
        <v>40</v>
      </c>
      <c r="E33" s="29">
        <v>25</v>
      </c>
      <c r="F33" s="29">
        <v>35</v>
      </c>
      <c r="G33" s="29">
        <v>20</v>
      </c>
      <c r="H33" s="29">
        <v>30</v>
      </c>
      <c r="I33" s="30">
        <f t="shared" si="2"/>
        <v>20</v>
      </c>
      <c r="J33" s="29">
        <v>30</v>
      </c>
      <c r="K33" s="29">
        <v>50</v>
      </c>
      <c r="L33" s="31">
        <f t="shared" si="3"/>
        <v>-25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50</v>
      </c>
      <c r="D35" s="29">
        <v>70</v>
      </c>
      <c r="E35" s="29">
        <v>60</v>
      </c>
      <c r="F35" s="29">
        <v>70</v>
      </c>
      <c r="G35" s="29">
        <v>80</v>
      </c>
      <c r="H35" s="29">
        <v>120</v>
      </c>
      <c r="I35" s="30">
        <f t="shared" ref="I35:I50" si="4">((C35+D35)/2-(G35+H35)/2)/((G35+H35)/2)*100</f>
        <v>-40</v>
      </c>
      <c r="J35" s="29">
        <v>50</v>
      </c>
      <c r="K35" s="29">
        <v>70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0</v>
      </c>
      <c r="H36" s="29">
        <v>0</v>
      </c>
      <c r="I36" s="30" t="e">
        <f t="shared" si="4"/>
        <v>#DIV/0!</v>
      </c>
      <c r="J36" s="29">
        <v>55</v>
      </c>
      <c r="K36" s="29">
        <v>80</v>
      </c>
      <c r="L36" s="31">
        <f t="shared" si="5"/>
        <v>11.111111111111111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220</v>
      </c>
      <c r="K37" s="29">
        <v>280</v>
      </c>
      <c r="L37" s="31">
        <f t="shared" si="5"/>
        <v>-56.000000000000007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400</v>
      </c>
      <c r="L40" s="31">
        <f t="shared" si="5"/>
        <v>-13.333333333333334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140</v>
      </c>
      <c r="D43" s="29">
        <v>200</v>
      </c>
      <c r="E43" s="29">
        <v>100</v>
      </c>
      <c r="F43" s="29">
        <v>150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3800</v>
      </c>
      <c r="K48" s="29">
        <v>5000</v>
      </c>
      <c r="L48" s="31">
        <f t="shared" si="5"/>
        <v>13.636363636363635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160</v>
      </c>
      <c r="D56" s="29">
        <v>180</v>
      </c>
      <c r="E56" s="29">
        <v>160</v>
      </c>
      <c r="F56" s="29">
        <v>170</v>
      </c>
      <c r="G56" s="29">
        <v>150</v>
      </c>
      <c r="H56" s="29">
        <v>170</v>
      </c>
      <c r="I56" s="30">
        <f t="shared" si="6"/>
        <v>6.25</v>
      </c>
      <c r="J56" s="29">
        <v>180</v>
      </c>
      <c r="K56" s="29">
        <v>210</v>
      </c>
      <c r="L56" s="31">
        <f t="shared" si="7"/>
        <v>-12.820512820512819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46038</v>
      </c>
      <c r="D67" s="88"/>
      <c r="E67" s="89">
        <v>46031</v>
      </c>
      <c r="F67" s="88"/>
      <c r="G67" s="89">
        <v>46006</v>
      </c>
      <c r="H67" s="88"/>
      <c r="I67" s="26" t="s">
        <v>12</v>
      </c>
      <c r="J67" s="89">
        <v>45673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110</v>
      </c>
      <c r="E69" s="29">
        <v>100</v>
      </c>
      <c r="F69" s="29">
        <v>115</v>
      </c>
      <c r="G69" s="29">
        <v>95</v>
      </c>
      <c r="H69" s="29">
        <v>110</v>
      </c>
      <c r="I69" s="30">
        <f>((C69+D69)/2-(G69+H69)/2)/((G69+H69)/2)*100</f>
        <v>1.4634146341463417</v>
      </c>
      <c r="J69" s="29">
        <v>120</v>
      </c>
      <c r="K69" s="29">
        <v>130</v>
      </c>
      <c r="L69" s="31">
        <f t="shared" ref="L69:L75" si="8">((C69+D69)/2-(J69+K69)/2)/((J69+K69)/2)*100</f>
        <v>-16.8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44</v>
      </c>
      <c r="K72" s="37">
        <v>50</v>
      </c>
      <c r="L72" s="31">
        <f t="shared" si="8"/>
        <v>-13.829787234042554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130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122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21</v>
      </c>
      <c r="B83" s="6" t="s">
        <v>18</v>
      </c>
      <c r="C83" s="29">
        <v>44</v>
      </c>
      <c r="D83" s="29">
        <v>50</v>
      </c>
      <c r="E83" s="29">
        <v>45</v>
      </c>
      <c r="F83" s="29">
        <v>50</v>
      </c>
      <c r="G83" s="7">
        <f t="shared" ref="G83:G84" si="10">((C83+D83)/2-(E83+F83)/2)/((E83+F83)/2)*100</f>
        <v>-1.0526315789473684</v>
      </c>
      <c r="H83" s="5" t="s">
        <v>119</v>
      </c>
      <c r="I83" s="6"/>
      <c r="J83" s="6"/>
      <c r="K83" s="50"/>
      <c r="L83" s="17"/>
    </row>
    <row r="84" spans="1:12" ht="21.75">
      <c r="A84" s="69" t="s">
        <v>24</v>
      </c>
      <c r="B84" s="6" t="s">
        <v>18</v>
      </c>
      <c r="C84" s="29">
        <v>52</v>
      </c>
      <c r="D84" s="29">
        <v>65</v>
      </c>
      <c r="E84" s="29">
        <v>55</v>
      </c>
      <c r="F84" s="29">
        <v>65</v>
      </c>
      <c r="G84" s="7">
        <f t="shared" si="10"/>
        <v>-2.5</v>
      </c>
      <c r="H84" s="5" t="s">
        <v>119</v>
      </c>
      <c r="I84" s="6"/>
      <c r="J84" s="6"/>
      <c r="K84" s="50"/>
      <c r="L84" s="17"/>
    </row>
    <row r="85" spans="1:12" ht="21.75">
      <c r="A85" s="69" t="s">
        <v>27</v>
      </c>
      <c r="B85" s="6" t="s">
        <v>28</v>
      </c>
      <c r="C85" s="29">
        <v>175</v>
      </c>
      <c r="D85" s="29">
        <v>185</v>
      </c>
      <c r="E85" s="29">
        <v>174</v>
      </c>
      <c r="F85" s="29">
        <v>185</v>
      </c>
      <c r="G85" s="7">
        <f t="shared" ref="G85:G90" si="11">((C85+D85)/2-(E85+F85)/2)/((E85+F85)/2)*100</f>
        <v>0.2785515320334262</v>
      </c>
      <c r="H85" s="5" t="s">
        <v>120</v>
      </c>
      <c r="I85" s="6"/>
      <c r="J85" s="6"/>
      <c r="K85" s="50"/>
      <c r="L85" s="17"/>
    </row>
    <row r="86" spans="1:12" ht="21.75">
      <c r="A86" s="69" t="s">
        <v>29</v>
      </c>
      <c r="B86" s="6" t="s">
        <v>31</v>
      </c>
      <c r="C86" s="29">
        <v>380</v>
      </c>
      <c r="D86" s="29">
        <v>395</v>
      </c>
      <c r="E86" s="29">
        <v>378</v>
      </c>
      <c r="F86" s="29">
        <v>395</v>
      </c>
      <c r="G86" s="7">
        <f>((C86+D86)/2-(E86+F86)/2)/((E86+F86)/2)*100</f>
        <v>0.25873221216041398</v>
      </c>
      <c r="H86" s="5" t="s">
        <v>120</v>
      </c>
      <c r="I86" s="6"/>
      <c r="J86" s="6"/>
      <c r="K86" s="50"/>
      <c r="L86" s="17"/>
    </row>
    <row r="87" spans="1:12" ht="21.75">
      <c r="A87" s="69" t="s">
        <v>29</v>
      </c>
      <c r="B87" s="6" t="s">
        <v>32</v>
      </c>
      <c r="C87" s="29">
        <v>190</v>
      </c>
      <c r="D87" s="29">
        <v>198</v>
      </c>
      <c r="E87" s="29">
        <v>189</v>
      </c>
      <c r="F87" s="29">
        <v>198</v>
      </c>
      <c r="G87" s="7">
        <f t="shared" ref="G87:G88" si="12">((C87+D87)/2-(E87+F87)/2)/((E87+F87)/2)*100</f>
        <v>0.2583979328165375</v>
      </c>
      <c r="H87" s="5" t="s">
        <v>120</v>
      </c>
      <c r="I87" s="6"/>
      <c r="J87" s="6"/>
      <c r="K87" s="50"/>
      <c r="L87" s="17"/>
    </row>
    <row r="88" spans="1:12" ht="21.75">
      <c r="A88" s="69" t="s">
        <v>104</v>
      </c>
      <c r="B88" s="6" t="s">
        <v>28</v>
      </c>
      <c r="C88" s="29">
        <v>160</v>
      </c>
      <c r="D88" s="29">
        <v>165</v>
      </c>
      <c r="E88" s="29">
        <v>155</v>
      </c>
      <c r="F88" s="29">
        <v>165</v>
      </c>
      <c r="G88" s="7">
        <f t="shared" si="12"/>
        <v>1.5625</v>
      </c>
      <c r="H88" s="5" t="s">
        <v>120</v>
      </c>
      <c r="I88" s="6"/>
      <c r="J88" s="6"/>
      <c r="K88" s="50"/>
      <c r="L88" s="17"/>
    </row>
    <row r="89" spans="1:12" ht="21.75">
      <c r="A89" s="69" t="s">
        <v>108</v>
      </c>
      <c r="B89" s="6" t="s">
        <v>18</v>
      </c>
      <c r="C89" s="29">
        <v>110</v>
      </c>
      <c r="D89" s="29">
        <v>120</v>
      </c>
      <c r="E89" s="29">
        <v>110</v>
      </c>
      <c r="F89" s="29">
        <v>130</v>
      </c>
      <c r="G89" s="7">
        <f t="shared" si="11"/>
        <v>-4.1666666666666661</v>
      </c>
      <c r="H89" s="5" t="s">
        <v>115</v>
      </c>
      <c r="I89" s="6"/>
      <c r="J89" s="6"/>
      <c r="K89" s="50"/>
      <c r="L89" s="17"/>
    </row>
    <row r="90" spans="1:12" ht="21.75">
      <c r="A90" s="83" t="s">
        <v>114</v>
      </c>
      <c r="B90" s="6" t="s">
        <v>18</v>
      </c>
      <c r="C90" s="29">
        <v>50</v>
      </c>
      <c r="D90" s="29">
        <v>70</v>
      </c>
      <c r="E90" s="29">
        <v>60</v>
      </c>
      <c r="F90" s="29">
        <v>70</v>
      </c>
      <c r="G90" s="7">
        <f t="shared" si="11"/>
        <v>-7.6923076923076925</v>
      </c>
      <c r="H90" s="5" t="s">
        <v>119</v>
      </c>
      <c r="I90" s="6"/>
      <c r="J90" s="6"/>
      <c r="K90" s="50"/>
      <c r="L90" s="17"/>
    </row>
    <row r="91" spans="1:12" ht="21.75">
      <c r="A91" s="69" t="s">
        <v>50</v>
      </c>
      <c r="B91" s="6" t="s">
        <v>18</v>
      </c>
      <c r="C91" s="29">
        <v>140</v>
      </c>
      <c r="D91" s="29">
        <v>200</v>
      </c>
      <c r="E91" s="29">
        <v>100</v>
      </c>
      <c r="F91" s="29">
        <v>150</v>
      </c>
      <c r="G91" s="7">
        <f>((C91+D91)/2-(E91+F91)/2)/((E91+F91)/2)*100</f>
        <v>36</v>
      </c>
      <c r="H91" s="5" t="s">
        <v>121</v>
      </c>
      <c r="I91" s="6"/>
      <c r="J91" s="6"/>
      <c r="K91" s="50"/>
      <c r="L91" s="17"/>
    </row>
    <row r="92" spans="1:12" ht="21.75">
      <c r="A92" s="69" t="s">
        <v>61</v>
      </c>
      <c r="B92" s="6" t="s">
        <v>18</v>
      </c>
      <c r="C92" s="29">
        <v>160</v>
      </c>
      <c r="D92" s="29">
        <v>180</v>
      </c>
      <c r="E92" s="29">
        <v>160</v>
      </c>
      <c r="F92" s="29">
        <v>170</v>
      </c>
      <c r="G92" s="7">
        <f>((C92+D92)/2-(E92+F92)/2)/((E92+F92)/2)*100</f>
        <v>3.0303030303030303</v>
      </c>
      <c r="H92" s="5" t="s">
        <v>118</v>
      </c>
      <c r="I92" s="6"/>
      <c r="J92" s="6"/>
      <c r="K92" s="50"/>
      <c r="L92" s="17"/>
    </row>
    <row r="93" spans="1:12" ht="21.75">
      <c r="A93" s="69" t="s">
        <v>70</v>
      </c>
      <c r="B93" s="6" t="s">
        <v>18</v>
      </c>
      <c r="C93" s="29">
        <v>98</v>
      </c>
      <c r="D93" s="29">
        <v>110</v>
      </c>
      <c r="E93" s="29">
        <v>100</v>
      </c>
      <c r="F93" s="29">
        <v>115</v>
      </c>
      <c r="G93" s="7">
        <f>((C93+D93)/2-(E93+F93)/2)/((E93+F93)/2)*100</f>
        <v>-3.2558139534883721</v>
      </c>
      <c r="H93" s="5" t="s">
        <v>128</v>
      </c>
      <c r="I93" s="6"/>
      <c r="J93" s="6"/>
      <c r="K93" s="50"/>
      <c r="L93" s="17"/>
    </row>
    <row r="94" spans="1:12" ht="24.75">
      <c r="A94" s="72"/>
      <c r="B94" s="3"/>
      <c r="C94" s="78"/>
      <c r="D94" s="78"/>
      <c r="E94" s="78"/>
      <c r="F94" s="78"/>
      <c r="G94" s="9"/>
      <c r="H94" s="1"/>
      <c r="I94" s="3"/>
      <c r="J94" s="3"/>
      <c r="K94" s="40"/>
      <c r="L94" s="11"/>
    </row>
    <row r="95" spans="1:12" ht="24.75">
      <c r="A95" s="72"/>
      <c r="B95" s="3"/>
      <c r="C95" s="78"/>
      <c r="D95" s="78"/>
      <c r="E95" s="78"/>
      <c r="F95" s="78"/>
      <c r="G95" s="9"/>
      <c r="H95" s="1"/>
      <c r="I95" s="3"/>
      <c r="J95" s="3"/>
      <c r="K95" s="40"/>
      <c r="L95" s="11"/>
    </row>
    <row r="96" spans="1:12" ht="24.75">
      <c r="A96" s="1"/>
      <c r="B96" s="3"/>
      <c r="C96" s="82"/>
      <c r="D96" s="82"/>
      <c r="E96" s="8"/>
      <c r="F96" s="82"/>
      <c r="G96" s="38"/>
      <c r="H96" s="39"/>
      <c r="I96" s="40"/>
      <c r="J96" s="40"/>
      <c r="K96" s="40"/>
      <c r="L96" s="11"/>
    </row>
    <row r="97" spans="1:12" ht="24.75">
      <c r="A97" s="1"/>
      <c r="B97" s="13"/>
      <c r="C97" s="14"/>
      <c r="D97" s="14"/>
      <c r="E97" s="13"/>
      <c r="F97" s="14"/>
      <c r="G97" s="38"/>
      <c r="H97" s="39"/>
      <c r="I97" s="40"/>
      <c r="J97" s="40"/>
      <c r="K97" s="40"/>
      <c r="L97" s="11"/>
    </row>
    <row r="98" spans="1:12" ht="24.75">
      <c r="A98" s="41"/>
      <c r="B98" s="42" t="s">
        <v>116</v>
      </c>
      <c r="C98" s="10"/>
      <c r="E98" s="84"/>
      <c r="F98" s="85"/>
      <c r="G98" s="86"/>
      <c r="I98" s="12"/>
      <c r="J98" s="13" t="s">
        <v>123</v>
      </c>
      <c r="K98" s="10"/>
    </row>
    <row r="99" spans="1:12" ht="24.75">
      <c r="A99" s="43"/>
      <c r="B99" s="42" t="s">
        <v>117</v>
      </c>
      <c r="C99" s="13"/>
      <c r="E99" s="43"/>
      <c r="F99" s="85"/>
      <c r="G99" s="86"/>
      <c r="I99" s="76"/>
      <c r="J99" s="13" t="s">
        <v>124</v>
      </c>
    </row>
    <row r="100" spans="1:12" ht="24.75">
      <c r="A100" s="1"/>
      <c r="B100" s="13"/>
      <c r="C100" s="14"/>
      <c r="D100" s="13"/>
      <c r="E100" s="14"/>
      <c r="F100" s="44"/>
      <c r="G100" s="46"/>
      <c r="H100" s="46"/>
      <c r="I100" s="45"/>
      <c r="J100" s="10"/>
      <c r="K100" s="10"/>
      <c r="L100" s="2"/>
    </row>
    <row r="101" spans="1:12" ht="19.5">
      <c r="A101" s="55" t="s">
        <v>91</v>
      </c>
      <c r="B101" s="53"/>
      <c r="C101" s="51"/>
      <c r="D101" s="53"/>
      <c r="E101" s="51"/>
      <c r="F101" s="51"/>
      <c r="G101" s="51"/>
      <c r="H101" s="52"/>
      <c r="I101" s="57"/>
      <c r="J101" s="2"/>
      <c r="K101" s="2"/>
      <c r="L101" s="2"/>
    </row>
    <row r="102" spans="1:12" ht="19.5">
      <c r="A102" s="54" t="s">
        <v>97</v>
      </c>
      <c r="B102" s="53"/>
      <c r="C102" s="51"/>
      <c r="D102" s="53"/>
      <c r="E102" s="51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96</v>
      </c>
      <c r="B103" s="53"/>
      <c r="C103" s="53"/>
      <c r="D103" s="53"/>
      <c r="E103" s="53"/>
      <c r="F103" s="51"/>
      <c r="G103" s="53"/>
      <c r="H103" s="52"/>
      <c r="I103" s="57"/>
      <c r="J103" s="2"/>
      <c r="K103" s="2"/>
      <c r="L103" s="2"/>
    </row>
    <row r="104" spans="1:12" ht="19.5">
      <c r="A104" s="54" t="s">
        <v>84</v>
      </c>
      <c r="B104" s="53"/>
      <c r="C104" s="53"/>
      <c r="D104" s="53"/>
      <c r="E104" s="53"/>
      <c r="F104" s="52"/>
      <c r="G104" s="52"/>
      <c r="H104" s="52"/>
      <c r="I104" s="57"/>
      <c r="J104" s="2"/>
      <c r="K104" s="2"/>
      <c r="L104" s="2"/>
    </row>
    <row r="105" spans="1:12" ht="19.5">
      <c r="A105" s="54" t="s">
        <v>95</v>
      </c>
      <c r="B105" s="53"/>
      <c r="C105" s="53"/>
      <c r="D105" s="53"/>
      <c r="E105" s="53"/>
      <c r="F105" s="53"/>
      <c r="G105" s="52"/>
      <c r="H105" s="52"/>
      <c r="I105" s="57"/>
      <c r="J105" s="2"/>
      <c r="K105" s="2"/>
      <c r="L105" s="2"/>
    </row>
    <row r="106" spans="1:12" ht="19.5">
      <c r="A106" s="54" t="s">
        <v>94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85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99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98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100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101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86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/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5" t="s">
        <v>87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88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111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110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109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2026-01-18T07:56:37Z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