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B161195F-56FD-47EB-8139-694200B18F1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price'!$A$1:$L$121</definedName>
  </definedNames>
  <calcPr calcId="191028"/>
</workbook>
</file>

<file path=xl/calcChain.xml><?xml version="1.0" encoding="utf-8"?>
<calcChain xmlns="http://schemas.openxmlformats.org/spreadsheetml/2006/main">
  <c r="G87" i="4" l="1"/>
  <c r="G90" i="4"/>
  <c r="G89" i="4"/>
  <c r="G86" i="4"/>
  <c r="G85" i="4"/>
  <c r="G88" i="4"/>
  <c r="G91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<sst xmlns="http://schemas.openxmlformats.org/spreadsheetml/2006/main" count="234" uniqueCount="128">
  <si>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</si>
  <si>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</si>
  <si>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</si>
  <si>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</si>
  <si>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</si>
  <si>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</si>
  <si>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</si>
  <si>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</si>
  <si>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</si>
  <si>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</si>
  <si>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</si>
  <si>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</si>
  <si>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</si>
  <si>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</si>
  <si>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</si>
  <si>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</si>
  <si>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</si>
  <si>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</si>
  <si>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</si>
  <si>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</si>
  <si>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</si>
  <si>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</si>
  <si>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</si>
  <si>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</si>
  <si>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</si>
  <si>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</si>
  <si>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</si>
  <si>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</si>
  <si>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</si>
  <si>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</si>
  <si>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</si>
  <si>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</si>
  <si>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</si>
  <si>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</si>
  <si>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</si>
  <si>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</si>
  <si>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</si>
  <si>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</si>
  <si>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</si>
  <si>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</si>
  <si>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</si>
  <si>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</si>
  <si>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</si>
  <si>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</si>
  <si>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</si>
  <si>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</si>
  <si>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</si>
  <si>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</si>
  <si>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</si>
  <si>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</si>
  <si>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</si>
  <si>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</si>
  <si>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</si>
  <si>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</si>
  <si>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</si>
  <si>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</si>
  <si>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</si>
  <si>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</si>
  <si>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</si>
  <si>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</si>
  <si>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</si>
  <si>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</si>
  <si>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</si>
  <si>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</si>
  <si>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</si>
  <si>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</si>
  <si>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</si>
  <si>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</si>
  <si>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</si>
  <si>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</si>
  <si>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</si>
  <si>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</si>
  <si>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</si>
  <si>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</si>
  <si>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</si>
  <si>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</si>
  <si>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</si>
  <si>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</si>
  <si>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</si>
  <si>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</si>
  <si>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</si>
  <si>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</si>
  <si>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</si>
  <si>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</si>
  <si>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</si>
  <si>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</si>
  <si>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</si>
  <si>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</si>
  <si>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</si>
  <si>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</si>
  <si>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</si>
  <si>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</si>
  <si>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</si>
  <si>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</si>
  <si>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</si>
  <si>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</si>
  <si>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</si>
  <si>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</si>
  <si>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</si>
  <si>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</si>
  <si>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</si>
  <si>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</si>
  <si>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</si>
  <si>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</si>
  <si>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</si>
  <si>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</si>
  <si>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</si>
  <si>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</si>
  <si>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</si>
  <si>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</si>
  <si>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</si>
  <si>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</si>
  <si>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</si>
  <si>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</si>
  <si>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</si>
  <si>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</si>
  <si>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</si>
  <si>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</si>
  <si>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</si>
  <si>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</si>
  <si>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</si>
  <si>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১২-০৭-২০২৬ তারিখে মূল্য বৃদ্ধি পেয়েছে।</t>
  </si>
  <si>
    <t>১৩-০৭-২০২৬ তারিখে মূল্য বৃদ্ধি পেয়েছে।</t>
  </si>
  <si>
    <t>(২)  অন্যান্য পণ্যের মূল্য অপরিবর্তীত রয়েছে।</t>
  </si>
  <si>
    <t>(১)    চাল (সরু, মোটা), রশুন (দেশী), কাঁচামরিচ, বেগুন, মুরগী ব্রয়লার, শসা   এর মূল্য বৃদ্ধি পেয়েছে।</t>
  </si>
  <si>
    <t xml:space="preserve">নং-২৬.০৫.০০০০.০১৭.৩১.০১.২৬-৫৫৮                                                                                                           তারিখঃ ১৪-০৭-২০২৬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</si>
  <si>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১৭০</t>
  </si>
  <si>
    <t xml:space="preserve">মঙ্গলবার ১৪ জুলাই ২০২৬ খ্রিঃ, ৩০ আষাঢ় ১৪৩৩ বাংলা, ২৮ মহরম ১৪৪৮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</si>
</sst>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6"/>
  <sheetViews>
    <sheetView tabSelected="1" zoomScale="93" zoomScaleNormal="93" workbookViewId="0">
      <selection activeCell="G93" sqref="G9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84" t="s">
        <v>119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>
      <c r="A2" s="85" t="s">
        <v>120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>
      <c r="A3" s="86" t="s">
        <v>126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>
      <c r="A4" s="87" t="s">
        <v>127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5"/>
      <c r="Q4" s="55"/>
      <c r="R4" s="55"/>
    </row>
    <row r="5" spans="1:18">
      <c r="A5" s="88" t="s">
        <v>125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6"/>
      <c r="Q5" s="57"/>
    </row>
    <row r="6" spans="1:18" s="28" customFormat="1">
      <c r="A6" s="75" t="s">
        <v>1</v>
      </c>
      <c r="B6" s="75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5" t="s">
        <v>6</v>
      </c>
      <c r="J6" s="72" t="s">
        <v>7</v>
      </c>
      <c r="K6" s="74"/>
      <c r="L6" s="27" t="s">
        <v>8</v>
      </c>
      <c r="M6" s="52"/>
    </row>
    <row r="7" spans="1:18" s="28" customFormat="1">
      <c r="A7" s="76"/>
      <c r="B7" s="76"/>
      <c r="C7" s="77">
        <v>46217</v>
      </c>
      <c r="D7" s="78"/>
      <c r="E7" s="77">
        <v>46210</v>
      </c>
      <c r="F7" s="78"/>
      <c r="G7" s="77">
        <v>46187</v>
      </c>
      <c r="H7" s="78"/>
      <c r="I7" s="25" t="s">
        <v>9</v>
      </c>
      <c r="J7" s="79">
        <v>45852</v>
      </c>
      <c r="K7" s="80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70</v>
      </c>
      <c r="F9" s="40">
        <v>85</v>
      </c>
      <c r="G9" s="40">
        <v>70</v>
      </c>
      <c r="H9" s="40">
        <v>85</v>
      </c>
      <c r="I9" s="49">
        <f>((C9+D9)/2-(G9+H9)/2)/((G9+H9)/2)*100</f>
        <v>1.2903225806451613</v>
      </c>
      <c r="J9" s="59">
        <v>75</v>
      </c>
      <c r="K9" s="59">
        <v>85</v>
      </c>
      <c r="L9" s="50">
        <f>((C9+D9)/2-(J9+K9)/2)/((J9+K9)/2)*100</f>
        <v>-1.875</v>
      </c>
      <c r="M9" s="52">
        <f>((C9+D9)/2-(E9+F9)/2)/((E9+F9)/2)*100</f>
        <v>1.2903225806451613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48</v>
      </c>
      <c r="F11" s="40">
        <v>60</v>
      </c>
      <c r="G11" s="40">
        <v>52</v>
      </c>
      <c r="H11" s="40">
        <v>60</v>
      </c>
      <c r="I11" s="49">
        <f>((C11+D11)/2-(G11+H11)/2)/((G11+H11)/2)*100</f>
        <v>-1.7857142857142856</v>
      </c>
      <c r="J11" s="59">
        <v>55</v>
      </c>
      <c r="K11" s="59">
        <v>60</v>
      </c>
      <c r="L11" s="50">
        <f>((C11+D11)/2-(J11+K11)/2)/((J11+K11)/2)*100</f>
        <v>-4.3478260869565215</v>
      </c>
      <c r="M11" s="52">
        <f t="shared" si="0"/>
        <v>1.8518518518518516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45</v>
      </c>
      <c r="L13" s="50">
        <f>((C13+D13)/2-(J13+K13)/2)/((J13+K13)/2)*100</f>
        <v>0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55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0</v>
      </c>
      <c r="J15" s="59">
        <v>50</v>
      </c>
      <c r="K15" s="59">
        <v>60</v>
      </c>
      <c r="L15" s="50">
        <f>((C15+D15)/2-(J15+K15)/2)/((J15+K15)/2)*100</f>
        <v>4.5454545454545459</v>
      </c>
      <c r="M15" s="52">
        <f t="shared" si="0"/>
        <v>0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>
      <c r="A18" s="46" t="s">
        <v>23</v>
      </c>
      <c r="B18" s="47" t="s">
        <v>24</v>
      </c>
      <c r="C18" s="42">
        <v>188</v>
      </c>
      <c r="D18" s="40">
        <v>195</v>
      </c>
      <c r="E18" s="42">
        <v>188</v>
      </c>
      <c r="F18" s="40">
        <v>195</v>
      </c>
      <c r="G18" s="42">
        <v>186</v>
      </c>
      <c r="H18" s="40">
        <v>195</v>
      </c>
      <c r="I18" s="49">
        <f t="shared" ref="I18:I24" si="1">((C18+D18)/2-(G18+H18)/2)/((G18+H18)/2)*100</f>
        <v>0.52493438320209973</v>
      </c>
      <c r="J18" s="59">
        <v>160</v>
      </c>
      <c r="K18" s="59">
        <v>170</v>
      </c>
      <c r="L18" s="50">
        <f t="shared" ref="L18:L24" si="2">((C18+D18)/2-(J18+K18)/2)/((J18+K18)/2)*100</f>
        <v>16.060606060606062</v>
      </c>
      <c r="M18" s="52">
        <f t="shared" si="0"/>
        <v>0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880</v>
      </c>
      <c r="K19" s="59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370</v>
      </c>
      <c r="K20" s="59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147</v>
      </c>
      <c r="K22" s="59">
        <v>155</v>
      </c>
      <c r="L22" s="50">
        <f t="shared" si="2"/>
        <v>10.927152317880795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100</v>
      </c>
      <c r="K26" s="59">
        <v>110</v>
      </c>
      <c r="L26" s="50">
        <f t="shared" ref="L26:L32" si="4">((C26+D26)/2-(J26+K26)/2)/((J26+K26)/2)*100</f>
        <v>-7.1428571428571423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105</v>
      </c>
      <c r="K27" s="59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135</v>
      </c>
      <c r="L28" s="50">
        <f t="shared" si="4"/>
        <v>19.230769230769234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50</v>
      </c>
      <c r="K30" s="59">
        <v>80</v>
      </c>
      <c r="L30" s="50">
        <f t="shared" si="4"/>
        <v>3.8461538461538463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>
      <c r="A34" s="46" t="s">
        <v>101</v>
      </c>
      <c r="B34" s="47" t="s">
        <v>14</v>
      </c>
      <c r="C34" s="42">
        <v>35</v>
      </c>
      <c r="D34" s="42">
        <v>45</v>
      </c>
      <c r="E34" s="42">
        <v>35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0</v>
      </c>
      <c r="J34" s="59">
        <v>55</v>
      </c>
      <c r="K34" s="59">
        <v>65</v>
      </c>
      <c r="L34" s="50">
        <f t="shared" ref="L34:L49" si="6">((C34+D34)/2-(J34+K34)/2)/((J34+K34)/2)*100</f>
        <v>-33.333333333333329</v>
      </c>
      <c r="M34" s="52">
        <f>((C34+D34)/2-(E34+F34)/2)/((E34+F34)/2)*100</f>
        <v>0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20</v>
      </c>
      <c r="J36" s="59">
        <v>100</v>
      </c>
      <c r="K36" s="59">
        <v>150</v>
      </c>
      <c r="L36" s="50">
        <f t="shared" si="6"/>
        <v>-4</v>
      </c>
      <c r="M36" s="52">
        <f t="shared" si="0"/>
        <v>4.3478260869565215</v>
      </c>
    </row>
    <row r="37" spans="1:13" s="51" customFormat="1">
      <c r="A37" s="46" t="s">
        <v>41</v>
      </c>
      <c r="B37" s="47" t="s">
        <v>14</v>
      </c>
      <c r="C37" s="42">
        <v>120</v>
      </c>
      <c r="D37" s="40">
        <v>200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-8.5714285714285712</v>
      </c>
      <c r="J37" s="59">
        <v>160</v>
      </c>
      <c r="K37" s="59">
        <v>200</v>
      </c>
      <c r="L37" s="50">
        <f t="shared" si="6"/>
        <v>-11.111111111111111</v>
      </c>
      <c r="M37" s="52">
        <f t="shared" si="0"/>
        <v>0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370</v>
      </c>
      <c r="I38" s="49">
        <f t="shared" si="5"/>
        <v>1.4925373134328357</v>
      </c>
      <c r="J38" s="59">
        <v>220</v>
      </c>
      <c r="K38" s="59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9">
        <v>300</v>
      </c>
      <c r="K39" s="59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300</v>
      </c>
      <c r="K41" s="59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120</v>
      </c>
      <c r="D43" s="40">
        <v>180</v>
      </c>
      <c r="E43" s="40">
        <v>120</v>
      </c>
      <c r="F43" s="40">
        <v>180</v>
      </c>
      <c r="G43" s="40">
        <v>130</v>
      </c>
      <c r="H43" s="40">
        <v>210</v>
      </c>
      <c r="I43" s="49">
        <f t="shared" si="5"/>
        <v>-11.76470588235294</v>
      </c>
      <c r="J43" s="59">
        <v>130</v>
      </c>
      <c r="K43" s="59">
        <v>200</v>
      </c>
      <c r="L43" s="50">
        <f t="shared" si="6"/>
        <v>-9.0909090909090917</v>
      </c>
      <c r="M43" s="52">
        <f t="shared" si="0"/>
        <v>0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600</v>
      </c>
      <c r="K44" s="59">
        <v>750</v>
      </c>
      <c r="L44" s="50">
        <f t="shared" si="6"/>
        <v>-3.7037037037037033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500</v>
      </c>
      <c r="K45" s="59">
        <v>600</v>
      </c>
      <c r="L45" s="50">
        <f t="shared" si="6"/>
        <v>0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4400</v>
      </c>
      <c r="K47" s="59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180</v>
      </c>
      <c r="K49" s="59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300</v>
      </c>
      <c r="K51" s="59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1300</v>
      </c>
      <c r="I54" s="49">
        <f t="shared" si="7"/>
        <v>2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190</v>
      </c>
      <c r="G55" s="40">
        <v>170</v>
      </c>
      <c r="H55" s="40">
        <v>180</v>
      </c>
      <c r="I55" s="49">
        <f t="shared" si="7"/>
        <v>8.5714285714285712</v>
      </c>
      <c r="J55" s="59">
        <v>150</v>
      </c>
      <c r="K55" s="59">
        <v>170</v>
      </c>
      <c r="L55" s="50">
        <f t="shared" si="8"/>
        <v>18.75</v>
      </c>
      <c r="M55" s="52">
        <f t="shared" si="0"/>
        <v>2.7027027027027026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7"/>
      <c r="K62" s="67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7"/>
      <c r="K63" s="67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7"/>
      <c r="K64" s="67"/>
      <c r="L64" s="5"/>
    </row>
    <row r="65" spans="1:13">
      <c r="A65" s="75" t="s">
        <v>1</v>
      </c>
      <c r="B65" s="75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5" t="s">
        <v>6</v>
      </c>
      <c r="J65" s="72" t="s">
        <v>7</v>
      </c>
      <c r="K65" s="74"/>
      <c r="L65" s="25" t="s">
        <v>8</v>
      </c>
    </row>
    <row r="66" spans="1:13" ht="18" customHeight="1">
      <c r="A66" s="76"/>
      <c r="B66" s="76"/>
      <c r="C66" s="77">
        <v>46217</v>
      </c>
      <c r="D66" s="78"/>
      <c r="E66" s="77">
        <v>46210</v>
      </c>
      <c r="F66" s="78"/>
      <c r="G66" s="77">
        <v>46187</v>
      </c>
      <c r="H66" s="78"/>
      <c r="I66" s="25" t="s">
        <v>9</v>
      </c>
      <c r="J66" s="79">
        <v>45852</v>
      </c>
      <c r="K66" s="80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110</v>
      </c>
      <c r="K68" s="59">
        <v>115</v>
      </c>
      <c r="L68" s="50">
        <f t="shared" ref="L68:L78" si="9">((C68+D68)/2-(J68+K68)/2)/((J68+K68)/2)*100</f>
        <v>-4.4444444444444446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-55.555555555555557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120</v>
      </c>
      <c r="D72" s="40">
        <v>160</v>
      </c>
      <c r="E72" s="40">
        <v>80</v>
      </c>
      <c r="F72" s="40">
        <v>140</v>
      </c>
      <c r="G72" s="40">
        <v>60</v>
      </c>
      <c r="H72" s="40">
        <v>120</v>
      </c>
      <c r="I72" s="49">
        <f t="shared" si="11"/>
        <v>55.555555555555557</v>
      </c>
      <c r="J72" s="48">
        <v>60</v>
      </c>
      <c r="K72" s="48">
        <v>120</v>
      </c>
      <c r="L72" s="50">
        <f t="shared" si="9"/>
        <v>55.555555555555557</v>
      </c>
      <c r="M72" s="52">
        <f t="shared" si="12"/>
        <v>27.27272727272727</v>
      </c>
    </row>
    <row r="73" spans="1:13" s="52" customFormat="1" ht="19.5">
      <c r="A73" s="46" t="s">
        <v>106</v>
      </c>
      <c r="B73" s="53" t="s">
        <v>14</v>
      </c>
      <c r="C73" s="40">
        <v>80</v>
      </c>
      <c r="D73" s="40">
        <v>90</v>
      </c>
      <c r="E73" s="40">
        <v>60</v>
      </c>
      <c r="F73" s="40">
        <v>90</v>
      </c>
      <c r="G73" s="40">
        <v>70</v>
      </c>
      <c r="H73" s="40">
        <v>80</v>
      </c>
      <c r="I73" s="49">
        <f t="shared" si="11"/>
        <v>13.333333333333334</v>
      </c>
      <c r="J73" s="48">
        <v>60</v>
      </c>
      <c r="K73" s="48">
        <v>100</v>
      </c>
      <c r="L73" s="50">
        <f t="shared" si="9"/>
        <v>6.25</v>
      </c>
      <c r="M73" s="52">
        <f t="shared" si="12"/>
        <v>13.333333333333334</v>
      </c>
    </row>
    <row r="74" spans="1:13" s="52" customFormat="1" ht="19.5">
      <c r="A74" s="46" t="s">
        <v>107</v>
      </c>
      <c r="B74" s="53" t="s">
        <v>14</v>
      </c>
      <c r="C74" s="40">
        <v>70</v>
      </c>
      <c r="D74" s="40">
        <v>80</v>
      </c>
      <c r="E74" s="40">
        <v>60</v>
      </c>
      <c r="F74" s="40">
        <v>80</v>
      </c>
      <c r="G74" s="40">
        <v>50</v>
      </c>
      <c r="H74" s="40">
        <v>80</v>
      </c>
      <c r="I74" s="49">
        <f t="shared" si="11"/>
        <v>15.384615384615385</v>
      </c>
      <c r="J74" s="48">
        <v>50</v>
      </c>
      <c r="K74" s="48">
        <v>80</v>
      </c>
      <c r="L74" s="50">
        <f t="shared" si="9"/>
        <v>15.384615384615385</v>
      </c>
      <c r="M74" s="52">
        <f t="shared" si="12"/>
        <v>7.1428571428571423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3">
        <v>38</v>
      </c>
      <c r="K75" s="63">
        <v>46</v>
      </c>
      <c r="L75" s="50">
        <f t="shared" si="9"/>
        <v>13.095238095238097</v>
      </c>
      <c r="M75" s="52">
        <f t="shared" si="12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85000</v>
      </c>
      <c r="H77" s="40">
        <v>90000</v>
      </c>
      <c r="I77" s="49">
        <f t="shared" si="11"/>
        <v>2.8571428571428572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81000</v>
      </c>
      <c r="H78" s="45">
        <v>83000</v>
      </c>
      <c r="I78" s="49">
        <f t="shared" si="11"/>
        <v>2.1341463414634148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3" t="s">
        <v>124</v>
      </c>
      <c r="C81" s="83"/>
      <c r="D81" s="83"/>
      <c r="E81" s="83"/>
      <c r="F81" s="83"/>
      <c r="G81" s="83"/>
      <c r="H81" s="83"/>
      <c r="I81" s="83"/>
      <c r="J81" s="83"/>
      <c r="K81" s="83"/>
      <c r="L81" s="83"/>
    </row>
    <row r="82" spans="1:12">
      <c r="A82" s="7"/>
      <c r="B82" s="7" t="s">
        <v>123</v>
      </c>
      <c r="C82" s="2"/>
      <c r="D82" s="2"/>
      <c r="E82" s="2"/>
      <c r="F82" s="2"/>
      <c r="G82" s="1"/>
      <c r="H82" s="1"/>
      <c r="I82" s="1"/>
      <c r="J82" s="1"/>
      <c r="K82" s="2"/>
      <c r="L82" s="1"/>
    </row>
    <row r="83" spans="1:12">
      <c r="A83" s="7" t="s">
        <v>75</v>
      </c>
      <c r="B83" s="2"/>
      <c r="C83" s="1"/>
      <c r="D83" s="1"/>
      <c r="E83" s="1"/>
      <c r="F83" s="1"/>
      <c r="G83" s="9"/>
      <c r="H83" s="9"/>
      <c r="I83" s="1"/>
      <c r="J83" s="1"/>
      <c r="K83" s="1"/>
      <c r="L83" s="1"/>
    </row>
    <row r="84" spans="1:12">
      <c r="A84" s="24" t="s">
        <v>76</v>
      </c>
      <c r="B84" s="25" t="s">
        <v>77</v>
      </c>
      <c r="C84" s="72" t="s">
        <v>3</v>
      </c>
      <c r="D84" s="74"/>
      <c r="E84" s="81" t="s">
        <v>78</v>
      </c>
      <c r="F84" s="82"/>
      <c r="G84" s="26" t="s">
        <v>9</v>
      </c>
      <c r="H84" s="72" t="s">
        <v>79</v>
      </c>
      <c r="I84" s="73"/>
      <c r="J84" s="74"/>
      <c r="K84" s="10"/>
      <c r="L84" s="2"/>
    </row>
    <row r="85" spans="1:12">
      <c r="A85" s="46" t="s">
        <v>13</v>
      </c>
      <c r="B85" s="47" t="s">
        <v>14</v>
      </c>
      <c r="C85" s="40">
        <v>72</v>
      </c>
      <c r="D85" s="40">
        <v>85</v>
      </c>
      <c r="E85" s="40">
        <v>70</v>
      </c>
      <c r="F85" s="40">
        <v>85</v>
      </c>
      <c r="G85" s="31">
        <f t="shared" ref="G85:G87" si="13">((C85+D85)/2-(E85+F85)/2)/((E85+F85)/2)*100</f>
        <v>1.2903225806451613</v>
      </c>
      <c r="H85" s="72" t="s">
        <v>122</v>
      </c>
      <c r="I85" s="73"/>
      <c r="J85" s="74"/>
      <c r="K85" s="10"/>
      <c r="L85" s="2"/>
    </row>
    <row r="86" spans="1:12">
      <c r="A86" s="46" t="s">
        <v>15</v>
      </c>
      <c r="B86" s="47" t="s">
        <v>14</v>
      </c>
      <c r="C86" s="40">
        <v>50</v>
      </c>
      <c r="D86" s="40">
        <v>60</v>
      </c>
      <c r="E86" s="40">
        <v>48</v>
      </c>
      <c r="F86" s="40">
        <v>60</v>
      </c>
      <c r="G86" s="31">
        <f t="shared" si="13"/>
        <v>1.8518518518518516</v>
      </c>
      <c r="H86" s="72" t="s">
        <v>122</v>
      </c>
      <c r="I86" s="73"/>
      <c r="J86" s="74"/>
      <c r="K86" s="10"/>
      <c r="L86" s="2"/>
    </row>
    <row r="87" spans="1:12">
      <c r="A87" s="46" t="s">
        <v>40</v>
      </c>
      <c r="B87" s="47" t="s">
        <v>14</v>
      </c>
      <c r="C87" s="40">
        <v>100</v>
      </c>
      <c r="D87" s="40">
        <v>140</v>
      </c>
      <c r="E87" s="40">
        <v>90</v>
      </c>
      <c r="F87" s="40">
        <v>140</v>
      </c>
      <c r="G87" s="31">
        <f t="shared" si="13"/>
        <v>4.3478260869565215</v>
      </c>
      <c r="H87" s="72" t="s">
        <v>122</v>
      </c>
      <c r="I87" s="73"/>
      <c r="J87" s="74"/>
      <c r="K87" s="10"/>
      <c r="L87" s="2"/>
    </row>
    <row r="88" spans="1:12">
      <c r="A88" s="46" t="s">
        <v>57</v>
      </c>
      <c r="B88" s="47" t="s">
        <v>14</v>
      </c>
      <c r="C88" s="40">
        <v>180</v>
      </c>
      <c r="D88" s="40">
        <v>200</v>
      </c>
      <c r="E88" s="40">
        <v>180</v>
      </c>
      <c r="F88" s="40">
        <v>190</v>
      </c>
      <c r="G88" s="31">
        <f t="shared" ref="G88:G91" si="14">((C88+D88)/2-(E88+F88)/2)/((E88+F88)/2)*100</f>
        <v>2.7027027027027026</v>
      </c>
      <c r="H88" s="72" t="s">
        <v>121</v>
      </c>
      <c r="I88" s="73"/>
      <c r="J88" s="74"/>
      <c r="K88" s="10"/>
      <c r="L88" s="2"/>
    </row>
    <row r="89" spans="1:12">
      <c r="A89" s="46" t="s">
        <v>105</v>
      </c>
      <c r="B89" s="53" t="s">
        <v>14</v>
      </c>
      <c r="C89" s="40">
        <v>120</v>
      </c>
      <c r="D89" s="40">
        <v>160</v>
      </c>
      <c r="E89" s="40">
        <v>80</v>
      </c>
      <c r="F89" s="40">
        <v>140</v>
      </c>
      <c r="G89" s="31">
        <f t="shared" si="14"/>
        <v>27.27272727272727</v>
      </c>
      <c r="H89" s="72" t="s">
        <v>122</v>
      </c>
      <c r="I89" s="73"/>
      <c r="J89" s="74"/>
      <c r="K89" s="10"/>
      <c r="L89" s="2"/>
    </row>
    <row r="90" spans="1:12">
      <c r="A90" s="46" t="s">
        <v>106</v>
      </c>
      <c r="B90" s="53" t="s">
        <v>14</v>
      </c>
      <c r="C90" s="40">
        <v>80</v>
      </c>
      <c r="D90" s="40">
        <v>90</v>
      </c>
      <c r="E90" s="40">
        <v>60</v>
      </c>
      <c r="F90" s="40">
        <v>90</v>
      </c>
      <c r="G90" s="31">
        <f t="shared" si="14"/>
        <v>13.333333333333334</v>
      </c>
      <c r="H90" s="72" t="s">
        <v>122</v>
      </c>
      <c r="I90" s="73"/>
      <c r="J90" s="74"/>
      <c r="K90" s="10"/>
      <c r="L90" s="2"/>
    </row>
    <row r="91" spans="1:12">
      <c r="A91" s="46" t="s">
        <v>107</v>
      </c>
      <c r="B91" s="53" t="s">
        <v>14</v>
      </c>
      <c r="C91" s="40">
        <v>70</v>
      </c>
      <c r="D91" s="40">
        <v>80</v>
      </c>
      <c r="E91" s="40">
        <v>60</v>
      </c>
      <c r="F91" s="40">
        <v>80</v>
      </c>
      <c r="G91" s="31">
        <f t="shared" si="14"/>
        <v>7.1428571428571423</v>
      </c>
      <c r="H91" s="72" t="s">
        <v>122</v>
      </c>
      <c r="I91" s="73"/>
      <c r="J91" s="74"/>
      <c r="K91" s="10"/>
      <c r="L91" s="54"/>
    </row>
    <row r="92" spans="1:12">
      <c r="A92" s="65"/>
      <c r="B92" s="70"/>
      <c r="C92" s="67"/>
      <c r="D92" s="67"/>
      <c r="E92" s="67"/>
      <c r="F92" s="67"/>
      <c r="G92" s="69"/>
      <c r="H92" s="71"/>
      <c r="I92" s="71"/>
      <c r="J92" s="71"/>
      <c r="K92" s="10"/>
      <c r="L92" s="12"/>
    </row>
    <row r="93" spans="1:12">
      <c r="A93" s="65"/>
      <c r="B93" s="66"/>
      <c r="C93" s="67"/>
      <c r="D93" s="68"/>
      <c r="E93" s="67"/>
      <c r="F93" s="68"/>
      <c r="G93" s="69"/>
      <c r="H93" s="7"/>
      <c r="I93" s="1"/>
      <c r="J93" s="1"/>
      <c r="K93" s="10"/>
      <c r="L93" s="12"/>
    </row>
    <row r="94" spans="1:12">
      <c r="A94" s="7"/>
      <c r="B94" s="13"/>
      <c r="C94" s="3"/>
      <c r="D94" s="3"/>
      <c r="E94" s="3"/>
      <c r="F94" s="3"/>
      <c r="G94" s="4"/>
      <c r="H94" s="7"/>
      <c r="I94" s="1"/>
      <c r="J94" s="1"/>
      <c r="K94" s="12"/>
      <c r="L94" s="12"/>
    </row>
    <row r="95" spans="1:12">
      <c r="A95" s="7"/>
      <c r="B95" s="14" t="s">
        <v>114</v>
      </c>
      <c r="C95" s="2"/>
      <c r="E95" s="7"/>
      <c r="F95" s="14" t="s">
        <v>102</v>
      </c>
      <c r="G95" s="2"/>
      <c r="I95" s="15"/>
      <c r="J95" s="1"/>
      <c r="K95" s="2"/>
      <c r="L95" s="12"/>
    </row>
    <row r="96" spans="1:12">
      <c r="A96" s="16"/>
      <c r="B96" s="14" t="s">
        <v>113</v>
      </c>
      <c r="C96" s="1"/>
      <c r="E96" s="16"/>
      <c r="F96" s="14" t="s">
        <v>103</v>
      </c>
      <c r="G96" s="1"/>
      <c r="I96" s="2"/>
      <c r="J96" s="1"/>
      <c r="L96" s="12"/>
    </row>
    <row r="97" spans="1:12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>
      <c r="A98" s="7"/>
      <c r="B98" s="1"/>
      <c r="C98" s="3"/>
      <c r="D98" s="3"/>
      <c r="E98" s="3"/>
      <c r="F98" s="3"/>
      <c r="G98" s="4"/>
      <c r="H98" s="17"/>
      <c r="I98" s="12"/>
      <c r="J98" s="12"/>
      <c r="K98" s="12"/>
      <c r="L98" s="12"/>
    </row>
    <row r="99" spans="1:12">
      <c r="A99" s="7"/>
      <c r="C99" s="6"/>
      <c r="D99" s="6"/>
      <c r="E99" s="1"/>
      <c r="F99" s="6"/>
      <c r="G99" s="4"/>
      <c r="H99" s="17"/>
      <c r="I99" s="12"/>
      <c r="J99" s="12"/>
      <c r="K99" s="12"/>
      <c r="L99" s="12"/>
    </row>
    <row r="100" spans="1:12">
      <c r="A100" s="18" t="s">
        <v>86</v>
      </c>
      <c r="B100" s="19"/>
      <c r="C100" s="20"/>
      <c r="D100" s="19"/>
      <c r="E100" s="20"/>
      <c r="F100" s="20"/>
      <c r="G100" s="20"/>
      <c r="H100" s="21"/>
      <c r="I100" s="2"/>
      <c r="J100" s="2"/>
      <c r="K100" s="2"/>
      <c r="L100" s="2"/>
    </row>
    <row r="101" spans="1:12">
      <c r="A101" s="22" t="s">
        <v>115</v>
      </c>
      <c r="B101" s="19"/>
      <c r="C101" s="20"/>
      <c r="D101" s="19"/>
      <c r="E101" s="20"/>
      <c r="F101" s="20"/>
      <c r="G101" s="19"/>
      <c r="H101" s="21"/>
      <c r="I101" s="2"/>
      <c r="J101" s="2"/>
      <c r="K101" s="2"/>
      <c r="L101" s="2"/>
    </row>
    <row r="102" spans="1:12">
      <c r="A102" s="22" t="s">
        <v>108</v>
      </c>
      <c r="B102" s="19"/>
      <c r="C102" s="19"/>
      <c r="D102" s="19"/>
      <c r="E102" s="19"/>
      <c r="F102" s="20"/>
      <c r="G102" s="19"/>
      <c r="H102" s="21"/>
      <c r="I102" s="2"/>
      <c r="J102" s="2"/>
      <c r="K102" s="2"/>
      <c r="L102" s="2"/>
    </row>
    <row r="103" spans="1:12">
      <c r="A103" s="22" t="s">
        <v>80</v>
      </c>
      <c r="B103" s="19"/>
      <c r="C103" s="19"/>
      <c r="D103" s="19"/>
      <c r="E103" s="19"/>
      <c r="F103" s="21"/>
      <c r="G103" s="21"/>
      <c r="H103" s="21"/>
      <c r="I103" s="2"/>
      <c r="J103" s="2"/>
      <c r="K103" s="2"/>
      <c r="L103" s="2"/>
    </row>
    <row r="104" spans="1:12">
      <c r="A104" s="22" t="s">
        <v>109</v>
      </c>
      <c r="B104" s="19"/>
      <c r="C104" s="19"/>
      <c r="D104" s="19"/>
      <c r="E104" s="19"/>
      <c r="F104" s="19"/>
      <c r="G104" s="21"/>
      <c r="H104" s="21"/>
      <c r="I104" s="2"/>
      <c r="J104" s="2"/>
      <c r="K104" s="2"/>
      <c r="L104" s="2"/>
    </row>
    <row r="105" spans="1:12">
      <c r="A105" s="22" t="s">
        <v>89</v>
      </c>
      <c r="B105" s="19"/>
      <c r="C105" s="19"/>
      <c r="D105" s="19"/>
      <c r="E105" s="19"/>
      <c r="F105" s="19"/>
      <c r="G105" s="19"/>
      <c r="H105" s="21"/>
      <c r="I105" s="2"/>
      <c r="J105" s="2"/>
      <c r="K105" s="2"/>
      <c r="L105" s="2"/>
    </row>
    <row r="106" spans="1:12">
      <c r="A106" s="22" t="s">
        <v>95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>
      <c r="A107" s="22" t="s">
        <v>88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87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81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90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116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91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92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110</v>
      </c>
      <c r="B114" s="19"/>
      <c r="C114" s="19"/>
      <c r="D114" s="19"/>
      <c r="E114" s="19"/>
      <c r="F114" s="19"/>
      <c r="G114" s="19"/>
      <c r="H114" s="23"/>
      <c r="I114" s="12"/>
      <c r="J114" s="12"/>
      <c r="K114" s="12"/>
      <c r="L114" s="12"/>
    </row>
    <row r="115" spans="1:12">
      <c r="A115" s="22"/>
      <c r="B115" s="19"/>
      <c r="C115" s="19"/>
      <c r="D115" s="19"/>
      <c r="E115" s="19"/>
      <c r="F115" s="19"/>
      <c r="G115" s="19"/>
      <c r="H115" s="23"/>
      <c r="I115" s="12"/>
      <c r="J115" s="12"/>
      <c r="K115" s="12"/>
      <c r="L115" s="12"/>
    </row>
    <row r="116" spans="1:12">
      <c r="A116" s="18" t="s">
        <v>82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22" t="s">
        <v>83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 t="s">
        <v>117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118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99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436" spans="2:2">
      <c r="B436" s="11" t="s">
        <v>112</v>
      </c>
    </row>
  </sheetData>
  <mergeCells count="36">
    <mergeCell ref="H86:J86"/>
    <mergeCell ref="C84:D84"/>
    <mergeCell ref="H89:J89"/>
    <mergeCell ref="H90:J90"/>
    <mergeCell ref="H87:J87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1:J91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E84:F84"/>
    <mergeCell ref="H84:J84"/>
    <mergeCell ref="B81:L81"/>
    <mergeCell ref="H88:J88"/>
    <mergeCell ref="H85:J8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2026-07-14T09:24:10Z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