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3435934C-9855-4E00-8746-24DD3998104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</workbook>
</file>

<file path=xl/calcChain.xml><?xml version="1.0" encoding="utf-8"?>
<calcChain xmlns="http://schemas.openxmlformats.org/spreadsheetml/2006/main">
  <c r="G93" i="4" l="1"/>
  <c r="G90" i="4"/>
  <c r="G89" i="4"/>
  <c r="G91" i="4"/>
  <c r="G88" i="4"/>
  <c r="G92" i="4"/>
  <c r="I76" i="4"/>
  <c r="I51" i="4"/>
  <c r="I22" i="4"/>
  <c r="I26" i="4"/>
  <c r="I11" i="4"/>
  <c r="I12" i="4"/>
  <c r="I13" i="4"/>
  <c r="G94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<sst xmlns="http://schemas.openxmlformats.org/spreadsheetml/2006/main" count="240" uniqueCount="135">
  <si>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</si>
  <si>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</si>
  <si>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</si>
  <si>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</si>
  <si>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</si>
  <si>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</si>
  <si>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</si>
  <si>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</si>
  <si>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</si>
  <si>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</si>
  <si>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</si>
  <si>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</si>
  <si>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</si>
  <si>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</si>
  <si>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</si>
  <si>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</si>
  <si>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</si>
  <si>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</si>
  <si>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</si>
  <si>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</si>
  <si>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</si>
  <si>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</si>
  <si>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</si>
  <si>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</si>
  <si>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</si>
  <si>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</si>
  <si>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</si>
  <si>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</si>
  <si>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</si>
  <si>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</si>
  <si>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</si>
  <si>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</si>
  <si>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</si>
  <si>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</si>
  <si>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</si>
  <si>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</si>
  <si>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</si>
  <si>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</si>
  <si>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</si>
  <si>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</si>
  <si>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</si>
  <si>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</si>
  <si>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</si>
  <si>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</si>
  <si>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</si>
  <si>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</si>
  <si>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</si>
  <si>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</si>
  <si>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</si>
  <si>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</si>
  <si>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</si>
  <si>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</si>
  <si>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</si>
  <si>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</si>
  <si>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</si>
  <si>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</si>
  <si>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</si>
  <si>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</si>
  <si>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</si>
  <si>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</si>
  <si>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</si>
  <si>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</si>
  <si>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</si>
  <si>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</si>
  <si>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</si>
  <si>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</si>
  <si>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</si>
  <si>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</si>
  <si>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</si>
  <si>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</si>
  <si>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</si>
  <si>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</si>
  <si>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</si>
  <si>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</si>
  <si>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</si>
  <si>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</si>
  <si>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</si>
  <si>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</si>
  <si>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</si>
  <si>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</si>
  <si>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</si>
  <si>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</si>
  <si>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</si>
  <si>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</si>
  <si>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</si>
  <si>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</si>
  <si>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</si>
  <si>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</si>
  <si>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</si>
  <si>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</si>
  <si>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</si>
  <si>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</si>
  <si>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</si>
  <si>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</si>
  <si>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</si>
  <si>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</si>
  <si>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</si>
  <si>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</si>
  <si>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</si>
  <si>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</si>
  <si>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</si>
  <si>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</si>
  <si>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</si>
  <si>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</si>
  <si>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</si>
  <si>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</si>
  <si>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</si>
  <si>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</si>
  <si>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</si>
  <si>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</si>
  <si>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</si>
  <si>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</si>
  <si>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</si>
  <si>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</si>
  <si>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</si>
  <si>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</si>
  <si>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</si>
  <si>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</si>
  <si>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</si>
  <si>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</si>
  <si>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</si>
  <si>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</si>
  <si>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</si>
  <si>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</si>
  <si>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২৭-০৮-২০২৬ তারিখে মূল্য হ্রাস পেয়েছে।</t>
  </si>
  <si>
    <t>২৯-০৮-২০২৬ তারিখে মূল্য বৃদ্ধি পেয়েছে।</t>
  </si>
  <si>
    <t>২৯-০৮-২০২৬ তারিখে মূল্য হ্রাস পেয়েছে।</t>
  </si>
  <si>
    <t>৩০-০৮-২০২৬ তারিখে মূল্য বৃদ্ধি পেয়েছে।</t>
  </si>
  <si>
    <t>৩০-০৮-২০২৬ তারিখে মূল্য হ্রাস পেয়েছে।</t>
  </si>
  <si>
    <t xml:space="preserve">নং-২৬.০৫.০০০০.০১৭.৩১.০১.২৬-৬৭৬                                                                                                           তারিখঃ ৩১-০৮-২০২৬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</si>
  <si>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২১৬</t>
  </si>
  <si>
    <t xml:space="preserve">সোমবার ৩১ আগষ্ট ২০২৬ খ্রিঃ, ১৬ ভাদ্র ১৪৩৩ বাংলা, ১৭ রবিউল আউয়াল ১৪৪৮ হিজরি </t>
  </si>
  <si>
    <t>৩১-০৮-২০২৬ তারিখে মূল্য বৃদ্ধি পেয়েছে।</t>
  </si>
  <si>
    <t>(১)    ময়দা (প্যা), সয়াবিন লুজ, লবঙ্গ, লেবু  এর মূল্য বৃদ্ধি পেয়েছে।</t>
  </si>
  <si>
    <t>(২)    রসুন (আম), তেজপাতা,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</si>
</sst>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3" fillId="0" borderId="2" xfId="3" applyFont="1" applyBorder="1" applyAlignment="1">
      <alignment horizontal="center" vertical="center" shrinkToFit="1"/>
    </xf>
    <xf numFmtId="0" fontId="13" fillId="0" borderId="3" xfId="3" applyFont="1" applyBorder="1" applyAlignment="1">
      <alignment horizontal="center" vertical="center" shrinkToFit="1"/>
    </xf>
    <xf numFmtId="164" fontId="13" fillId="0" borderId="2" xfId="3" applyNumberFormat="1" applyFont="1" applyBorder="1" applyAlignment="1">
      <alignment horizontal="center" vertical="center"/>
    </xf>
    <xf numFmtId="0" fontId="13" fillId="0" borderId="3" xfId="3" applyFont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179782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zoomScale="112" zoomScaleNormal="112" workbookViewId="0">
      <selection activeCell="K75" sqref="K75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7" t="s">
        <v>115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8">
      <c r="A2" s="78" t="s">
        <v>116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8">
      <c r="A3" s="79" t="s">
        <v>130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8">
      <c r="A4" s="80" t="s">
        <v>131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P4" s="52"/>
      <c r="Q4" s="52"/>
      <c r="R4" s="52"/>
    </row>
    <row r="5" spans="1:18">
      <c r="A5" s="81" t="s">
        <v>129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53"/>
      <c r="Q5" s="54"/>
    </row>
    <row r="6" spans="1:18" s="28" customFormat="1">
      <c r="A6" s="69" t="s">
        <v>1</v>
      </c>
      <c r="B6" s="69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5" t="s">
        <v>6</v>
      </c>
      <c r="J6" s="71" t="s">
        <v>7</v>
      </c>
      <c r="K6" s="72"/>
      <c r="L6" s="27" t="s">
        <v>8</v>
      </c>
      <c r="M6" s="50"/>
    </row>
    <row r="7" spans="1:18" s="28" customFormat="1">
      <c r="A7" s="70"/>
      <c r="B7" s="70"/>
      <c r="C7" s="73">
        <v>46265</v>
      </c>
      <c r="D7" s="74"/>
      <c r="E7" s="73">
        <v>46258</v>
      </c>
      <c r="F7" s="74"/>
      <c r="G7" s="73">
        <v>46234</v>
      </c>
      <c r="H7" s="74"/>
      <c r="I7" s="25" t="s">
        <v>9</v>
      </c>
      <c r="J7" s="75">
        <v>45900</v>
      </c>
      <c r="K7" s="76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56" t="s">
        <v>10</v>
      </c>
      <c r="K8" s="56" t="s">
        <v>11</v>
      </c>
      <c r="L8" s="30" t="s">
        <v>12</v>
      </c>
      <c r="M8" s="50"/>
    </row>
    <row r="9" spans="1:18" s="28" customFormat="1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5">
        <v>0</v>
      </c>
      <c r="K9" s="55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240</v>
      </c>
      <c r="G10" s="38">
        <v>0</v>
      </c>
      <c r="H10" s="38">
        <v>0</v>
      </c>
      <c r="I10" s="47" t="e">
        <f>((C10+D10)/2-(G10+H10)/2)/((G10+H10)/2)*100</f>
        <v>#DIV/0!</v>
      </c>
      <c r="J10" s="55">
        <v>0</v>
      </c>
      <c r="K10" s="55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75</v>
      </c>
      <c r="G18" s="38">
        <v>65</v>
      </c>
      <c r="H18" s="38">
        <v>75</v>
      </c>
      <c r="I18" s="47">
        <f>((C18+D18)/2-(G18+H18)/2)/((G18+H18)/2)*100</f>
        <v>7.1428571428571423</v>
      </c>
      <c r="J18" s="38">
        <v>65</v>
      </c>
      <c r="K18" s="38">
        <v>75</v>
      </c>
      <c r="L18" s="48">
        <f>((C18+D18)/2-(J18+K18)/2)/((J18+K18)/2)*100</f>
        <v>7.1428571428571423</v>
      </c>
      <c r="M18" s="50">
        <f t="shared" si="0"/>
        <v>3.4482758620689653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0</v>
      </c>
      <c r="J20" s="38">
        <v>166</v>
      </c>
      <c r="K20" s="38">
        <v>172</v>
      </c>
      <c r="L20" s="48">
        <f>((C20+D20)/2-(J20+K20)/2)/((J20+K20)/2)*100</f>
        <v>12.721893491124261</v>
      </c>
      <c r="M20" s="50">
        <f t="shared" si="0"/>
        <v>0.79365079365079361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38">
        <v>890</v>
      </c>
      <c r="K21" s="38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38">
        <v>375</v>
      </c>
      <c r="K22" s="38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38">
        <v>188</v>
      </c>
      <c r="K23" s="38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38">
        <v>153</v>
      </c>
      <c r="K24" s="38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158</v>
      </c>
      <c r="K25" s="38">
        <v>164</v>
      </c>
      <c r="L25" s="48">
        <f t="shared" si="2"/>
        <v>7.1428571428571423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9.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9.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ht="19.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9.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9.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9.5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38">
        <v>95</v>
      </c>
      <c r="K33" s="38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ht="19.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22</v>
      </c>
      <c r="H34" s="38">
        <v>30</v>
      </c>
      <c r="I34" s="47">
        <f t="shared" si="3"/>
        <v>5.7692307692307692</v>
      </c>
      <c r="J34" s="38">
        <v>25</v>
      </c>
      <c r="K34" s="38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9.5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38">
        <v>75</v>
      </c>
      <c r="K36" s="38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ht="19.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9.5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-13.636363636363635</v>
      </c>
      <c r="J38" s="38">
        <v>100</v>
      </c>
      <c r="K38" s="38">
        <v>140</v>
      </c>
      <c r="L38" s="48">
        <f t="shared" si="6"/>
        <v>-20.833333333333336</v>
      </c>
      <c r="M38" s="50">
        <f t="shared" si="0"/>
        <v>0</v>
      </c>
    </row>
    <row r="39" spans="1:13" s="49" customFormat="1" ht="19.5">
      <c r="A39" s="44" t="s">
        <v>41</v>
      </c>
      <c r="B39" s="45" t="s">
        <v>14</v>
      </c>
      <c r="C39" s="40">
        <v>130</v>
      </c>
      <c r="D39" s="38">
        <v>200</v>
      </c>
      <c r="E39" s="40">
        <v>140</v>
      </c>
      <c r="F39" s="38">
        <v>200</v>
      </c>
      <c r="G39" s="40">
        <v>170</v>
      </c>
      <c r="H39" s="38">
        <v>200</v>
      </c>
      <c r="I39" s="47">
        <f t="shared" si="5"/>
        <v>-10.810810810810811</v>
      </c>
      <c r="J39" s="38">
        <v>140</v>
      </c>
      <c r="K39" s="38">
        <v>200</v>
      </c>
      <c r="L39" s="48">
        <f t="shared" si="6"/>
        <v>-2.9411764705882351</v>
      </c>
      <c r="M39" s="50">
        <f t="shared" si="0"/>
        <v>-2.9411764705882351</v>
      </c>
    </row>
    <row r="40" spans="1:13" s="49" customFormat="1" ht="19.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280</v>
      </c>
      <c r="K40" s="38">
        <v>350</v>
      </c>
      <c r="L40" s="48">
        <f t="shared" si="6"/>
        <v>11.111111111111111</v>
      </c>
      <c r="M40" s="50">
        <f t="shared" si="0"/>
        <v>0</v>
      </c>
    </row>
    <row r="41" spans="1:13" s="49" customFormat="1" ht="19.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300</v>
      </c>
      <c r="K41" s="38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ht="19.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9.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9.5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ht="19.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38">
        <v>150</v>
      </c>
      <c r="K45" s="38">
        <v>270</v>
      </c>
      <c r="L45" s="48">
        <f t="shared" si="6"/>
        <v>-30.952380952380953</v>
      </c>
      <c r="M45" s="50">
        <f t="shared" si="0"/>
        <v>0</v>
      </c>
    </row>
    <row r="46" spans="1:13" s="49" customFormat="1" ht="19.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9.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9.5">
      <c r="A48" s="44" t="s">
        <v>50</v>
      </c>
      <c r="B48" s="45" t="s">
        <v>14</v>
      </c>
      <c r="C48" s="38">
        <v>1450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1700</v>
      </c>
      <c r="L48" s="48">
        <f t="shared" si="6"/>
        <v>0</v>
      </c>
      <c r="M48" s="50">
        <f t="shared" si="0"/>
        <v>1.6666666666666667</v>
      </c>
    </row>
    <row r="49" spans="1:13" s="49" customFormat="1" ht="19.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4600</v>
      </c>
      <c r="K49" s="38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 ht="19.5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38">
        <v>200</v>
      </c>
      <c r="K50" s="38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 ht="19.5">
      <c r="A51" s="44" t="s">
        <v>53</v>
      </c>
      <c r="B51" s="45" t="s">
        <v>14</v>
      </c>
      <c r="C51" s="38">
        <v>190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200</v>
      </c>
      <c r="K51" s="38">
        <v>225</v>
      </c>
      <c r="L51" s="48">
        <f>((C51+D51)/2-(J51+K51)/2)/((J51+K51)/2)*100</f>
        <v>1.1764705882352942</v>
      </c>
      <c r="M51" s="50">
        <f t="shared" si="0"/>
        <v>-2.2727272727272729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9.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9.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9.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750</v>
      </c>
      <c r="K55" s="38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ht="19.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9.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38">
        <v>160</v>
      </c>
      <c r="K57" s="38">
        <v>185</v>
      </c>
      <c r="L57" s="48">
        <f t="shared" si="8"/>
        <v>10.144927536231885</v>
      </c>
      <c r="M57" s="50">
        <f t="shared" si="0"/>
        <v>0</v>
      </c>
    </row>
    <row r="58" spans="1:13" s="49" customFormat="1" ht="19.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59"/>
      <c r="K64" s="59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59"/>
      <c r="K65" s="59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59"/>
      <c r="K66" s="59"/>
      <c r="L66" s="5"/>
    </row>
    <row r="67" spans="1:13">
      <c r="A67" s="69" t="s">
        <v>1</v>
      </c>
      <c r="B67" s="69" t="s">
        <v>2</v>
      </c>
      <c r="C67" s="71" t="s">
        <v>3</v>
      </c>
      <c r="D67" s="72"/>
      <c r="E67" s="71" t="s">
        <v>4</v>
      </c>
      <c r="F67" s="72"/>
      <c r="G67" s="71" t="s">
        <v>5</v>
      </c>
      <c r="H67" s="72"/>
      <c r="I67" s="25" t="s">
        <v>6</v>
      </c>
      <c r="J67" s="85" t="s">
        <v>7</v>
      </c>
      <c r="K67" s="86"/>
      <c r="L67" s="25" t="s">
        <v>8</v>
      </c>
    </row>
    <row r="68" spans="1:13" ht="18" customHeight="1">
      <c r="A68" s="70"/>
      <c r="B68" s="70"/>
      <c r="C68" s="73">
        <v>46265</v>
      </c>
      <c r="D68" s="74"/>
      <c r="E68" s="73">
        <v>46258</v>
      </c>
      <c r="F68" s="74"/>
      <c r="G68" s="73">
        <v>46234</v>
      </c>
      <c r="H68" s="74"/>
      <c r="I68" s="25" t="s">
        <v>9</v>
      </c>
      <c r="J68" s="87">
        <v>45900</v>
      </c>
      <c r="K68" s="88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89" t="s">
        <v>10</v>
      </c>
      <c r="K69" s="89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38">
        <v>105</v>
      </c>
      <c r="K70" s="38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ht="19.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9.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11.111111111111111</v>
      </c>
    </row>
    <row r="74" spans="1:13" s="50" customFormat="1" ht="19.5">
      <c r="A74" s="44" t="s">
        <v>102</v>
      </c>
      <c r="B74" s="51" t="s">
        <v>14</v>
      </c>
      <c r="C74" s="38">
        <v>120</v>
      </c>
      <c r="D74" s="38">
        <v>140</v>
      </c>
      <c r="E74" s="38">
        <v>120</v>
      </c>
      <c r="F74" s="38">
        <v>160</v>
      </c>
      <c r="G74" s="38">
        <v>300</v>
      </c>
      <c r="H74" s="38">
        <v>400</v>
      </c>
      <c r="I74" s="47">
        <f t="shared" si="9"/>
        <v>-62.857142857142854</v>
      </c>
      <c r="J74" s="46">
        <v>200</v>
      </c>
      <c r="K74" s="46">
        <v>250</v>
      </c>
      <c r="L74" s="48">
        <f t="shared" si="10"/>
        <v>-42.222222222222221</v>
      </c>
      <c r="M74" s="50">
        <f t="shared" si="11"/>
        <v>-7.1428571428571423</v>
      </c>
    </row>
    <row r="75" spans="1:13" s="50" customFormat="1" ht="19.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120</v>
      </c>
      <c r="L75" s="48">
        <f t="shared" si="10"/>
        <v>0</v>
      </c>
      <c r="M75" s="50">
        <f t="shared" si="11"/>
        <v>0</v>
      </c>
    </row>
    <row r="76" spans="1:13" s="50" customFormat="1" ht="19.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9.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9.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9.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>
      <c r="A81" s="66" t="s">
        <v>118</v>
      </c>
      <c r="B81" s="67"/>
      <c r="C81" s="65" t="s">
        <v>119</v>
      </c>
      <c r="D81" s="65"/>
      <c r="E81" s="65"/>
      <c r="F81" s="65"/>
      <c r="G81" s="65"/>
      <c r="H81" s="65"/>
      <c r="I81" s="65"/>
      <c r="J81" s="65"/>
      <c r="K81" s="65"/>
      <c r="L81" s="65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68" t="s">
        <v>133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</row>
    <row r="84" spans="1:12">
      <c r="A84" s="7"/>
      <c r="B84" s="68" t="s">
        <v>134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</row>
    <row r="85" spans="1:12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1" t="s">
        <v>3</v>
      </c>
      <c r="D87" s="72"/>
      <c r="E87" s="83" t="s">
        <v>78</v>
      </c>
      <c r="F87" s="84"/>
      <c r="G87" s="26" t="s">
        <v>9</v>
      </c>
      <c r="H87" s="71" t="s">
        <v>79</v>
      </c>
      <c r="I87" s="82"/>
      <c r="J87" s="72"/>
      <c r="K87" s="10"/>
      <c r="L87" s="2"/>
    </row>
    <row r="88" spans="1:12">
      <c r="A88" s="44" t="s">
        <v>21</v>
      </c>
      <c r="B88" s="45" t="s">
        <v>19</v>
      </c>
      <c r="C88" s="38">
        <v>70</v>
      </c>
      <c r="D88" s="38">
        <v>80</v>
      </c>
      <c r="E88" s="38">
        <v>70</v>
      </c>
      <c r="F88" s="38">
        <v>75</v>
      </c>
      <c r="G88" s="31">
        <f t="shared" ref="G88:G94" si="12">((C88+D88)/2-(E88+F88)/2)/((E88+F88)/2)*100</f>
        <v>3.4482758620689653</v>
      </c>
      <c r="H88" s="71" t="s">
        <v>125</v>
      </c>
      <c r="I88" s="82"/>
      <c r="J88" s="72"/>
      <c r="K88" s="10"/>
      <c r="L88" s="2"/>
    </row>
    <row r="89" spans="1:12">
      <c r="A89" s="44" t="s">
        <v>23</v>
      </c>
      <c r="B89" s="45" t="s">
        <v>24</v>
      </c>
      <c r="C89" s="40">
        <v>186</v>
      </c>
      <c r="D89" s="38">
        <v>195</v>
      </c>
      <c r="E89" s="40">
        <v>186</v>
      </c>
      <c r="F89" s="38">
        <v>192</v>
      </c>
      <c r="G89" s="31">
        <f t="shared" si="12"/>
        <v>0.79365079365079361</v>
      </c>
      <c r="H89" s="71" t="s">
        <v>127</v>
      </c>
      <c r="I89" s="82"/>
      <c r="J89" s="72"/>
      <c r="K89" s="10"/>
      <c r="L89" s="2"/>
    </row>
    <row r="90" spans="1:12">
      <c r="A90" s="44" t="s">
        <v>41</v>
      </c>
      <c r="B90" s="45" t="s">
        <v>14</v>
      </c>
      <c r="C90" s="40">
        <v>130</v>
      </c>
      <c r="D90" s="38">
        <v>200</v>
      </c>
      <c r="E90" s="40">
        <v>140</v>
      </c>
      <c r="F90" s="38">
        <v>200</v>
      </c>
      <c r="G90" s="31">
        <f t="shared" si="12"/>
        <v>-2.9411764705882351</v>
      </c>
      <c r="H90" s="71" t="s">
        <v>128</v>
      </c>
      <c r="I90" s="82"/>
      <c r="J90" s="72"/>
      <c r="K90" s="10"/>
      <c r="L90" s="2"/>
    </row>
    <row r="91" spans="1:12">
      <c r="A91" s="44" t="s">
        <v>50</v>
      </c>
      <c r="B91" s="45" t="s">
        <v>14</v>
      </c>
      <c r="C91" s="38">
        <v>1450</v>
      </c>
      <c r="D91" s="38">
        <v>1600</v>
      </c>
      <c r="E91" s="38">
        <v>1400</v>
      </c>
      <c r="F91" s="38">
        <v>1600</v>
      </c>
      <c r="G91" s="31">
        <f t="shared" si="12"/>
        <v>1.6666666666666667</v>
      </c>
      <c r="H91" s="71" t="s">
        <v>125</v>
      </c>
      <c r="I91" s="82"/>
      <c r="J91" s="72"/>
      <c r="K91" s="10"/>
      <c r="L91" s="2"/>
    </row>
    <row r="92" spans="1:12">
      <c r="A92" s="44" t="s">
        <v>53</v>
      </c>
      <c r="B92" s="45" t="s">
        <v>14</v>
      </c>
      <c r="C92" s="38">
        <v>190</v>
      </c>
      <c r="D92" s="38">
        <v>240</v>
      </c>
      <c r="E92" s="38">
        <v>200</v>
      </c>
      <c r="F92" s="38">
        <v>240</v>
      </c>
      <c r="G92" s="31">
        <f t="shared" si="12"/>
        <v>-2.2727272727272729</v>
      </c>
      <c r="H92" s="71" t="s">
        <v>124</v>
      </c>
      <c r="I92" s="82"/>
      <c r="J92" s="72"/>
      <c r="K92" s="10"/>
      <c r="L92" s="2"/>
    </row>
    <row r="93" spans="1:12">
      <c r="A93" s="44" t="s">
        <v>101</v>
      </c>
      <c r="B93" s="51" t="s">
        <v>69</v>
      </c>
      <c r="C93" s="38">
        <v>20</v>
      </c>
      <c r="D93" s="38">
        <v>30</v>
      </c>
      <c r="E93" s="38">
        <v>20</v>
      </c>
      <c r="F93" s="38">
        <v>25</v>
      </c>
      <c r="G93" s="31">
        <f t="shared" si="12"/>
        <v>11.111111111111111</v>
      </c>
      <c r="H93" s="71" t="s">
        <v>132</v>
      </c>
      <c r="I93" s="82"/>
      <c r="J93" s="72"/>
      <c r="K93" s="10"/>
      <c r="L93" s="2"/>
    </row>
    <row r="94" spans="1:12">
      <c r="A94" s="44" t="s">
        <v>102</v>
      </c>
      <c r="B94" s="51" t="s">
        <v>14</v>
      </c>
      <c r="C94" s="38">
        <v>120</v>
      </c>
      <c r="D94" s="38">
        <v>140</v>
      </c>
      <c r="E94" s="38">
        <v>120</v>
      </c>
      <c r="F94" s="38">
        <v>160</v>
      </c>
      <c r="G94" s="31">
        <f t="shared" si="12"/>
        <v>-7.1428571428571423</v>
      </c>
      <c r="H94" s="71" t="s">
        <v>126</v>
      </c>
      <c r="I94" s="82"/>
      <c r="J94" s="72"/>
      <c r="K94" s="10"/>
      <c r="L94" s="2"/>
    </row>
    <row r="95" spans="1:12">
      <c r="A95" s="64"/>
      <c r="B95" s="58"/>
      <c r="C95" s="59"/>
      <c r="D95" s="59"/>
      <c r="E95" s="59"/>
      <c r="F95" s="59"/>
      <c r="G95" s="61"/>
      <c r="H95" s="63"/>
      <c r="I95" s="63"/>
      <c r="J95" s="63"/>
      <c r="K95" s="10"/>
      <c r="L95" s="2"/>
    </row>
    <row r="96" spans="1:12">
      <c r="A96" s="57"/>
      <c r="B96" s="62"/>
      <c r="C96" s="59"/>
      <c r="D96" s="59"/>
      <c r="E96" s="59"/>
      <c r="F96" s="59"/>
      <c r="G96" s="61"/>
      <c r="H96" s="63"/>
      <c r="I96" s="63"/>
      <c r="J96" s="63"/>
      <c r="K96" s="10"/>
      <c r="L96" s="2"/>
    </row>
    <row r="97" spans="1:12">
      <c r="A97" s="57"/>
      <c r="B97" s="58"/>
      <c r="C97" s="59"/>
      <c r="D97" s="60"/>
      <c r="E97" s="59"/>
      <c r="F97" s="60"/>
      <c r="G97" s="61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110</v>
      </c>
      <c r="C99" s="2"/>
      <c r="E99" s="7"/>
      <c r="F99" s="14" t="s">
        <v>121</v>
      </c>
      <c r="G99" s="2"/>
      <c r="I99" s="15"/>
      <c r="J99" s="1"/>
      <c r="K99" s="2"/>
      <c r="L99" s="12"/>
    </row>
    <row r="100" spans="1:12">
      <c r="A100" s="16"/>
      <c r="B100" s="14" t="s">
        <v>109</v>
      </c>
      <c r="C100" s="1"/>
      <c r="E100" s="16"/>
      <c r="F100" s="14" t="s">
        <v>122</v>
      </c>
      <c r="G100" s="1"/>
      <c r="I100" s="2"/>
      <c r="J100" s="1"/>
      <c r="L100" s="12"/>
    </row>
    <row r="101" spans="1:12">
      <c r="A101" s="7"/>
      <c r="C101" s="6"/>
      <c r="D101" s="6"/>
      <c r="E101" s="1"/>
      <c r="F101" s="6"/>
      <c r="G101" s="4"/>
      <c r="H101" s="17"/>
      <c r="I101" s="12"/>
      <c r="J101" s="12"/>
      <c r="K101" s="12"/>
      <c r="L101" s="12"/>
    </row>
    <row r="102" spans="1:12">
      <c r="A102" s="18" t="s">
        <v>86</v>
      </c>
      <c r="B102" s="19"/>
      <c r="C102" s="20"/>
      <c r="D102" s="19"/>
      <c r="E102" s="20"/>
      <c r="F102" s="20"/>
      <c r="G102" s="20"/>
      <c r="H102" s="21"/>
      <c r="I102" s="2"/>
      <c r="J102" s="2"/>
      <c r="K102" s="2"/>
      <c r="L102" s="2"/>
    </row>
    <row r="103" spans="1:12">
      <c r="A103" s="22" t="s">
        <v>111</v>
      </c>
      <c r="B103" s="19"/>
      <c r="C103" s="20"/>
      <c r="D103" s="19"/>
      <c r="E103" s="20"/>
      <c r="F103" s="20"/>
      <c r="G103" s="19"/>
      <c r="H103" s="21"/>
      <c r="I103" s="2"/>
      <c r="J103" s="2"/>
      <c r="K103" s="2"/>
      <c r="L103" s="2"/>
    </row>
    <row r="104" spans="1:12">
      <c r="A104" s="22" t="s">
        <v>105</v>
      </c>
      <c r="B104" s="19"/>
      <c r="C104" s="19"/>
      <c r="D104" s="19"/>
      <c r="E104" s="19"/>
      <c r="F104" s="20"/>
      <c r="G104" s="19"/>
      <c r="H104" s="21"/>
      <c r="I104" s="2"/>
      <c r="J104" s="2"/>
      <c r="K104" s="2"/>
      <c r="L104" s="2"/>
    </row>
    <row r="105" spans="1:12">
      <c r="A105" s="22" t="s">
        <v>80</v>
      </c>
      <c r="B105" s="19"/>
      <c r="C105" s="19"/>
      <c r="D105" s="19"/>
      <c r="E105" s="19"/>
      <c r="F105" s="21"/>
      <c r="G105" s="21"/>
      <c r="H105" s="21"/>
      <c r="I105" s="2"/>
      <c r="J105" s="2"/>
      <c r="K105" s="2"/>
      <c r="L105" s="2"/>
    </row>
    <row r="106" spans="1:12">
      <c r="A106" s="22" t="s">
        <v>106</v>
      </c>
      <c r="B106" s="19"/>
      <c r="C106" s="19"/>
      <c r="D106" s="19"/>
      <c r="E106" s="19"/>
      <c r="F106" s="19"/>
      <c r="G106" s="21"/>
      <c r="H106" s="21"/>
      <c r="I106" s="2"/>
      <c r="J106" s="2"/>
      <c r="K106" s="2"/>
      <c r="L106" s="2"/>
    </row>
    <row r="107" spans="1:12">
      <c r="A107" s="22" t="s">
        <v>89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95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88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87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81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90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112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91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107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/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18" t="s">
        <v>82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83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113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 t="s">
        <v>114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99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438" spans="2:2">
      <c r="B438" s="11" t="s">
        <v>108</v>
      </c>
    </row>
  </sheetData>
  <mergeCells count="39">
    <mergeCell ref="H92:J92"/>
    <mergeCell ref="H94:J94"/>
    <mergeCell ref="H91:J91"/>
    <mergeCell ref="B84:L84"/>
    <mergeCell ref="C87:D87"/>
    <mergeCell ref="E87:F87"/>
    <mergeCell ref="H87:J87"/>
    <mergeCell ref="H88:J88"/>
    <mergeCell ref="H89:J89"/>
    <mergeCell ref="H90:J90"/>
    <mergeCell ref="H93:J9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2026-08-31T06:45:23Z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