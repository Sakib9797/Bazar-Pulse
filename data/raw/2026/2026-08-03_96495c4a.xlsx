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51D2327D-AF66-4437-B525-DECE744FE5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M10" i="4" l="1"/>
  <c r="L10" i="4"/>
  <c r="I10" i="4"/>
  <c r="G94" i="4"/>
  <c r="G99" i="4"/>
  <c r="G98" i="4"/>
  <c r="L11" i="4"/>
  <c r="I11" i="4"/>
  <c r="I72" i="4"/>
  <c r="G92" i="4"/>
  <c r="G90" i="4"/>
  <c r="G93" i="4"/>
  <c r="G88" i="4"/>
  <c r="G89" i="4"/>
  <c r="G96" i="4"/>
  <c r="G91" i="4"/>
  <c r="G95" i="4"/>
  <c r="G97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3" i="4"/>
  <c r="L76" i="4"/>
  <c r="L75" i="4"/>
  <c r="L74" i="4"/>
  <c r="L80" i="4"/>
  <c r="L79" i="4"/>
  <c r="L78" i="4"/>
  <c r="L77" i="4"/>
  <c r="L72" i="4"/>
  <c r="L71" i="4"/>
  <c r="L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9" i="4"/>
</calcChain>
</file>

<file path=xl/sharedStrings.xml><?xml version="1.0" encoding="utf-8"?>
<sst xmlns="http://schemas.openxmlformats.org/spreadsheetml/2006/main" count="255" uniqueCount="137">
  <si>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</si>
  <si>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</si>
  <si>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</si>
  <si>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</si>
  <si>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</si>
  <si>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</si>
  <si>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</si>
  <si>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</si>
  <si>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</si>
  <si>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</si>
  <si>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</si>
  <si>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</si>
  <si>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</si>
  <si>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</si>
  <si>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</si>
  <si>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</si>
  <si>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</si>
  <si>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</si>
  <si>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</si>
  <si>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</si>
  <si>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</si>
  <si>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</si>
  <si>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</si>
  <si>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</si>
  <si>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</si>
  <si>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</si>
  <si>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</si>
  <si>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</si>
  <si>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</si>
  <si>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</si>
  <si>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</si>
  <si>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</si>
  <si>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</si>
  <si>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</si>
  <si>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</si>
  <si>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</si>
  <si>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</si>
  <si>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</si>
  <si>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</si>
  <si>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</si>
  <si>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</si>
  <si>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</si>
  <si>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</si>
  <si>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</si>
  <si>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</si>
  <si>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</si>
  <si>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</si>
  <si>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</si>
  <si>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</si>
  <si>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</si>
  <si>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</si>
  <si>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</si>
  <si>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</si>
  <si>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</si>
  <si>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</si>
  <si>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</si>
  <si>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</si>
  <si>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</si>
  <si>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</si>
  <si>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</si>
  <si>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</si>
  <si>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</si>
  <si>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</si>
  <si>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</si>
  <si>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</si>
  <si>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</si>
  <si>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</si>
  <si>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</si>
  <si>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</si>
  <si>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</si>
  <si>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</si>
  <si>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</si>
  <si>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</si>
  <si>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</si>
  <si>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</si>
  <si>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</si>
  <si>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</si>
  <si>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</si>
  <si>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</si>
  <si>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</si>
  <si>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</si>
  <si>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</si>
  <si>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</si>
  <si>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</si>
  <si>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</si>
  <si>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</si>
  <si>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</si>
  <si>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</si>
  <si>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</si>
  <si>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</si>
  <si>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</si>
  <si>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</si>
  <si>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</si>
  <si>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</si>
  <si>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</si>
  <si>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</si>
  <si>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</si>
  <si>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</si>
  <si>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</si>
  <si>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</si>
  <si>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</si>
  <si>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</si>
  <si>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</si>
  <si>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</si>
  <si>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</si>
  <si>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</si>
  <si>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</si>
  <si>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</si>
  <si>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</si>
  <si>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</si>
  <si>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</si>
  <si>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</si>
  <si>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</si>
  <si>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</si>
  <si>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</si>
  <si>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</si>
  <si>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</si>
  <si>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</si>
  <si>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</si>
  <si>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</si>
  <si>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</si>
  <si>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২৮-০৭-২০২৬ তারিখে মূল্য বৃদ্ধি পেয়েছে।</t>
  </si>
  <si>
    <t>২৯-০৭-২০২৬ তারিখে মূল্য হ্রাস পেয়েছে।</t>
  </si>
  <si>
    <t>২৯-০৭-২০২৬ তারিখে মূল্য বৃদ্ধি পেয়েছে।</t>
  </si>
  <si>
    <t>৩০-০৭-২০২৬ তারিখে মূল্য হ্রাস পেয়েছে।</t>
  </si>
  <si>
    <t>৩১-০৭-২০২৬ তারিখে মূল্য হ্রাস পেয়েছে।</t>
  </si>
  <si>
    <t>০২-০৮-২০২৬ তারিখে মূল্য হ্রাস পেয়েছে।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</si>
  <si>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</si>
  <si>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</si>
  <si>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১৯০</t>
  </si>
  <si>
    <t xml:space="preserve">নং-২৬.০৫.০০০০.০১৭.৩১.০১.২৬-৬১০                                                                                                           তারিখঃ ০৩-০৮-২০২৬ </t>
  </si>
  <si>
    <t xml:space="preserve">সোমবার ০৩ আগষ্ট ২০২৬ খ্রিঃ, ১৯ শ্রাবণ ১৪৩৩ বাংলা, ১৯ সফর ১৪৪৮ হিজরি </t>
  </si>
  <si>
    <t>চাল সুগন্ধী (পোলাও)</t>
  </si>
  <si>
    <t>০৩-০৮-২০২৬ তারিখে মূল্য বৃদ্ধি পেয়েছে।</t>
  </si>
  <si>
    <t>০৩-০৮-২০২৬ তারিখে মূল্য হ্রাস পেয়েছে।</t>
  </si>
  <si>
    <t>(১)    আটা (প্যাঃ), ময়দা (প্যাঃ), পেঁয়াজ (দেশী), দারুচিনি, কাঁচামরিচ, এম এস রড (৬০, ৪০ গ্রেড)  এর মূল্য বৃদ্ধি পেয়েছে।</t>
  </si>
  <si>
    <t>(২)    আলু, রশুন (দেশী), ধনে, বেগুন, শসা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</si>
</sst>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89</xdr:row>
      <xdr:rowOff>270542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="95" zoomScaleNormal="95" workbookViewId="0">
      <selection activeCell="B11" sqref="B1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129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130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46237</v>
      </c>
      <c r="D7" s="77"/>
      <c r="E7" s="76">
        <v>46230</v>
      </c>
      <c r="F7" s="77"/>
      <c r="G7" s="76">
        <v>46206</v>
      </c>
      <c r="H7" s="77"/>
      <c r="I7" s="25" t="s">
        <v>9</v>
      </c>
      <c r="J7" s="80">
        <v>45872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132</v>
      </c>
      <c r="B9" s="45" t="s">
        <v>14</v>
      </c>
      <c r="C9" s="38">
        <v>160</v>
      </c>
      <c r="D9" s="38">
        <v>200</v>
      </c>
      <c r="E9" s="38">
        <v>0</v>
      </c>
      <c r="F9" s="38">
        <v>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 t="e">
        <f>((C9+D9)/2-(E9+F9)/2)/((E9+F9)/2)*100</f>
        <v>#DIV/0!</v>
      </c>
    </row>
    <row r="10" spans="1:18" s="28" customFormat="1">
      <c r="A10" s="44" t="s">
        <v>132</v>
      </c>
      <c r="B10" s="45" t="s">
        <v>19</v>
      </c>
      <c r="C10" s="38">
        <v>200</v>
      </c>
      <c r="D10" s="38">
        <v>230</v>
      </c>
      <c r="E10" s="38">
        <v>0</v>
      </c>
      <c r="F10" s="38">
        <v>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 t="e">
        <f>((C10+D10)/2-(E10+F10)/2)/((E10+F10)/2)*100</f>
        <v>#DIV/0!</v>
      </c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45</v>
      </c>
      <c r="H15" s="38">
        <v>46</v>
      </c>
      <c r="I15" s="47">
        <f>((C15+D15)/2-(G15+H15)/2)/((G15+H15)/2)*100</f>
        <v>4.395604395604396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55</v>
      </c>
      <c r="F16" s="38">
        <v>60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8.695652173913043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60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4.3478260869565215</v>
      </c>
      <c r="J17" s="56">
        <v>50</v>
      </c>
      <c r="K17" s="56">
        <v>60</v>
      </c>
      <c r="L17" s="48">
        <f>((C17+D17)/2-(J17+K17)/2)/((J17+K17)/2)*100</f>
        <v>9.0909090909090917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60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60</v>
      </c>
      <c r="K18" s="56">
        <v>70</v>
      </c>
      <c r="L18" s="48">
        <f>((C18+D18)/2-(J18+K18)/2)/((J18+K18)/2)*100</f>
        <v>7.6923076923076925</v>
      </c>
      <c r="M18" s="50">
        <f t="shared" si="0"/>
        <v>3.7037037037037033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56">
        <v>162</v>
      </c>
      <c r="K20" s="56">
        <v>170</v>
      </c>
      <c r="L20" s="48">
        <f t="shared" ref="L20:L26" si="2">((C20+D20)/2-(J20+K20)/2)/((J20+K20)/2)*100</f>
        <v>14.759036144578314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si="2"/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155</v>
      </c>
      <c r="L24" s="48">
        <f t="shared" si="2"/>
        <v>9.8360655737704921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162</v>
      </c>
      <c r="L25" s="48">
        <f t="shared" si="2"/>
        <v>9.8726114649681538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 t="shared" si="2"/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140</v>
      </c>
      <c r="K30" s="56">
        <v>150</v>
      </c>
      <c r="L30" s="48">
        <f t="shared" si="4"/>
        <v>6.8965517241379306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22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-5.4545454545454541</v>
      </c>
      <c r="J34" s="56">
        <v>20</v>
      </c>
      <c r="K34" s="56">
        <v>30</v>
      </c>
      <c r="L34" s="48">
        <f t="shared" si="4"/>
        <v>4</v>
      </c>
      <c r="M34" s="50">
        <f t="shared" si="0"/>
        <v>-5.4545454545454541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55</v>
      </c>
      <c r="D36" s="40">
        <v>60</v>
      </c>
      <c r="E36" s="40">
        <v>50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43.75</v>
      </c>
      <c r="J36" s="56">
        <v>70</v>
      </c>
      <c r="K36" s="56">
        <v>80</v>
      </c>
      <c r="L36" s="48">
        <f t="shared" ref="L36:L51" si="6">((C36+D36)/2-(J36+K36)/2)/((J36+K36)/2)*100</f>
        <v>-23.333333333333332</v>
      </c>
      <c r="M36" s="50">
        <f>((C36+D36)/2-(E36+F36)/2)/((E36+F36)/2)*100</f>
        <v>4.5454545454545459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130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-4.3478260869565215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15.625</v>
      </c>
      <c r="J39" s="56">
        <v>160</v>
      </c>
      <c r="K39" s="56">
        <v>210</v>
      </c>
      <c r="L39" s="48">
        <f t="shared" si="6"/>
        <v>0</v>
      </c>
      <c r="M39" s="50">
        <f t="shared" si="0"/>
        <v>0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 t="shared" si="6"/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160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20</v>
      </c>
      <c r="J45" s="56">
        <v>180</v>
      </c>
      <c r="K45" s="56">
        <v>280</v>
      </c>
      <c r="L45" s="48">
        <f t="shared" si="6"/>
        <v>-21.739130434782609</v>
      </c>
      <c r="M45" s="50">
        <f t="shared" si="0"/>
        <v>0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500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1.8181818181818181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280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-4.3478260869565215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 t="shared" si="6"/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58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160</v>
      </c>
      <c r="H57" s="38">
        <v>180</v>
      </c>
      <c r="I57" s="47">
        <f t="shared" si="7"/>
        <v>11.76470588235294</v>
      </c>
      <c r="J57" s="56">
        <v>145</v>
      </c>
      <c r="K57" s="56">
        <v>170</v>
      </c>
      <c r="L57" s="48">
        <f t="shared" si="8"/>
        <v>20.634920634920633</v>
      </c>
      <c r="M57" s="50">
        <f t="shared" si="0"/>
        <v>0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>((C60+D60)/2-(G61+H61)/2)/((G61+H61)/2)*100</f>
        <v>4.5197740112994351</v>
      </c>
      <c r="J60" s="56">
        <v>720</v>
      </c>
      <c r="K60" s="56">
        <v>860</v>
      </c>
      <c r="L60" s="48">
        <f>((C60+D60)/2-(J61+K61)/2)/((J61+K61)/2)*100</f>
        <v>5.7142857142857144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>((C61+D61)/2-(G62+H62)/2)/((G62+H62)/2)*100</f>
        <v>7.5581395348837201</v>
      </c>
      <c r="J61" s="56">
        <v>840</v>
      </c>
      <c r="K61" s="56">
        <v>910</v>
      </c>
      <c r="L61" s="48">
        <f>((C61+D61)/2-(J62+K62)/2)/((J62+K62)/2)*100</f>
        <v>7.5581395348837201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>((C62+D62)/2-(G63+H63)/2)/((G63+H63)/2)*100</f>
        <v>7.5144508670520231</v>
      </c>
      <c r="J62" s="56">
        <v>830</v>
      </c>
      <c r="K62" s="56">
        <v>890</v>
      </c>
      <c r="L62" s="48">
        <f>((C62+D62)/2-(J63+K63)/2)/((J63+K63)/2)*100</f>
        <v>7.5144508670520231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 t="e">
        <f>((C63+D63)/2-(#REF!+#REF!)/2)/((#REF!+#REF!)/2)*100</f>
        <v>#REF!</v>
      </c>
      <c r="J63" s="56">
        <v>830</v>
      </c>
      <c r="K63" s="56">
        <v>900</v>
      </c>
      <c r="L63" s="48" t="e">
        <f>((C63+D63)/2-(#REF!+#REF!)/2)/((#REF!+#REF!)/2)*100</f>
        <v>#REF!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0" t="s">
        <v>3</v>
      </c>
      <c r="D67" s="72"/>
      <c r="E67" s="70" t="s">
        <v>4</v>
      </c>
      <c r="F67" s="72"/>
      <c r="G67" s="70" t="s">
        <v>5</v>
      </c>
      <c r="H67" s="72"/>
      <c r="I67" s="25" t="s">
        <v>6</v>
      </c>
      <c r="J67" s="70" t="s">
        <v>7</v>
      </c>
      <c r="K67" s="72"/>
      <c r="L67" s="25" t="s">
        <v>8</v>
      </c>
    </row>
    <row r="68" spans="1:13" ht="18" customHeight="1">
      <c r="A68" s="79"/>
      <c r="B68" s="79"/>
      <c r="C68" s="76">
        <v>46237</v>
      </c>
      <c r="D68" s="77"/>
      <c r="E68" s="76">
        <v>46230</v>
      </c>
      <c r="F68" s="77"/>
      <c r="G68" s="76">
        <v>46206</v>
      </c>
      <c r="H68" s="77"/>
      <c r="I68" s="25" t="s">
        <v>9</v>
      </c>
      <c r="J68" s="80">
        <v>45872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9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9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9"/>
        <v>2.5</v>
      </c>
      <c r="M72" s="50">
        <f t="shared" si="0"/>
        <v>0</v>
      </c>
    </row>
    <row r="73" spans="1:13" s="50" customFormat="1" ht="19.5">
      <c r="A73" s="44" t="s">
        <v>104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0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105</v>
      </c>
      <c r="B74" s="51" t="s">
        <v>14</v>
      </c>
      <c r="C74" s="38">
        <v>300</v>
      </c>
      <c r="D74" s="38">
        <v>380</v>
      </c>
      <c r="E74" s="38">
        <v>240</v>
      </c>
      <c r="F74" s="38">
        <v>300</v>
      </c>
      <c r="G74" s="38">
        <v>80</v>
      </c>
      <c r="H74" s="38">
        <v>140</v>
      </c>
      <c r="I74" s="47">
        <f t="shared" si="10"/>
        <v>209.09090909090909</v>
      </c>
      <c r="J74" s="46">
        <v>0</v>
      </c>
      <c r="K74" s="46">
        <v>0</v>
      </c>
      <c r="L74" s="48" t="e">
        <f t="shared" si="9"/>
        <v>#DIV/0!</v>
      </c>
      <c r="M74" s="50">
        <f t="shared" si="11"/>
        <v>25.925925925925924</v>
      </c>
    </row>
    <row r="75" spans="1:13" s="50" customFormat="1">
      <c r="A75" s="44" t="s">
        <v>106</v>
      </c>
      <c r="B75" s="51" t="s">
        <v>14</v>
      </c>
      <c r="C75" s="38">
        <v>100</v>
      </c>
      <c r="D75" s="38">
        <v>120</v>
      </c>
      <c r="E75" s="38">
        <v>100</v>
      </c>
      <c r="F75" s="38">
        <v>140</v>
      </c>
      <c r="G75" s="38">
        <v>80</v>
      </c>
      <c r="H75" s="38">
        <v>100</v>
      </c>
      <c r="I75" s="47">
        <f t="shared" si="10"/>
        <v>22.222222222222221</v>
      </c>
      <c r="J75" s="67">
        <v>40</v>
      </c>
      <c r="K75" s="67">
        <v>120</v>
      </c>
      <c r="L75" s="48">
        <f t="shared" si="9"/>
        <v>37.5</v>
      </c>
      <c r="M75" s="50">
        <f t="shared" si="11"/>
        <v>-8.3333333333333321</v>
      </c>
    </row>
    <row r="76" spans="1:13" s="50" customFormat="1">
      <c r="A76" s="44" t="s">
        <v>107</v>
      </c>
      <c r="B76" s="51" t="s">
        <v>14</v>
      </c>
      <c r="C76" s="38">
        <v>80</v>
      </c>
      <c r="D76" s="38">
        <v>100</v>
      </c>
      <c r="E76" s="38">
        <v>80</v>
      </c>
      <c r="F76" s="38">
        <v>150</v>
      </c>
      <c r="G76" s="38">
        <v>50</v>
      </c>
      <c r="H76" s="38">
        <v>80</v>
      </c>
      <c r="I76" s="47">
        <f t="shared" si="10"/>
        <v>38.461538461538467</v>
      </c>
      <c r="J76" s="67">
        <v>50</v>
      </c>
      <c r="K76" s="67">
        <v>100</v>
      </c>
      <c r="L76" s="48">
        <f t="shared" si="9"/>
        <v>20</v>
      </c>
      <c r="M76" s="50">
        <f t="shared" si="11"/>
        <v>-21.739130434782609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0"/>
        <v>0</v>
      </c>
      <c r="J77" s="60">
        <v>38</v>
      </c>
      <c r="K77" s="60">
        <v>48</v>
      </c>
      <c r="L77" s="48">
        <f>((C77+D77)/2-(J77+K77)/2)/((J77+K77)/2)*100</f>
        <v>10.465116279069768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0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88000</v>
      </c>
      <c r="F79" s="38">
        <v>92000</v>
      </c>
      <c r="G79" s="38">
        <v>88000</v>
      </c>
      <c r="H79" s="38">
        <v>92000</v>
      </c>
      <c r="I79" s="47">
        <f t="shared" si="10"/>
        <v>3.8888888888888888</v>
      </c>
      <c r="J79" s="56">
        <v>85000</v>
      </c>
      <c r="K79" s="56">
        <v>89000</v>
      </c>
      <c r="L79" s="48">
        <f>((C79+D79)/2-(J79+K79)/2)/((J79+K79)/2)*100</f>
        <v>7.4712643678160928</v>
      </c>
      <c r="M79" s="50">
        <f t="shared" si="11"/>
        <v>3.8888888888888888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83500</v>
      </c>
      <c r="F80" s="43">
        <v>84000</v>
      </c>
      <c r="G80" s="38">
        <v>83500</v>
      </c>
      <c r="H80" s="43">
        <v>84000</v>
      </c>
      <c r="I80" s="47">
        <f t="shared" si="10"/>
        <v>7.4626865671641784</v>
      </c>
      <c r="J80" s="56">
        <v>78500</v>
      </c>
      <c r="K80" s="60">
        <v>82000</v>
      </c>
      <c r="L80" s="48">
        <f>((C80+D80)/2-(J80+K80)/2)/((J80+K80)/2)*100</f>
        <v>12.149532710280374</v>
      </c>
      <c r="M80" s="50">
        <f t="shared" si="11"/>
        <v>7.4626865671641784</v>
      </c>
    </row>
    <row r="81" spans="1:12" ht="42" customHeight="1">
      <c r="A81" s="83" t="s">
        <v>127</v>
      </c>
      <c r="B81" s="84"/>
      <c r="C81" s="82" t="s">
        <v>128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5" t="s">
        <v>135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</row>
    <row r="84" spans="1:12">
      <c r="A84" s="7"/>
      <c r="B84" s="75" t="s">
        <v>136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</row>
    <row r="85" spans="1:12">
      <c r="A85" s="7"/>
      <c r="B85" s="7" t="s">
        <v>120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2"/>
      <c r="E87" s="73" t="s">
        <v>78</v>
      </c>
      <c r="F87" s="74"/>
      <c r="G87" s="26" t="s">
        <v>9</v>
      </c>
      <c r="H87" s="70" t="s">
        <v>79</v>
      </c>
      <c r="I87" s="71"/>
      <c r="J87" s="72"/>
      <c r="K87" s="10"/>
      <c r="L87" s="2"/>
    </row>
    <row r="88" spans="1:12">
      <c r="A88" s="44" t="s">
        <v>18</v>
      </c>
      <c r="B88" s="45" t="s">
        <v>19</v>
      </c>
      <c r="C88" s="38">
        <v>60</v>
      </c>
      <c r="D88" s="38">
        <v>65</v>
      </c>
      <c r="E88" s="38">
        <v>55</v>
      </c>
      <c r="F88" s="38">
        <v>60</v>
      </c>
      <c r="G88" s="31">
        <f t="shared" ref="G88:G91" si="12">((C88+D88)/2-(E88+F88)/2)/((E88+F88)/2)*100</f>
        <v>8.695652173913043</v>
      </c>
      <c r="H88" s="70" t="s">
        <v>123</v>
      </c>
      <c r="I88" s="71"/>
      <c r="J88" s="72"/>
      <c r="K88" s="10"/>
      <c r="L88" s="2"/>
    </row>
    <row r="89" spans="1:12">
      <c r="A89" s="44" t="s">
        <v>21</v>
      </c>
      <c r="B89" s="45" t="s">
        <v>19</v>
      </c>
      <c r="C89" s="38">
        <v>65</v>
      </c>
      <c r="D89" s="38">
        <v>75</v>
      </c>
      <c r="E89" s="38">
        <v>60</v>
      </c>
      <c r="F89" s="38">
        <v>75</v>
      </c>
      <c r="G89" s="31">
        <f t="shared" si="12"/>
        <v>3.7037037037037033</v>
      </c>
      <c r="H89" s="70" t="s">
        <v>133</v>
      </c>
      <c r="I89" s="71"/>
      <c r="J89" s="72"/>
      <c r="K89" s="10"/>
      <c r="L89" s="2"/>
    </row>
    <row r="90" spans="1:12">
      <c r="A90" s="44" t="s">
        <v>100</v>
      </c>
      <c r="B90" s="45" t="s">
        <v>14</v>
      </c>
      <c r="C90" s="38">
        <v>22</v>
      </c>
      <c r="D90" s="38">
        <v>30</v>
      </c>
      <c r="E90" s="38">
        <v>25</v>
      </c>
      <c r="F90" s="38">
        <v>30</v>
      </c>
      <c r="G90" s="31">
        <f t="shared" ref="G90:G99" si="13">((C90+D90)/2-(E90+F90)/2)/((E90+F90)/2)*100</f>
        <v>-5.4545454545454541</v>
      </c>
      <c r="H90" s="70" t="s">
        <v>122</v>
      </c>
      <c r="I90" s="71"/>
      <c r="J90" s="72"/>
      <c r="K90" s="10"/>
      <c r="L90" s="2"/>
    </row>
    <row r="91" spans="1:12">
      <c r="A91" s="44" t="s">
        <v>101</v>
      </c>
      <c r="B91" s="45" t="s">
        <v>14</v>
      </c>
      <c r="C91" s="40">
        <v>55</v>
      </c>
      <c r="D91" s="40">
        <v>60</v>
      </c>
      <c r="E91" s="40">
        <v>50</v>
      </c>
      <c r="F91" s="40">
        <v>60</v>
      </c>
      <c r="G91" s="31">
        <f t="shared" si="12"/>
        <v>4.5454545454545459</v>
      </c>
      <c r="H91" s="70" t="s">
        <v>121</v>
      </c>
      <c r="I91" s="71"/>
      <c r="J91" s="72"/>
      <c r="K91" s="10"/>
      <c r="L91" s="2"/>
    </row>
    <row r="92" spans="1:12">
      <c r="A92" s="44" t="s">
        <v>40</v>
      </c>
      <c r="B92" s="45" t="s">
        <v>14</v>
      </c>
      <c r="C92" s="38">
        <v>100</v>
      </c>
      <c r="D92" s="38">
        <v>120</v>
      </c>
      <c r="E92" s="38">
        <v>100</v>
      </c>
      <c r="F92" s="38">
        <v>130</v>
      </c>
      <c r="G92" s="31">
        <f t="shared" si="13"/>
        <v>-4.3478260869565215</v>
      </c>
      <c r="H92" s="70" t="s">
        <v>124</v>
      </c>
      <c r="I92" s="71"/>
      <c r="J92" s="72"/>
      <c r="K92" s="10"/>
      <c r="L92" s="2"/>
    </row>
    <row r="93" spans="1:12">
      <c r="A93" s="44" t="s">
        <v>49</v>
      </c>
      <c r="B93" s="45" t="s">
        <v>14</v>
      </c>
      <c r="C93" s="38">
        <v>520</v>
      </c>
      <c r="D93" s="38">
        <v>600</v>
      </c>
      <c r="E93" s="38">
        <v>500</v>
      </c>
      <c r="F93" s="38">
        <v>600</v>
      </c>
      <c r="G93" s="31">
        <f t="shared" si="13"/>
        <v>1.8181818181818181</v>
      </c>
      <c r="H93" s="70" t="s">
        <v>123</v>
      </c>
      <c r="I93" s="71"/>
      <c r="J93" s="72"/>
      <c r="K93" s="10"/>
      <c r="L93" s="2"/>
    </row>
    <row r="94" spans="1:12">
      <c r="A94" s="44" t="s">
        <v>52</v>
      </c>
      <c r="B94" s="45" t="s">
        <v>14</v>
      </c>
      <c r="C94" s="38">
        <v>180</v>
      </c>
      <c r="D94" s="38">
        <v>260</v>
      </c>
      <c r="E94" s="38">
        <v>180</v>
      </c>
      <c r="F94" s="38">
        <v>280</v>
      </c>
      <c r="G94" s="31">
        <f t="shared" si="13"/>
        <v>-4.3478260869565215</v>
      </c>
      <c r="H94" s="70" t="s">
        <v>134</v>
      </c>
      <c r="I94" s="71"/>
      <c r="J94" s="72"/>
      <c r="K94" s="10"/>
      <c r="L94" s="2"/>
    </row>
    <row r="95" spans="1:12">
      <c r="A95" s="44" t="s">
        <v>105</v>
      </c>
      <c r="B95" s="51" t="s">
        <v>14</v>
      </c>
      <c r="C95" s="38">
        <v>300</v>
      </c>
      <c r="D95" s="38">
        <v>380</v>
      </c>
      <c r="E95" s="38">
        <v>240</v>
      </c>
      <c r="F95" s="38">
        <v>300</v>
      </c>
      <c r="G95" s="31">
        <f t="shared" si="13"/>
        <v>25.925925925925924</v>
      </c>
      <c r="H95" s="70" t="s">
        <v>133</v>
      </c>
      <c r="I95" s="71"/>
      <c r="J95" s="72"/>
      <c r="K95" s="10"/>
      <c r="L95" s="2"/>
    </row>
    <row r="96" spans="1:12">
      <c r="A96" s="44" t="s">
        <v>106</v>
      </c>
      <c r="B96" s="51" t="s">
        <v>14</v>
      </c>
      <c r="C96" s="38">
        <v>100</v>
      </c>
      <c r="D96" s="38">
        <v>120</v>
      </c>
      <c r="E96" s="38">
        <v>100</v>
      </c>
      <c r="F96" s="38">
        <v>140</v>
      </c>
      <c r="G96" s="31">
        <f t="shared" si="13"/>
        <v>-8.3333333333333321</v>
      </c>
      <c r="H96" s="70" t="s">
        <v>126</v>
      </c>
      <c r="I96" s="71"/>
      <c r="J96" s="72"/>
      <c r="K96" s="10"/>
      <c r="L96" s="2"/>
    </row>
    <row r="97" spans="1:12">
      <c r="A97" s="44" t="s">
        <v>107</v>
      </c>
      <c r="B97" s="51" t="s">
        <v>14</v>
      </c>
      <c r="C97" s="38">
        <v>80</v>
      </c>
      <c r="D97" s="38">
        <v>100</v>
      </c>
      <c r="E97" s="38">
        <v>80</v>
      </c>
      <c r="F97" s="38">
        <v>150</v>
      </c>
      <c r="G97" s="31">
        <f t="shared" si="13"/>
        <v>-21.739130434782609</v>
      </c>
      <c r="H97" s="70" t="s">
        <v>125</v>
      </c>
      <c r="I97" s="71"/>
      <c r="J97" s="72"/>
      <c r="K97" s="10"/>
      <c r="L97" s="2"/>
    </row>
    <row r="98" spans="1:12">
      <c r="A98" s="44" t="s">
        <v>72</v>
      </c>
      <c r="B98" s="45" t="s">
        <v>73</v>
      </c>
      <c r="C98" s="38">
        <v>92500</v>
      </c>
      <c r="D98" s="38">
        <v>94500</v>
      </c>
      <c r="E98" s="38">
        <v>88000</v>
      </c>
      <c r="F98" s="38">
        <v>92000</v>
      </c>
      <c r="G98" s="31">
        <f t="shared" si="13"/>
        <v>3.8888888888888888</v>
      </c>
      <c r="H98" s="70" t="s">
        <v>133</v>
      </c>
      <c r="I98" s="71"/>
      <c r="J98" s="72"/>
      <c r="K98" s="10"/>
      <c r="L98" s="2"/>
    </row>
    <row r="99" spans="1:12">
      <c r="A99" s="44" t="s">
        <v>74</v>
      </c>
      <c r="B99" s="45" t="s">
        <v>73</v>
      </c>
      <c r="C99" s="38">
        <v>89000</v>
      </c>
      <c r="D99" s="43">
        <v>91000</v>
      </c>
      <c r="E99" s="38">
        <v>83500</v>
      </c>
      <c r="F99" s="43">
        <v>84000</v>
      </c>
      <c r="G99" s="31">
        <f t="shared" si="13"/>
        <v>7.4626865671641784</v>
      </c>
      <c r="H99" s="70" t="s">
        <v>133</v>
      </c>
      <c r="I99" s="71"/>
      <c r="J99" s="72"/>
      <c r="K99" s="10"/>
      <c r="L99" s="2"/>
    </row>
    <row r="100" spans="1:12">
      <c r="A100" s="62"/>
      <c r="B100" s="68"/>
      <c r="C100" s="64"/>
      <c r="D100" s="64"/>
      <c r="E100" s="64"/>
      <c r="F100" s="64"/>
      <c r="G100" s="66"/>
      <c r="H100" s="69"/>
      <c r="I100" s="69"/>
      <c r="J100" s="69"/>
      <c r="K100" s="10"/>
      <c r="L100" s="2"/>
    </row>
    <row r="101" spans="1:12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113</v>
      </c>
      <c r="C104" s="2"/>
      <c r="E104" s="7"/>
      <c r="F104" s="14" t="s">
        <v>102</v>
      </c>
      <c r="G104" s="2"/>
      <c r="I104" s="15"/>
      <c r="J104" s="1"/>
      <c r="K104" s="2"/>
      <c r="L104" s="12"/>
    </row>
    <row r="105" spans="1:12">
      <c r="A105" s="16"/>
      <c r="B105" s="14" t="s">
        <v>112</v>
      </c>
      <c r="C105" s="1"/>
      <c r="E105" s="16"/>
      <c r="F105" s="14" t="s">
        <v>103</v>
      </c>
      <c r="G105" s="1"/>
      <c r="I105" s="2"/>
      <c r="J105" s="1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114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108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109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115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110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116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117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111</v>
      </c>
    </row>
  </sheetData>
  <mergeCells count="44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E87:F87"/>
    <mergeCell ref="H87:J87"/>
    <mergeCell ref="H88:J88"/>
    <mergeCell ref="H89:J89"/>
    <mergeCell ref="B83:L83"/>
    <mergeCell ref="B84:L84"/>
    <mergeCell ref="C87:D87"/>
    <mergeCell ref="H98:J98"/>
    <mergeCell ref="H99:J99"/>
    <mergeCell ref="H94:J94"/>
    <mergeCell ref="H90:J90"/>
    <mergeCell ref="H93:J93"/>
    <mergeCell ref="H97:J97"/>
    <mergeCell ref="H95:J95"/>
    <mergeCell ref="H91:J91"/>
    <mergeCell ref="H96:J96"/>
    <mergeCell ref="H92:J9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2026-08-03T10:11:07Z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