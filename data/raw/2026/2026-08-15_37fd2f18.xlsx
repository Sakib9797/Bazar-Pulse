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43B9F466-D373-8741-BF1A-E588D6DCC6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4" l="1"/>
  <c r="G96" i="4"/>
  <c r="G89" i="4"/>
  <c r="G99" i="4"/>
  <c r="G93" i="4"/>
  <c r="G92" i="4"/>
  <c r="G95" i="4"/>
  <c r="G88" i="4"/>
  <c r="G90" i="4"/>
  <c r="L51" i="4"/>
  <c r="L73" i="4"/>
  <c r="G91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4" i="4"/>
  <c r="G97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<sst xmlns="http://schemas.openxmlformats.org/spreadsheetml/2006/main" count="255" uniqueCount="140">
  <si>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</si>
  <si>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</si>
  <si>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</si>
  <si>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</si>
  <si>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</si>
  <si>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</si>
  <si>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</si>
  <si>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</si>
  <si>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</si>
  <si>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</si>
  <si>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</si>
  <si>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</si>
  <si>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</si>
  <si>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</si>
  <si>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</si>
  <si>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</si>
  <si>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</si>
  <si>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</si>
  <si>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</si>
  <si>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</si>
  <si>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</si>
  <si>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</si>
  <si>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</si>
  <si>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</si>
  <si>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</si>
  <si>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</si>
  <si>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</si>
  <si>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</si>
  <si>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</si>
  <si>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</si>
  <si>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</si>
  <si>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</si>
  <si>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</si>
  <si>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</si>
  <si>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</si>
  <si>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</si>
  <si>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</si>
  <si>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</si>
  <si>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</si>
  <si>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</si>
  <si>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</si>
  <si>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</si>
  <si>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</si>
  <si>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</si>
  <si>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</si>
  <si>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</si>
  <si>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</si>
  <si>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</si>
  <si>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</si>
  <si>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</si>
  <si>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</si>
  <si>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</si>
  <si>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</si>
  <si>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</si>
  <si>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</si>
  <si>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</si>
  <si>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</si>
  <si>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</si>
  <si>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</si>
  <si>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</si>
  <si>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</si>
  <si>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</si>
  <si>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</si>
  <si>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</si>
  <si>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</si>
  <si>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</si>
  <si>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</si>
  <si>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</si>
  <si>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</si>
  <si>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</si>
  <si>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</si>
  <si>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</si>
  <si>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</si>
  <si>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</si>
  <si>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</si>
  <si>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</si>
  <si>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</si>
  <si>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</si>
  <si>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</si>
  <si>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</si>
  <si>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</si>
  <si>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</si>
  <si>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</si>
  <si>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</si>
  <si>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</si>
  <si>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</si>
  <si>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</si>
  <si>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</si>
  <si>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</si>
  <si>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</si>
  <si>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</si>
  <si>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</si>
  <si>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</si>
  <si>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</si>
  <si>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</si>
  <si>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</si>
  <si>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</si>
  <si>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</si>
  <si>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</si>
  <si>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</si>
  <si>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</si>
  <si>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</si>
  <si>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</si>
  <si>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</si>
  <si>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</si>
  <si>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</si>
  <si>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</si>
  <si>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</si>
  <si>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</si>
  <si>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</si>
  <si>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</si>
  <si>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</si>
  <si>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</si>
  <si>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</si>
  <si>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</si>
  <si>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</si>
  <si>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</si>
  <si>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</si>
  <si>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</si>
  <si>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</si>
  <si>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</si>
  <si>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</si>
  <si>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১০-০৮-২০২৬ তারিখে মূল্য হ্রাস পেয়েছে।</t>
  </si>
  <si>
    <t>১১-০৮-২০২৬ তারিখে মূল্য হ্রাস পেয়েছে।</t>
  </si>
  <si>
    <t>১২-০৮-২০২৬ তারিখে মূল্য হ্রাস পেয়েছে।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</si>
  <si>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</si>
  <si>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</si>
  <si>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</si>
  <si>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</si>
  <si>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২০১</t>
  </si>
  <si>
    <t xml:space="preserve">নং-২৬.০৫.০০০০.০১৭.৩১.০১.২৬-৬৩৭                                                                                                           তারিখঃ ১৫-০৮-২০২৬ </t>
  </si>
  <si>
    <t>১৫-০৭-২০২৬ তারিখে মূল্য বৃদ্ধি পেয়েছে।</t>
  </si>
  <si>
    <t>১৪-০৮-২০২৬ তারিখে মূল্য হ্রাস পেয়েছে।</t>
  </si>
  <si>
    <t>(১)    চাল সুগন্ধী (পোলাও) (খোলা), ময়দা (খোলা),  তেজপাতা, ডিম  এর মূল্য বৃদ্ধি পেয়েছে।</t>
  </si>
  <si>
    <t>(২)    পেঁয়াজ (দেশী), সয়াবিন লুজ, রসুন (আম), আদা (দেশী, আম), মুরগী ব্রয়লার, বেগুন, কাঁচামরিচ   এর মূল্য হ্রাস পেয়েছে।</t>
  </si>
  <si>
    <t xml:space="preserve">শনিবার ১৫ আগষ্ট ২০২৬ খ্রিঃ, ৩১ শ্রাবণ ১৪৩৩ বাংলা, ০১ রবিউল আউয়াল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</si>
</sst>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topLeftCell="E1" zoomScaleNormal="100" workbookViewId="0">
      <selection activeCell="A4" sqref="A4:L4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4" t="s">
        <v>116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 x14ac:dyDescent="0.3">
      <c r="A2" s="75" t="s">
        <v>117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 x14ac:dyDescent="0.3">
      <c r="A3" s="76" t="s">
        <v>129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 x14ac:dyDescent="0.3">
      <c r="A4" s="77" t="s">
        <v>135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2"/>
      <c r="Q4" s="52"/>
      <c r="R4" s="52"/>
    </row>
    <row r="5" spans="1:18" x14ac:dyDescent="0.3">
      <c r="A5" s="80" t="s">
        <v>130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 x14ac:dyDescent="0.3">
      <c r="A6" s="81" t="s">
        <v>1</v>
      </c>
      <c r="B6" s="81" t="s">
        <v>2</v>
      </c>
      <c r="C6" s="78" t="s">
        <v>3</v>
      </c>
      <c r="D6" s="79"/>
      <c r="E6" s="78" t="s">
        <v>4</v>
      </c>
      <c r="F6" s="79"/>
      <c r="G6" s="78" t="s">
        <v>5</v>
      </c>
      <c r="H6" s="79"/>
      <c r="I6" s="25" t="s">
        <v>6</v>
      </c>
      <c r="J6" s="78" t="s">
        <v>7</v>
      </c>
      <c r="K6" s="79"/>
      <c r="L6" s="27" t="s">
        <v>8</v>
      </c>
      <c r="M6" s="50"/>
    </row>
    <row r="7" spans="1:18" s="28" customFormat="1" x14ac:dyDescent="0.3">
      <c r="A7" s="82"/>
      <c r="B7" s="82"/>
      <c r="C7" s="85">
        <v>46249</v>
      </c>
      <c r="D7" s="86"/>
      <c r="E7" s="85">
        <v>46242</v>
      </c>
      <c r="F7" s="86"/>
      <c r="G7" s="85">
        <v>46218</v>
      </c>
      <c r="H7" s="86"/>
      <c r="I7" s="25" t="s">
        <v>9</v>
      </c>
      <c r="J7" s="83">
        <v>45884</v>
      </c>
      <c r="K7" s="84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121</v>
      </c>
      <c r="B9" s="45" t="s">
        <v>14</v>
      </c>
      <c r="C9" s="38">
        <v>170</v>
      </c>
      <c r="D9" s="38">
        <v>210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5.5555555555555554</v>
      </c>
    </row>
    <row r="10" spans="1:18" s="28" customFormat="1" x14ac:dyDescent="0.3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10.434782608695652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 x14ac:dyDescent="0.3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-1.3054830287206265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160</v>
      </c>
      <c r="K31" s="56">
        <v>180</v>
      </c>
      <c r="L31" s="48">
        <f t="shared" si="4"/>
        <v>-11.76470588235294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 x14ac:dyDescent="0.3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120</v>
      </c>
      <c r="H39" s="38">
        <v>210</v>
      </c>
      <c r="I39" s="47">
        <f t="shared" si="5"/>
        <v>12.121212121212121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 x14ac:dyDescent="0.3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180</v>
      </c>
      <c r="K45" s="56">
        <v>280</v>
      </c>
      <c r="L45" s="48">
        <f t="shared" si="6"/>
        <v>-30.434782608695656</v>
      </c>
      <c r="M45" s="50">
        <f t="shared" si="0"/>
        <v>-8.5714285714285712</v>
      </c>
    </row>
    <row r="46" spans="1:13" s="49" customFormat="1" x14ac:dyDescent="0.3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 x14ac:dyDescent="0.3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 x14ac:dyDescent="0.3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180</v>
      </c>
      <c r="K51" s="56">
        <v>220</v>
      </c>
      <c r="L51" s="48">
        <f>((C51+D51)/2-(J51+K51)/2)/((J51+K51)/2)*100</f>
        <v>10</v>
      </c>
      <c r="M51" s="50">
        <f t="shared" si="0"/>
        <v>10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175</v>
      </c>
      <c r="L57" s="48">
        <f t="shared" si="8"/>
        <v>13.432835820895523</v>
      </c>
      <c r="M57" s="50">
        <f t="shared" si="0"/>
        <v>-2.5641025641025639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81" t="s">
        <v>1</v>
      </c>
      <c r="B67" s="81" t="s">
        <v>2</v>
      </c>
      <c r="C67" s="78" t="s">
        <v>3</v>
      </c>
      <c r="D67" s="79"/>
      <c r="E67" s="78" t="s">
        <v>4</v>
      </c>
      <c r="F67" s="79"/>
      <c r="G67" s="78" t="s">
        <v>5</v>
      </c>
      <c r="H67" s="79"/>
      <c r="I67" s="25" t="s">
        <v>6</v>
      </c>
      <c r="J67" s="78" t="s">
        <v>7</v>
      </c>
      <c r="K67" s="79"/>
      <c r="L67" s="25" t="s">
        <v>8</v>
      </c>
    </row>
    <row r="68" spans="1:13" ht="18" customHeight="1" x14ac:dyDescent="0.3">
      <c r="A68" s="82"/>
      <c r="B68" s="82"/>
      <c r="C68" s="85">
        <v>46249</v>
      </c>
      <c r="D68" s="86"/>
      <c r="E68" s="85">
        <v>46242</v>
      </c>
      <c r="F68" s="86"/>
      <c r="G68" s="85">
        <v>46218</v>
      </c>
      <c r="H68" s="86"/>
      <c r="I68" s="25" t="s">
        <v>9</v>
      </c>
      <c r="J68" s="83">
        <v>45884</v>
      </c>
      <c r="K68" s="84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110</v>
      </c>
      <c r="L70" s="48">
        <f t="shared" ref="L70:L76" si="10">((C70+D70)/2-(J70+K70)/2)/((J70+K70)/2)*100</f>
        <v>0</v>
      </c>
      <c r="M70" s="50">
        <f t="shared" si="0"/>
        <v>0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8.75" x14ac:dyDescent="0.25">
      <c r="A74" s="44" t="s">
        <v>103</v>
      </c>
      <c r="B74" s="51" t="s">
        <v>14</v>
      </c>
      <c r="C74" s="38">
        <v>120</v>
      </c>
      <c r="D74" s="38">
        <v>180</v>
      </c>
      <c r="E74" s="38">
        <v>160</v>
      </c>
      <c r="F74" s="38">
        <v>300</v>
      </c>
      <c r="G74" s="38">
        <v>120</v>
      </c>
      <c r="H74" s="38">
        <v>160</v>
      </c>
      <c r="I74" s="47">
        <f t="shared" si="11"/>
        <v>7.1428571428571423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-34.782608695652172</v>
      </c>
    </row>
    <row r="75" spans="1:13" s="50" customFormat="1" x14ac:dyDescent="0.3">
      <c r="A75" s="44" t="s">
        <v>104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90</v>
      </c>
      <c r="I75" s="47">
        <f t="shared" si="11"/>
        <v>5.8823529411764701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 x14ac:dyDescent="0.3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70</v>
      </c>
      <c r="H76" s="38">
        <v>80</v>
      </c>
      <c r="I76" s="47">
        <f t="shared" si="11"/>
        <v>20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40</v>
      </c>
      <c r="H77" s="43">
        <v>45</v>
      </c>
      <c r="I77" s="47">
        <f t="shared" si="11"/>
        <v>15.294117647058824</v>
      </c>
      <c r="J77" s="60">
        <v>48</v>
      </c>
      <c r="K77" s="60">
        <v>50</v>
      </c>
      <c r="L77" s="48">
        <f>((C77+D77)/2-(J77+K77)/2)/((J77+K77)/2)*100</f>
        <v>0</v>
      </c>
      <c r="M77" s="50">
        <f t="shared" si="12"/>
        <v>3.1578947368421053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 x14ac:dyDescent="0.3">
      <c r="A81" s="72" t="s">
        <v>119</v>
      </c>
      <c r="B81" s="73"/>
      <c r="C81" s="71" t="s">
        <v>120</v>
      </c>
      <c r="D81" s="71"/>
      <c r="E81" s="71"/>
      <c r="F81" s="71"/>
      <c r="G81" s="71"/>
      <c r="H81" s="71"/>
      <c r="I81" s="71"/>
      <c r="J81" s="71"/>
      <c r="K81" s="71"/>
      <c r="L81" s="71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88" t="s">
        <v>133</v>
      </c>
      <c r="C83" s="88"/>
      <c r="D83" s="88"/>
      <c r="E83" s="88"/>
      <c r="F83" s="88"/>
      <c r="G83" s="88"/>
      <c r="H83" s="88"/>
      <c r="I83" s="88"/>
      <c r="J83" s="88"/>
      <c r="K83" s="88"/>
      <c r="L83" s="88"/>
    </row>
    <row r="84" spans="1:12" x14ac:dyDescent="0.3">
      <c r="A84" s="7"/>
      <c r="B84" s="88" t="s">
        <v>134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</row>
    <row r="85" spans="1:12" x14ac:dyDescent="0.3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8" t="s">
        <v>3</v>
      </c>
      <c r="D87" s="79"/>
      <c r="E87" s="89" t="s">
        <v>78</v>
      </c>
      <c r="F87" s="90"/>
      <c r="G87" s="26" t="s">
        <v>9</v>
      </c>
      <c r="H87" s="78" t="s">
        <v>79</v>
      </c>
      <c r="I87" s="87"/>
      <c r="J87" s="79"/>
      <c r="K87" s="10"/>
      <c r="L87" s="2"/>
    </row>
    <row r="88" spans="1:12" x14ac:dyDescent="0.3">
      <c r="A88" s="44" t="s">
        <v>121</v>
      </c>
      <c r="B88" s="45" t="s">
        <v>14</v>
      </c>
      <c r="C88" s="38">
        <v>170</v>
      </c>
      <c r="D88" s="38">
        <v>210</v>
      </c>
      <c r="E88" s="38">
        <v>160</v>
      </c>
      <c r="F88" s="38">
        <v>200</v>
      </c>
      <c r="G88" s="31">
        <f t="shared" ref="G88:G99" si="13">((C88+D88)/2-(E88+F88)/2)/((E88+F88)/2)*100</f>
        <v>5.5555555555555554</v>
      </c>
      <c r="H88" s="78" t="s">
        <v>131</v>
      </c>
      <c r="I88" s="87"/>
      <c r="J88" s="79"/>
      <c r="K88" s="10"/>
      <c r="L88" s="2"/>
    </row>
    <row r="89" spans="1:12" x14ac:dyDescent="0.3">
      <c r="A89" s="44" t="s">
        <v>20</v>
      </c>
      <c r="B89" s="45" t="s">
        <v>14</v>
      </c>
      <c r="C89" s="38">
        <v>62</v>
      </c>
      <c r="D89" s="38">
        <v>65</v>
      </c>
      <c r="E89" s="38">
        <v>60</v>
      </c>
      <c r="F89" s="38">
        <v>65</v>
      </c>
      <c r="G89" s="31">
        <f t="shared" si="13"/>
        <v>1.6</v>
      </c>
      <c r="H89" s="78" t="s">
        <v>131</v>
      </c>
      <c r="I89" s="87"/>
      <c r="J89" s="79"/>
      <c r="K89" s="10"/>
      <c r="L89" s="70"/>
    </row>
    <row r="90" spans="1:12" x14ac:dyDescent="0.3">
      <c r="A90" s="44" t="s">
        <v>23</v>
      </c>
      <c r="B90" s="45" t="s">
        <v>24</v>
      </c>
      <c r="C90" s="40">
        <v>186</v>
      </c>
      <c r="D90" s="38">
        <v>192</v>
      </c>
      <c r="E90" s="40">
        <v>186</v>
      </c>
      <c r="F90" s="38">
        <v>195</v>
      </c>
      <c r="G90" s="31">
        <f t="shared" si="13"/>
        <v>-0.78740157480314954</v>
      </c>
      <c r="H90" s="78" t="s">
        <v>123</v>
      </c>
      <c r="I90" s="87"/>
      <c r="J90" s="79"/>
      <c r="K90" s="10"/>
      <c r="L90" s="2"/>
    </row>
    <row r="91" spans="1:12" x14ac:dyDescent="0.3">
      <c r="A91" s="44" t="s">
        <v>101</v>
      </c>
      <c r="B91" s="45" t="s">
        <v>14</v>
      </c>
      <c r="C91" s="40">
        <v>50</v>
      </c>
      <c r="D91" s="40">
        <v>60</v>
      </c>
      <c r="E91" s="40">
        <v>55</v>
      </c>
      <c r="F91" s="40">
        <v>60</v>
      </c>
      <c r="G91" s="31">
        <f t="shared" si="13"/>
        <v>-4.3478260869565215</v>
      </c>
      <c r="H91" s="78" t="s">
        <v>122</v>
      </c>
      <c r="I91" s="87"/>
      <c r="J91" s="79"/>
      <c r="K91" s="10"/>
      <c r="L91" s="2"/>
    </row>
    <row r="92" spans="1:12" x14ac:dyDescent="0.3">
      <c r="A92" s="44" t="s">
        <v>41</v>
      </c>
      <c r="B92" s="45" t="s">
        <v>14</v>
      </c>
      <c r="C92" s="40">
        <v>170</v>
      </c>
      <c r="D92" s="38">
        <v>200</v>
      </c>
      <c r="E92" s="40">
        <v>170</v>
      </c>
      <c r="F92" s="38">
        <v>220</v>
      </c>
      <c r="G92" s="31">
        <f t="shared" si="13"/>
        <v>-5.1282051282051277</v>
      </c>
      <c r="H92" s="78" t="s">
        <v>124</v>
      </c>
      <c r="I92" s="87"/>
      <c r="J92" s="79"/>
      <c r="K92" s="10"/>
      <c r="L92" s="2"/>
    </row>
    <row r="93" spans="1:12" x14ac:dyDescent="0.3">
      <c r="A93" s="44" t="s">
        <v>46</v>
      </c>
      <c r="B93" s="45" t="s">
        <v>14</v>
      </c>
      <c r="C93" s="38">
        <v>130</v>
      </c>
      <c r="D93" s="38">
        <v>150</v>
      </c>
      <c r="E93" s="38">
        <v>130</v>
      </c>
      <c r="F93" s="38">
        <v>160</v>
      </c>
      <c r="G93" s="31">
        <f t="shared" si="13"/>
        <v>-3.4482758620689653</v>
      </c>
      <c r="H93" s="78" t="s">
        <v>124</v>
      </c>
      <c r="I93" s="87"/>
      <c r="J93" s="79"/>
      <c r="K93" s="10"/>
      <c r="L93" s="2"/>
    </row>
    <row r="94" spans="1:12" x14ac:dyDescent="0.3">
      <c r="A94" s="44" t="s">
        <v>47</v>
      </c>
      <c r="B94" s="45" t="s">
        <v>14</v>
      </c>
      <c r="C94" s="38">
        <v>150</v>
      </c>
      <c r="D94" s="38">
        <v>170</v>
      </c>
      <c r="E94" s="38">
        <v>150</v>
      </c>
      <c r="F94" s="38">
        <v>200</v>
      </c>
      <c r="G94" s="31">
        <f t="shared" si="13"/>
        <v>-8.5714285714285712</v>
      </c>
      <c r="H94" s="78" t="s">
        <v>127</v>
      </c>
      <c r="I94" s="87"/>
      <c r="J94" s="79"/>
      <c r="K94" s="10"/>
      <c r="L94" s="2"/>
    </row>
    <row r="95" spans="1:12" x14ac:dyDescent="0.3">
      <c r="A95" s="44" t="s">
        <v>53</v>
      </c>
      <c r="B95" s="45" t="s">
        <v>14</v>
      </c>
      <c r="C95" s="38">
        <v>200</v>
      </c>
      <c r="D95" s="38">
        <v>240</v>
      </c>
      <c r="E95" s="38">
        <v>180</v>
      </c>
      <c r="F95" s="38">
        <v>220</v>
      </c>
      <c r="G95" s="31">
        <f t="shared" si="13"/>
        <v>10</v>
      </c>
      <c r="H95" s="78" t="s">
        <v>128</v>
      </c>
      <c r="I95" s="87"/>
      <c r="J95" s="79"/>
      <c r="K95" s="10"/>
      <c r="L95" s="2"/>
    </row>
    <row r="96" spans="1:12" x14ac:dyDescent="0.3">
      <c r="A96" s="44" t="s">
        <v>57</v>
      </c>
      <c r="B96" s="45" t="s">
        <v>14</v>
      </c>
      <c r="C96" s="38">
        <v>180</v>
      </c>
      <c r="D96" s="38">
        <v>200</v>
      </c>
      <c r="E96" s="38">
        <v>190</v>
      </c>
      <c r="F96" s="38">
        <v>200</v>
      </c>
      <c r="G96" s="31">
        <f t="shared" si="13"/>
        <v>-2.5641025641025639</v>
      </c>
      <c r="H96" s="78" t="s">
        <v>132</v>
      </c>
      <c r="I96" s="87"/>
      <c r="J96" s="79"/>
      <c r="K96" s="10"/>
      <c r="L96" s="70"/>
    </row>
    <row r="97" spans="1:12" x14ac:dyDescent="0.3">
      <c r="A97" s="44" t="s">
        <v>103</v>
      </c>
      <c r="B97" s="51" t="s">
        <v>14</v>
      </c>
      <c r="C97" s="38">
        <v>120</v>
      </c>
      <c r="D97" s="38">
        <v>180</v>
      </c>
      <c r="E97" s="38">
        <v>160</v>
      </c>
      <c r="F97" s="38">
        <v>300</v>
      </c>
      <c r="G97" s="31">
        <f t="shared" si="13"/>
        <v>-34.782608695652172</v>
      </c>
      <c r="H97" s="78" t="s">
        <v>124</v>
      </c>
      <c r="I97" s="87"/>
      <c r="J97" s="79"/>
      <c r="K97" s="10"/>
      <c r="L97" s="2"/>
    </row>
    <row r="98" spans="1:12" x14ac:dyDescent="0.3">
      <c r="A98" s="44" t="s">
        <v>104</v>
      </c>
      <c r="B98" s="51" t="s">
        <v>14</v>
      </c>
      <c r="C98" s="38">
        <v>80</v>
      </c>
      <c r="D98" s="38">
        <v>100</v>
      </c>
      <c r="E98" s="38">
        <v>100</v>
      </c>
      <c r="F98" s="38">
        <v>120</v>
      </c>
      <c r="G98" s="31">
        <f t="shared" si="13"/>
        <v>-18.181818181818183</v>
      </c>
      <c r="H98" s="78" t="s">
        <v>132</v>
      </c>
      <c r="I98" s="87"/>
      <c r="J98" s="79"/>
      <c r="K98" s="10"/>
      <c r="L98" s="70"/>
    </row>
    <row r="99" spans="1:12" x14ac:dyDescent="0.3">
      <c r="A99" s="44" t="s">
        <v>68</v>
      </c>
      <c r="B99" s="45" t="s">
        <v>69</v>
      </c>
      <c r="C99" s="43">
        <v>48</v>
      </c>
      <c r="D99" s="43">
        <v>50</v>
      </c>
      <c r="E99" s="43">
        <v>45</v>
      </c>
      <c r="F99" s="43">
        <v>50</v>
      </c>
      <c r="G99" s="31">
        <f t="shared" si="13"/>
        <v>3.1578947368421053</v>
      </c>
      <c r="H99" s="78" t="s">
        <v>128</v>
      </c>
      <c r="I99" s="87"/>
      <c r="J99" s="79"/>
      <c r="K99" s="10"/>
      <c r="L99" s="2"/>
    </row>
    <row r="100" spans="1:12" x14ac:dyDescent="0.3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 x14ac:dyDescent="0.3">
      <c r="A101" s="62"/>
      <c r="B101" s="63"/>
      <c r="C101" s="64"/>
      <c r="D101" s="65"/>
      <c r="E101" s="64"/>
      <c r="F101" s="65"/>
      <c r="G101" s="66"/>
      <c r="H101" s="7"/>
      <c r="I101" s="1"/>
      <c r="J101" s="1"/>
      <c r="K101" s="10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4" t="s">
        <v>111</v>
      </c>
      <c r="C103" s="2"/>
      <c r="E103" s="7"/>
      <c r="F103" s="14" t="s">
        <v>125</v>
      </c>
      <c r="G103" s="2"/>
      <c r="I103" s="15"/>
      <c r="J103" s="1"/>
      <c r="K103" s="2"/>
      <c r="L103" s="12"/>
    </row>
    <row r="104" spans="1:12" x14ac:dyDescent="0.3">
      <c r="A104" s="16"/>
      <c r="B104" s="14" t="s">
        <v>110</v>
      </c>
      <c r="C104" s="1"/>
      <c r="E104" s="16"/>
      <c r="F104" s="14" t="s">
        <v>126</v>
      </c>
      <c r="G104" s="1"/>
      <c r="I104" s="2"/>
      <c r="J104" s="1"/>
      <c r="L104" s="12"/>
    </row>
    <row r="105" spans="1:12" x14ac:dyDescent="0.3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 x14ac:dyDescent="0.3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 x14ac:dyDescent="0.3">
      <c r="A107" s="22" t="s">
        <v>112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106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 x14ac:dyDescent="0.3">
      <c r="A110" s="22" t="s">
        <v>107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 x14ac:dyDescent="0.3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113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108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114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115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 x14ac:dyDescent="0.3">
      <c r="B442" s="11" t="s">
        <v>109</v>
      </c>
    </row>
  </sheetData>
  <mergeCells count="44">
    <mergeCell ref="H98:J98"/>
    <mergeCell ref="H99:J99"/>
    <mergeCell ref="B83:L83"/>
    <mergeCell ref="B84:L84"/>
    <mergeCell ref="C87:D87"/>
    <mergeCell ref="H97:J97"/>
    <mergeCell ref="E87:F87"/>
    <mergeCell ref="H87:J87"/>
    <mergeCell ref="H94:J94"/>
    <mergeCell ref="H90:J90"/>
    <mergeCell ref="H91:J91"/>
    <mergeCell ref="H95:J95"/>
    <mergeCell ref="H88:J88"/>
    <mergeCell ref="H92:J92"/>
    <mergeCell ref="H93:J93"/>
    <mergeCell ref="H89:J89"/>
    <mergeCell ref="H96:J96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2026-08-13T09:33:55Z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