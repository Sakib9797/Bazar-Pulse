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33B61870-EEA1-4476-8802-457E7165319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99" i="4" l="1"/>
  <c r="G92" i="4"/>
  <c r="G90" i="4"/>
  <c r="G97" i="4"/>
  <c r="G96" i="4"/>
  <c r="G95" i="4"/>
  <c r="G94" i="4"/>
  <c r="G93" i="4"/>
  <c r="G88" i="4"/>
  <c r="G87" i="4"/>
  <c r="G91" i="4"/>
  <c r="G98" i="4"/>
  <c r="G89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<sst xmlns="http://schemas.openxmlformats.org/spreadsheetml/2006/main" count="257" uniqueCount="132">
  <si>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</si>
  <si>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</si>
  <si>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</si>
  <si>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</si>
  <si>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</si>
  <si>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</si>
  <si>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</si>
  <si>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</si>
  <si>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</si>
  <si>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</si>
  <si>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</si>
  <si>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</si>
  <si>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</si>
  <si>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</si>
  <si>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</si>
  <si>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</si>
  <si>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</si>
  <si>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</si>
  <si>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</si>
  <si>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</si>
  <si>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</si>
  <si>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</si>
  <si>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</si>
  <si>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</si>
  <si>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</si>
  <si>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</si>
  <si>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</si>
  <si>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</si>
  <si>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</si>
  <si>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</si>
  <si>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</si>
  <si>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</si>
  <si>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</si>
  <si>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</si>
  <si>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</si>
  <si>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</si>
  <si>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</si>
  <si>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</si>
  <si>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</si>
  <si>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</si>
  <si>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</si>
  <si>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</si>
  <si>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</si>
  <si>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</si>
  <si>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</si>
  <si>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</si>
  <si>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</si>
  <si>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</si>
  <si>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</si>
  <si>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</si>
  <si>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</si>
  <si>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</si>
  <si>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</si>
  <si>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</si>
  <si>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</si>
  <si>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</si>
  <si>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</si>
  <si>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</si>
  <si>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</si>
  <si>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</si>
  <si>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</si>
  <si>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</si>
  <si>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</si>
  <si>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</si>
  <si>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</si>
  <si>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</si>
  <si>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</si>
  <si>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</si>
  <si>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</si>
  <si>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</si>
  <si>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</si>
  <si>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</si>
  <si>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</si>
  <si>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</si>
  <si>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</si>
  <si>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</si>
  <si>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</si>
  <si>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</si>
  <si>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</si>
  <si>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</si>
  <si>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</si>
  <si>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</si>
  <si>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</si>
  <si>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</si>
  <si>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</si>
  <si>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</si>
  <si>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</si>
  <si>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</si>
  <si>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</si>
  <si>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</si>
  <si>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</si>
  <si>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</si>
  <si>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</si>
  <si>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</si>
  <si>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</si>
  <si>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</si>
  <si>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</si>
  <si>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</si>
  <si>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</si>
  <si>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</si>
  <si>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</si>
  <si>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</si>
  <si>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</si>
  <si>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</si>
  <si>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</si>
  <si>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</si>
  <si>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</si>
  <si>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</si>
  <si>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</si>
  <si>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</si>
  <si>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</si>
  <si>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</si>
  <si>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</si>
  <si>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</si>
  <si>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</si>
  <si>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</si>
  <si>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</si>
  <si>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</si>
  <si>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</si>
  <si>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</si>
  <si>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</si>
  <si>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</si>
  <si>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১৩-০৪-২০২৬ তারিখে মূল্য বৃদ্ধি পেয়েছে।</t>
  </si>
  <si>
    <t>১২-০৪-২০২৬ তারিখে মূল্য বৃদ্ধি পেয়েছে।</t>
  </si>
  <si>
    <t xml:space="preserve">যে সকল বাজার হতে তথ্য সংগ্রহ করা হয়েছেঃ- মালিবাগ, মিরপুর-৬, মোহাম্মদপুর টাউন হল, নিউমার্কেট, রামপুরা, মহাখালী  বাজার।   </t>
  </si>
  <si>
    <t>স্মারক নং-২৬.০৫.০০০০.০১৭.৩১.০১.২৬-২৯১</t>
  </si>
  <si>
    <t xml:space="preserve">বৃহস্পতিবার ১৬ এপ্রিল ২০২৬ খ্রিঃ, ০৩ বৈশাখ ১৪৩৩ বাংলা, ২৭ শাওয়াল ১৪৪৭ হিজরি </t>
  </si>
  <si>
    <t xml:space="preserve">   সিরিয়াল নংঃ     ০৯১</t>
  </si>
  <si>
    <t>১৬-০৪-২০২৬ তারিখে মূল্য বৃদ্ধি পেয়েছে।</t>
  </si>
  <si>
    <t>১৬-০৪-২০২৬ তারিখে মূল্য হ্রাস পেয়েছে।</t>
  </si>
  <si>
    <t>(২)   চাল (বড়), ময়দা (খোলা), পেঁয়াজ (দেশী), রশুন (দেশী, আম), আদা (দেশী,আম), দারুচিনি, কাঁচামরিচ   এর মূল্য বৃদ্ধি পেয়েছে।</t>
  </si>
  <si>
    <t>(১)   সয়াবিন লুজ, আলু, জিরা,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</si>
</sst>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6"/>
  <sheetViews>
    <sheetView tabSelected="1" zoomScale="95" zoomScaleNormal="95" workbookViewId="0">
      <selection activeCell="H99" sqref="H99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68" t="s">
        <v>127</v>
      </c>
      <c r="L5" s="69"/>
    </row>
    <row r="6" spans="1:12" ht="21.75">
      <c r="A6" s="10"/>
      <c r="B6" s="8"/>
      <c r="C6" s="8"/>
      <c r="D6" s="10"/>
      <c r="E6" s="8"/>
      <c r="F6" s="8" t="s">
        <v>126</v>
      </c>
      <c r="G6" s="8"/>
      <c r="H6" s="8"/>
      <c r="I6" s="8"/>
      <c r="J6" s="8"/>
      <c r="K6" s="8"/>
      <c r="L6" s="30"/>
    </row>
    <row r="7" spans="1:12" ht="21.75">
      <c r="A7" s="13" t="s">
        <v>125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46128</v>
      </c>
    </row>
    <row r="8" spans="1:12" ht="19.5">
      <c r="A8" s="5" t="s">
        <v>4</v>
      </c>
      <c r="B8" s="6" t="s">
        <v>5</v>
      </c>
      <c r="C8" s="70" t="s">
        <v>6</v>
      </c>
      <c r="D8" s="71"/>
      <c r="E8" s="70" t="s">
        <v>7</v>
      </c>
      <c r="F8" s="71"/>
      <c r="G8" s="70" t="s">
        <v>8</v>
      </c>
      <c r="H8" s="71"/>
      <c r="I8" s="6" t="s">
        <v>9</v>
      </c>
      <c r="J8" s="70" t="s">
        <v>10</v>
      </c>
      <c r="K8" s="71"/>
      <c r="L8" s="54" t="s">
        <v>11</v>
      </c>
    </row>
    <row r="9" spans="1:12" ht="21.75">
      <c r="A9" s="5"/>
      <c r="B9" s="6"/>
      <c r="C9" s="72">
        <v>46128</v>
      </c>
      <c r="D9" s="69"/>
      <c r="E9" s="72">
        <v>46121</v>
      </c>
      <c r="F9" s="69"/>
      <c r="G9" s="72">
        <v>46097</v>
      </c>
      <c r="H9" s="69"/>
      <c r="I9" s="18" t="s">
        <v>12</v>
      </c>
      <c r="J9" s="72">
        <v>45763</v>
      </c>
      <c r="K9" s="69"/>
      <c r="L9" s="18" t="s">
        <v>12</v>
      </c>
    </row>
    <row r="10" spans="1:12" ht="21.75">
      <c r="A10" s="55"/>
      <c r="B10" s="56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7" t="s">
        <v>13</v>
      </c>
      <c r="K10" s="67" t="s">
        <v>14</v>
      </c>
      <c r="L10" s="19" t="s">
        <v>15</v>
      </c>
    </row>
    <row r="11" spans="1:12" ht="21.75">
      <c r="A11" s="60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0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57</v>
      </c>
      <c r="K12" s="20">
        <v>65</v>
      </c>
      <c r="L12" s="22">
        <f>((C12+D12)/2-(J12+K12)/2)/((J12+K12)/2)*100</f>
        <v>0.81967213114754101</v>
      </c>
    </row>
    <row r="13" spans="1:12" ht="21.75">
      <c r="A13" s="60" t="s">
        <v>18</v>
      </c>
      <c r="B13" s="6" t="s">
        <v>17</v>
      </c>
      <c r="C13" s="20">
        <v>55</v>
      </c>
      <c r="D13" s="20">
        <v>60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4.5454545454545459</v>
      </c>
      <c r="J13" s="20">
        <v>50</v>
      </c>
      <c r="K13" s="20">
        <v>57</v>
      </c>
      <c r="L13" s="22">
        <f>((C13+D13)/2-(J13+K13)/2)/((J13+K13)/2)*100</f>
        <v>7.4766355140186906</v>
      </c>
    </row>
    <row r="14" spans="1:12" ht="18" customHeight="1">
      <c r="A14" s="61" t="s">
        <v>19</v>
      </c>
      <c r="B14" s="56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0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.75">
      <c r="A16" s="60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.75">
      <c r="A17" s="60" t="s">
        <v>23</v>
      </c>
      <c r="B17" s="6" t="s">
        <v>17</v>
      </c>
      <c r="C17" s="20">
        <v>50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1.8518518518518516</v>
      </c>
      <c r="J17" s="20">
        <v>50</v>
      </c>
      <c r="K17" s="20">
        <v>60</v>
      </c>
      <c r="L17" s="22">
        <f>((C17+D17)/2-(J17+K17)/2)/((J17+K17)/2)*100</f>
        <v>0</v>
      </c>
    </row>
    <row r="18" spans="1:12" ht="21.75">
      <c r="A18" s="60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60</v>
      </c>
      <c r="K18" s="20">
        <v>70</v>
      </c>
      <c r="L18" s="22">
        <f>((C18+D18)/2-(J18+K18)/2)/((J18+K18)/2)*100</f>
        <v>3.8461538461538463</v>
      </c>
    </row>
    <row r="19" spans="1:12" ht="18" customHeight="1">
      <c r="A19" s="61" t="s">
        <v>25</v>
      </c>
      <c r="B19" s="56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0" t="s">
        <v>26</v>
      </c>
      <c r="B20" s="6" t="s">
        <v>27</v>
      </c>
      <c r="C20" s="20">
        <v>185</v>
      </c>
      <c r="D20" s="20">
        <v>192</v>
      </c>
      <c r="E20" s="20">
        <v>185</v>
      </c>
      <c r="F20" s="20">
        <v>196</v>
      </c>
      <c r="G20" s="20">
        <v>185</v>
      </c>
      <c r="H20" s="20">
        <v>193</v>
      </c>
      <c r="I20" s="21">
        <f t="shared" ref="I20:I26" si="0">((C20+D20)/2-(G20+H20)/2)/((G20+H20)/2)*100</f>
        <v>-0.26455026455026454</v>
      </c>
      <c r="J20" s="20">
        <v>162</v>
      </c>
      <c r="K20" s="20">
        <v>170</v>
      </c>
      <c r="L20" s="22">
        <f t="shared" ref="L20:L26" si="1">((C20+D20)/2-(J20+K20)/2)/((J20+K20)/2)*100</f>
        <v>13.554216867469879</v>
      </c>
    </row>
    <row r="21" spans="1:12" ht="21.75">
      <c r="A21" s="60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0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0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192</v>
      </c>
      <c r="H23" s="20">
        <v>195</v>
      </c>
      <c r="I23" s="21">
        <f t="shared" si="0"/>
        <v>0.77519379844961245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0" t="s">
        <v>32</v>
      </c>
      <c r="B24" s="6" t="s">
        <v>27</v>
      </c>
      <c r="C24" s="20">
        <v>164</v>
      </c>
      <c r="D24" s="20">
        <v>168</v>
      </c>
      <c r="E24" s="20">
        <v>164</v>
      </c>
      <c r="F24" s="20">
        <v>168</v>
      </c>
      <c r="G24" s="20">
        <v>158</v>
      </c>
      <c r="H24" s="20">
        <v>168</v>
      </c>
      <c r="I24" s="21">
        <f t="shared" si="0"/>
        <v>1.8404907975460123</v>
      </c>
      <c r="J24" s="20">
        <v>145</v>
      </c>
      <c r="K24" s="20">
        <v>156</v>
      </c>
      <c r="L24" s="22">
        <f t="shared" si="1"/>
        <v>10.299003322259136</v>
      </c>
    </row>
    <row r="25" spans="1:12" ht="21.75">
      <c r="A25" s="60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0.59701492537313439</v>
      </c>
      <c r="J25" s="20">
        <v>150</v>
      </c>
      <c r="K25" s="20">
        <v>160</v>
      </c>
      <c r="L25" s="22">
        <f t="shared" si="1"/>
        <v>8.7096774193548381</v>
      </c>
    </row>
    <row r="26" spans="1:12" ht="21.75">
      <c r="A26" s="60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1" t="s">
        <v>34</v>
      </c>
      <c r="B27" s="56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0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0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0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0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0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0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0" t="s">
        <v>108</v>
      </c>
      <c r="B34" s="6" t="s">
        <v>17</v>
      </c>
      <c r="C34" s="20">
        <v>20</v>
      </c>
      <c r="D34" s="20">
        <v>30</v>
      </c>
      <c r="E34" s="20">
        <v>25</v>
      </c>
      <c r="F34" s="20">
        <v>30</v>
      </c>
      <c r="G34" s="20">
        <v>18</v>
      </c>
      <c r="H34" s="20">
        <v>20</v>
      </c>
      <c r="I34" s="21">
        <f t="shared" si="2"/>
        <v>31.578947368421051</v>
      </c>
      <c r="J34" s="20">
        <v>20</v>
      </c>
      <c r="K34" s="20">
        <v>25</v>
      </c>
      <c r="L34" s="22">
        <f t="shared" si="3"/>
        <v>11.111111111111111</v>
      </c>
    </row>
    <row r="35" spans="1:12" ht="21.75">
      <c r="A35" s="61" t="s">
        <v>41</v>
      </c>
      <c r="B35" s="56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0" t="s">
        <v>109</v>
      </c>
      <c r="B36" s="6" t="s">
        <v>17</v>
      </c>
      <c r="C36" s="20">
        <v>35</v>
      </c>
      <c r="D36" s="20">
        <v>45</v>
      </c>
      <c r="E36" s="20">
        <v>30</v>
      </c>
      <c r="F36" s="20">
        <v>45</v>
      </c>
      <c r="G36" s="20">
        <v>30</v>
      </c>
      <c r="H36" s="20">
        <v>50</v>
      </c>
      <c r="I36" s="21">
        <f t="shared" ref="I36:I51" si="4">((C36+D36)/2-(G36+H36)/2)/((G36+H36)/2)*100</f>
        <v>0</v>
      </c>
      <c r="J36" s="20">
        <v>40</v>
      </c>
      <c r="K36" s="20">
        <v>60</v>
      </c>
      <c r="L36" s="22">
        <f t="shared" ref="L36:L51" si="5">((C36+D36)/2-(J36+K36)/2)/((J36+K36)/2)*100</f>
        <v>-20</v>
      </c>
    </row>
    <row r="37" spans="1:12" ht="21.75">
      <c r="A37" s="60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0" t="s">
        <v>43</v>
      </c>
      <c r="B38" s="6" t="s">
        <v>17</v>
      </c>
      <c r="C38" s="20">
        <v>90</v>
      </c>
      <c r="D38" s="20">
        <v>140</v>
      </c>
      <c r="E38" s="20">
        <v>80</v>
      </c>
      <c r="F38" s="20">
        <v>140</v>
      </c>
      <c r="G38" s="20">
        <v>60</v>
      </c>
      <c r="H38" s="20">
        <v>130</v>
      </c>
      <c r="I38" s="21">
        <f t="shared" si="4"/>
        <v>21.052631578947366</v>
      </c>
      <c r="J38" s="20">
        <v>80</v>
      </c>
      <c r="K38" s="20">
        <v>150</v>
      </c>
      <c r="L38" s="22">
        <f t="shared" si="5"/>
        <v>0</v>
      </c>
    </row>
    <row r="39" spans="1:12" ht="21.75">
      <c r="A39" s="60" t="s">
        <v>44</v>
      </c>
      <c r="B39" s="6" t="s">
        <v>17</v>
      </c>
      <c r="C39" s="20">
        <v>180</v>
      </c>
      <c r="D39" s="20">
        <v>220</v>
      </c>
      <c r="E39" s="20">
        <v>160</v>
      </c>
      <c r="F39" s="20">
        <v>220</v>
      </c>
      <c r="G39" s="20">
        <v>200</v>
      </c>
      <c r="H39" s="20">
        <v>245</v>
      </c>
      <c r="I39" s="21">
        <f t="shared" si="4"/>
        <v>-10.112359550561797</v>
      </c>
      <c r="J39" s="20">
        <v>190</v>
      </c>
      <c r="K39" s="20">
        <v>240</v>
      </c>
      <c r="L39" s="22">
        <f t="shared" si="5"/>
        <v>-6.9767441860465116</v>
      </c>
    </row>
    <row r="40" spans="1:12" ht="21.75">
      <c r="A40" s="60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0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0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0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0" t="s">
        <v>49</v>
      </c>
      <c r="B44" s="6" t="s">
        <v>17</v>
      </c>
      <c r="C44" s="20">
        <v>140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13.333333333333334</v>
      </c>
      <c r="J44" s="20">
        <v>100</v>
      </c>
      <c r="K44" s="20">
        <v>150</v>
      </c>
      <c r="L44" s="22">
        <f t="shared" si="5"/>
        <v>36</v>
      </c>
    </row>
    <row r="45" spans="1:12" ht="21.75">
      <c r="A45" s="60" t="s">
        <v>50</v>
      </c>
      <c r="B45" s="6" t="s">
        <v>17</v>
      </c>
      <c r="C45" s="20">
        <v>150</v>
      </c>
      <c r="D45" s="20">
        <v>220</v>
      </c>
      <c r="E45" s="20">
        <v>120</v>
      </c>
      <c r="F45" s="20">
        <v>210</v>
      </c>
      <c r="G45" s="20">
        <v>120</v>
      </c>
      <c r="H45" s="20">
        <v>220</v>
      </c>
      <c r="I45" s="21">
        <f t="shared" si="4"/>
        <v>8.8235294117647065</v>
      </c>
      <c r="J45" s="20">
        <v>100</v>
      </c>
      <c r="K45" s="20">
        <v>200</v>
      </c>
      <c r="L45" s="22">
        <f t="shared" si="5"/>
        <v>23.333333333333332</v>
      </c>
    </row>
    <row r="46" spans="1:12" ht="21.75">
      <c r="A46" s="60" t="s">
        <v>51</v>
      </c>
      <c r="B46" s="6" t="s">
        <v>17</v>
      </c>
      <c r="C46" s="20">
        <v>600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-2.9850746268656714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60" t="s">
        <v>52</v>
      </c>
      <c r="B47" s="6" t="s">
        <v>17</v>
      </c>
      <c r="C47" s="20">
        <v>500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550</v>
      </c>
      <c r="L47" s="22">
        <f t="shared" si="5"/>
        <v>4.7619047619047619</v>
      </c>
    </row>
    <row r="48" spans="1:12" ht="21.75">
      <c r="A48" s="60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1350</v>
      </c>
      <c r="K48" s="20">
        <v>1600</v>
      </c>
      <c r="L48" s="22">
        <f t="shared" si="5"/>
        <v>1.6949152542372881</v>
      </c>
    </row>
    <row r="49" spans="1:12" ht="21.75">
      <c r="A49" s="60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5100</v>
      </c>
      <c r="L49" s="22">
        <f t="shared" si="5"/>
        <v>4.1666666666666661</v>
      </c>
    </row>
    <row r="50" spans="1:12" ht="21.75">
      <c r="A50" s="60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210</v>
      </c>
      <c r="K50" s="20">
        <v>280</v>
      </c>
      <c r="L50" s="22">
        <f t="shared" si="5"/>
        <v>-6.1224489795918364</v>
      </c>
    </row>
    <row r="51" spans="1:12" ht="21.75">
      <c r="A51" s="60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2" t="s">
        <v>57</v>
      </c>
      <c r="B52" s="56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0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0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1700</v>
      </c>
      <c r="L54" s="22">
        <f t="shared" si="7"/>
        <v>6.1224489795918364</v>
      </c>
    </row>
    <row r="55" spans="1:12" ht="21.75">
      <c r="A55" s="60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0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0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210</v>
      </c>
      <c r="H57" s="20">
        <v>230</v>
      </c>
      <c r="I57" s="21">
        <f t="shared" si="6"/>
        <v>-13.636363636363635</v>
      </c>
      <c r="J57" s="20">
        <v>180</v>
      </c>
      <c r="K57" s="20">
        <v>210</v>
      </c>
      <c r="L57" s="22">
        <f t="shared" si="7"/>
        <v>-2.5641025641025639</v>
      </c>
    </row>
    <row r="58" spans="1:12" ht="21.75">
      <c r="A58" s="60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3" t="s">
        <v>62</v>
      </c>
      <c r="B59" s="57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0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0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60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60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4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4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0" t="s">
        <v>4</v>
      </c>
      <c r="B66" s="6" t="s">
        <v>5</v>
      </c>
      <c r="C66" s="70" t="s">
        <v>6</v>
      </c>
      <c r="D66" s="71"/>
      <c r="E66" s="70" t="s">
        <v>7</v>
      </c>
      <c r="F66" s="71"/>
      <c r="G66" s="70" t="s">
        <v>8</v>
      </c>
      <c r="H66" s="71"/>
      <c r="I66" s="6" t="s">
        <v>9</v>
      </c>
      <c r="J66" s="70" t="s">
        <v>10</v>
      </c>
      <c r="K66" s="71"/>
      <c r="L66" s="18" t="s">
        <v>11</v>
      </c>
    </row>
    <row r="67" spans="1:12" ht="18" customHeight="1">
      <c r="A67" s="65"/>
      <c r="B67" s="58"/>
      <c r="C67" s="72">
        <v>46128</v>
      </c>
      <c r="D67" s="69"/>
      <c r="E67" s="72">
        <v>46121</v>
      </c>
      <c r="F67" s="69"/>
      <c r="G67" s="72">
        <v>46097</v>
      </c>
      <c r="H67" s="69"/>
      <c r="I67" s="18" t="s">
        <v>12</v>
      </c>
      <c r="J67" s="72">
        <v>45763</v>
      </c>
      <c r="K67" s="69"/>
      <c r="L67" s="18" t="s">
        <v>12</v>
      </c>
    </row>
    <row r="68" spans="1:12" ht="21.75">
      <c r="A68" s="66" t="s">
        <v>68</v>
      </c>
      <c r="B68" s="59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0" t="s">
        <v>69</v>
      </c>
      <c r="B69" s="6" t="s">
        <v>17</v>
      </c>
      <c r="C69" s="20">
        <v>100</v>
      </c>
      <c r="D69" s="20">
        <v>110</v>
      </c>
      <c r="E69" s="20">
        <v>100</v>
      </c>
      <c r="F69" s="20">
        <v>110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.75">
      <c r="A70" s="60" t="s">
        <v>70</v>
      </c>
      <c r="B70" s="52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0" t="s">
        <v>101</v>
      </c>
      <c r="B71" s="52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0" t="s">
        <v>112</v>
      </c>
      <c r="B72" s="52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25</v>
      </c>
      <c r="H72" s="20">
        <v>60</v>
      </c>
      <c r="I72" s="21">
        <f t="shared" si="9"/>
        <v>-17.647058823529413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0" t="s">
        <v>113</v>
      </c>
      <c r="B73" s="52" t="s">
        <v>17</v>
      </c>
      <c r="C73" s="20">
        <v>80</v>
      </c>
      <c r="D73" s="20">
        <v>160</v>
      </c>
      <c r="E73" s="20">
        <v>60</v>
      </c>
      <c r="F73" s="20">
        <v>140</v>
      </c>
      <c r="G73" s="20">
        <v>60</v>
      </c>
      <c r="H73" s="20">
        <v>160</v>
      </c>
      <c r="I73" s="21">
        <f t="shared" si="9"/>
        <v>9.0909090909090917</v>
      </c>
      <c r="J73" s="20">
        <v>60</v>
      </c>
      <c r="K73" s="20">
        <v>90</v>
      </c>
      <c r="L73" s="22">
        <f t="shared" si="8"/>
        <v>60</v>
      </c>
    </row>
    <row r="74" spans="1:12" ht="21.75">
      <c r="A74" s="60" t="s">
        <v>114</v>
      </c>
      <c r="B74" s="52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60</v>
      </c>
      <c r="K74" s="20">
        <v>100</v>
      </c>
      <c r="L74" s="22">
        <f t="shared" si="8"/>
        <v>25</v>
      </c>
    </row>
    <row r="75" spans="1:12" ht="21.75">
      <c r="A75" s="60" t="s">
        <v>115</v>
      </c>
      <c r="B75" s="52" t="s">
        <v>17</v>
      </c>
      <c r="C75" s="20">
        <v>40</v>
      </c>
      <c r="D75" s="20">
        <v>80</v>
      </c>
      <c r="E75" s="20">
        <v>50</v>
      </c>
      <c r="F75" s="20">
        <v>80</v>
      </c>
      <c r="G75" s="20">
        <v>40</v>
      </c>
      <c r="H75" s="20">
        <v>70</v>
      </c>
      <c r="I75" s="21">
        <f t="shared" si="9"/>
        <v>9.0909090909090917</v>
      </c>
      <c r="J75" s="20">
        <v>40</v>
      </c>
      <c r="K75" s="20">
        <v>80</v>
      </c>
      <c r="L75" s="22">
        <f t="shared" si="8"/>
        <v>0</v>
      </c>
    </row>
    <row r="76" spans="1:12" ht="18.75" customHeight="1">
      <c r="A76" s="60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40</v>
      </c>
      <c r="K76" s="28">
        <v>45</v>
      </c>
      <c r="L76" s="22">
        <f t="shared" si="8"/>
        <v>-12.941176470588237</v>
      </c>
    </row>
    <row r="77" spans="1:12" ht="21.75">
      <c r="A77" s="60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0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60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>
      <c r="A80" s="73" t="s">
        <v>124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131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130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0" t="s">
        <v>6</v>
      </c>
      <c r="D86" s="71"/>
      <c r="E86" s="75" t="s">
        <v>81</v>
      </c>
      <c r="F86" s="76"/>
      <c r="G86" s="41" t="s">
        <v>12</v>
      </c>
      <c r="H86" s="70" t="s">
        <v>82</v>
      </c>
      <c r="I86" s="77"/>
      <c r="J86" s="71"/>
      <c r="K86" s="43"/>
      <c r="L86" s="2"/>
    </row>
    <row r="87" spans="1:12" ht="21.75">
      <c r="A87" s="60" t="s">
        <v>18</v>
      </c>
      <c r="B87" s="6" t="s">
        <v>17</v>
      </c>
      <c r="C87" s="20">
        <v>55</v>
      </c>
      <c r="D87" s="20">
        <v>60</v>
      </c>
      <c r="E87" s="20">
        <v>50</v>
      </c>
      <c r="F87" s="20">
        <v>55</v>
      </c>
      <c r="G87" s="7">
        <f t="shared" ref="G87:G88" si="10">((C87+D87)/2-(E87+F87)/2)/((E87+F87)/2)*100</f>
        <v>9.5238095238095237</v>
      </c>
      <c r="H87" s="5" t="s">
        <v>123</v>
      </c>
      <c r="I87" s="6"/>
      <c r="J87" s="6"/>
      <c r="K87" s="43"/>
      <c r="L87" s="2"/>
    </row>
    <row r="88" spans="1:12" ht="21.75">
      <c r="A88" s="60" t="s">
        <v>23</v>
      </c>
      <c r="B88" s="6" t="s">
        <v>17</v>
      </c>
      <c r="C88" s="20">
        <v>50</v>
      </c>
      <c r="D88" s="20">
        <v>60</v>
      </c>
      <c r="E88" s="20">
        <v>48</v>
      </c>
      <c r="F88" s="20">
        <v>60</v>
      </c>
      <c r="G88" s="7">
        <f t="shared" si="10"/>
        <v>1.8518518518518516</v>
      </c>
      <c r="H88" s="5" t="s">
        <v>123</v>
      </c>
      <c r="I88" s="6"/>
      <c r="J88" s="6"/>
      <c r="K88" s="43"/>
      <c r="L88" s="2"/>
    </row>
    <row r="89" spans="1:12" ht="21.75">
      <c r="A89" s="60" t="s">
        <v>26</v>
      </c>
      <c r="B89" s="6" t="s">
        <v>27</v>
      </c>
      <c r="C89" s="20">
        <v>185</v>
      </c>
      <c r="D89" s="20">
        <v>192</v>
      </c>
      <c r="E89" s="20">
        <v>185</v>
      </c>
      <c r="F89" s="20">
        <v>196</v>
      </c>
      <c r="G89" s="7">
        <f t="shared" ref="G89" si="11">((C89+D89)/2-(E89+F89)/2)/((E89+F89)/2)*100</f>
        <v>-1.0498687664041995</v>
      </c>
      <c r="H89" s="5" t="s">
        <v>129</v>
      </c>
      <c r="I89" s="6"/>
      <c r="J89" s="6"/>
      <c r="K89" s="43"/>
      <c r="L89" s="2"/>
    </row>
    <row r="90" spans="1:12" ht="21.75">
      <c r="A90" s="60" t="s">
        <v>108</v>
      </c>
      <c r="B90" s="6" t="s">
        <v>17</v>
      </c>
      <c r="C90" s="20">
        <v>20</v>
      </c>
      <c r="D90" s="20">
        <v>30</v>
      </c>
      <c r="E90" s="20">
        <v>25</v>
      </c>
      <c r="F90" s="20">
        <v>30</v>
      </c>
      <c r="G90" s="7">
        <f t="shared" ref="G90:G91" si="12">((C90+D90)/2-(E90+F90)/2)/((E90+F90)/2)*100</f>
        <v>-9.0909090909090917</v>
      </c>
      <c r="H90" s="5" t="s">
        <v>129</v>
      </c>
      <c r="I90" s="6"/>
      <c r="J90" s="6"/>
      <c r="K90" s="43"/>
      <c r="L90" s="2"/>
    </row>
    <row r="91" spans="1:12" ht="21.75">
      <c r="A91" s="60" t="s">
        <v>109</v>
      </c>
      <c r="B91" s="6" t="s">
        <v>17</v>
      </c>
      <c r="C91" s="20">
        <v>35</v>
      </c>
      <c r="D91" s="20">
        <v>45</v>
      </c>
      <c r="E91" s="20">
        <v>30</v>
      </c>
      <c r="F91" s="20">
        <v>45</v>
      </c>
      <c r="G91" s="7">
        <f t="shared" si="12"/>
        <v>6.666666666666667</v>
      </c>
      <c r="H91" s="5" t="s">
        <v>123</v>
      </c>
      <c r="I91" s="6"/>
      <c r="J91" s="6"/>
      <c r="K91" s="43"/>
      <c r="L91" s="2"/>
    </row>
    <row r="92" spans="1:12" ht="21.75">
      <c r="A92" s="60" t="s">
        <v>43</v>
      </c>
      <c r="B92" s="6" t="s">
        <v>17</v>
      </c>
      <c r="C92" s="20">
        <v>90</v>
      </c>
      <c r="D92" s="20">
        <v>140</v>
      </c>
      <c r="E92" s="20">
        <v>80</v>
      </c>
      <c r="F92" s="20">
        <v>140</v>
      </c>
      <c r="G92" s="7">
        <f t="shared" ref="G92:G97" si="13">((C92+D92)/2-(E92+F92)/2)/((E92+F92)/2)*100</f>
        <v>4.5454545454545459</v>
      </c>
      <c r="H92" s="5" t="s">
        <v>128</v>
      </c>
      <c r="I92" s="6"/>
      <c r="J92" s="6"/>
      <c r="K92" s="43"/>
      <c r="L92" s="2"/>
    </row>
    <row r="93" spans="1:12" ht="21.75">
      <c r="A93" s="60" t="s">
        <v>44</v>
      </c>
      <c r="B93" s="6" t="s">
        <v>17</v>
      </c>
      <c r="C93" s="20">
        <v>180</v>
      </c>
      <c r="D93" s="20">
        <v>220</v>
      </c>
      <c r="E93" s="20">
        <v>160</v>
      </c>
      <c r="F93" s="20">
        <v>220</v>
      </c>
      <c r="G93" s="7">
        <f t="shared" si="13"/>
        <v>5.2631578947368416</v>
      </c>
      <c r="H93" s="5" t="s">
        <v>128</v>
      </c>
      <c r="I93" s="6"/>
      <c r="J93" s="6"/>
      <c r="K93" s="43"/>
      <c r="L93" s="2"/>
    </row>
    <row r="94" spans="1:12" ht="21.75">
      <c r="A94" s="60" t="s">
        <v>49</v>
      </c>
      <c r="B94" s="6" t="s">
        <v>17</v>
      </c>
      <c r="C94" s="20">
        <v>140</v>
      </c>
      <c r="D94" s="20">
        <v>200</v>
      </c>
      <c r="E94" s="20">
        <v>100</v>
      </c>
      <c r="F94" s="20">
        <v>200</v>
      </c>
      <c r="G94" s="7">
        <f t="shared" si="13"/>
        <v>13.333333333333334</v>
      </c>
      <c r="H94" s="5" t="s">
        <v>122</v>
      </c>
      <c r="I94" s="6"/>
      <c r="J94" s="6"/>
      <c r="K94" s="43"/>
      <c r="L94" s="2"/>
    </row>
    <row r="95" spans="1:12" ht="21.75">
      <c r="A95" s="60" t="s">
        <v>50</v>
      </c>
      <c r="B95" s="6" t="s">
        <v>17</v>
      </c>
      <c r="C95" s="20">
        <v>150</v>
      </c>
      <c r="D95" s="20">
        <v>220</v>
      </c>
      <c r="E95" s="20">
        <v>120</v>
      </c>
      <c r="F95" s="20">
        <v>210</v>
      </c>
      <c r="G95" s="7">
        <f t="shared" si="13"/>
        <v>12.121212121212121</v>
      </c>
      <c r="H95" s="5" t="s">
        <v>122</v>
      </c>
      <c r="I95" s="6"/>
      <c r="J95" s="6"/>
      <c r="K95" s="43"/>
      <c r="L95" s="2"/>
    </row>
    <row r="96" spans="1:12" ht="21.75">
      <c r="A96" s="60" t="s">
        <v>51</v>
      </c>
      <c r="B96" s="6" t="s">
        <v>17</v>
      </c>
      <c r="C96" s="20">
        <v>600</v>
      </c>
      <c r="D96" s="20">
        <v>700</v>
      </c>
      <c r="E96" s="20">
        <v>620</v>
      </c>
      <c r="F96" s="20">
        <v>700</v>
      </c>
      <c r="G96" s="7">
        <f t="shared" si="13"/>
        <v>-1.5151515151515151</v>
      </c>
      <c r="H96" s="5" t="s">
        <v>129</v>
      </c>
      <c r="I96" s="6"/>
      <c r="J96" s="6"/>
      <c r="K96" s="43"/>
      <c r="L96" s="2"/>
    </row>
    <row r="97" spans="1:12" ht="21.75">
      <c r="A97" s="60" t="s">
        <v>52</v>
      </c>
      <c r="B97" s="6" t="s">
        <v>17</v>
      </c>
      <c r="C97" s="20">
        <v>500</v>
      </c>
      <c r="D97" s="20">
        <v>600</v>
      </c>
      <c r="E97" s="20">
        <v>400</v>
      </c>
      <c r="F97" s="20">
        <v>600</v>
      </c>
      <c r="G97" s="7">
        <f t="shared" si="13"/>
        <v>10</v>
      </c>
      <c r="H97" s="5" t="s">
        <v>128</v>
      </c>
      <c r="I97" s="6"/>
      <c r="J97" s="6"/>
      <c r="K97" s="43"/>
      <c r="L97" s="2"/>
    </row>
    <row r="98" spans="1:12" ht="21.75">
      <c r="A98" s="60" t="s">
        <v>113</v>
      </c>
      <c r="B98" s="52" t="s">
        <v>17</v>
      </c>
      <c r="C98" s="20">
        <v>80</v>
      </c>
      <c r="D98" s="20">
        <v>160</v>
      </c>
      <c r="E98" s="20">
        <v>60</v>
      </c>
      <c r="F98" s="20">
        <v>140</v>
      </c>
      <c r="G98" s="7">
        <f t="shared" ref="G98:G99" si="14">((C98+D98)/2-(E98+F98)/2)/((E98+F98)/2)*100</f>
        <v>20</v>
      </c>
      <c r="H98" s="5" t="s">
        <v>123</v>
      </c>
      <c r="I98" s="6"/>
      <c r="J98" s="6"/>
      <c r="K98" s="43"/>
      <c r="L98" s="44"/>
    </row>
    <row r="99" spans="1:12" ht="21.75">
      <c r="A99" s="60" t="s">
        <v>115</v>
      </c>
      <c r="B99" s="52" t="s">
        <v>17</v>
      </c>
      <c r="C99" s="20">
        <v>40</v>
      </c>
      <c r="D99" s="20">
        <v>80</v>
      </c>
      <c r="E99" s="20">
        <v>50</v>
      </c>
      <c r="F99" s="20">
        <v>80</v>
      </c>
      <c r="G99" s="7">
        <f t="shared" si="14"/>
        <v>-7.6923076923076925</v>
      </c>
      <c r="H99" s="5" t="s">
        <v>129</v>
      </c>
      <c r="I99" s="6"/>
      <c r="J99" s="6"/>
      <c r="K99" s="43"/>
      <c r="L99" s="44"/>
    </row>
    <row r="100" spans="1:12" ht="19.5">
      <c r="A100" s="1"/>
      <c r="B100" s="53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19.5">
      <c r="A101" s="1"/>
      <c r="B101" s="3"/>
      <c r="C101" s="37"/>
      <c r="D101" s="37"/>
      <c r="E101" s="37"/>
      <c r="F101" s="37"/>
      <c r="G101" s="9"/>
      <c r="H101" s="45"/>
      <c r="I101" s="44"/>
      <c r="J101" s="44"/>
      <c r="K101" s="44"/>
      <c r="L101" s="44"/>
    </row>
    <row r="102" spans="1:12" ht="19.5">
      <c r="A102" s="1"/>
      <c r="B102" s="46"/>
      <c r="C102" s="47"/>
      <c r="D102" s="47"/>
      <c r="E102" s="3"/>
      <c r="F102" s="47"/>
      <c r="G102" s="9"/>
      <c r="H102" s="45"/>
      <c r="I102" s="44"/>
      <c r="J102" s="44"/>
      <c r="K102" s="44"/>
      <c r="L102" s="44"/>
    </row>
    <row r="103" spans="1:12" ht="19.5">
      <c r="A103" s="46"/>
      <c r="B103" s="1"/>
      <c r="C103" s="48" t="s">
        <v>110</v>
      </c>
      <c r="D103" s="2"/>
      <c r="E103" s="46"/>
      <c r="F103" s="49"/>
      <c r="G103" s="3" t="s">
        <v>120</v>
      </c>
      <c r="H103" s="2"/>
      <c r="I103" s="46"/>
    </row>
    <row r="104" spans="1:12" ht="19.5">
      <c r="A104" s="46"/>
      <c r="B104" s="50"/>
      <c r="C104" s="48" t="s">
        <v>111</v>
      </c>
      <c r="D104" s="3"/>
      <c r="E104" s="46"/>
      <c r="F104" s="51"/>
      <c r="G104" s="3" t="s">
        <v>121</v>
      </c>
      <c r="H104" s="46"/>
      <c r="I104" s="46"/>
    </row>
    <row r="105" spans="1:12" ht="19.5">
      <c r="A105" s="1"/>
      <c r="B105" s="3"/>
      <c r="C105" s="47"/>
      <c r="D105" s="3"/>
      <c r="E105" s="47"/>
      <c r="F105" s="1"/>
      <c r="G105" s="3"/>
      <c r="H105" s="3"/>
      <c r="I105" s="2"/>
      <c r="J105" s="2"/>
      <c r="K105" s="2"/>
      <c r="L105" s="2"/>
    </row>
    <row r="106" spans="1:12" ht="19.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9.5">
      <c r="A107" s="34" t="s">
        <v>93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9.5">
      <c r="A108" s="34" t="s">
        <v>117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9.5">
      <c r="A110" s="34" t="s">
        <v>118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9.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100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95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119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/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5" t="s">
        <v>85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86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106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105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104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2026-04-16T07:24:53Z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