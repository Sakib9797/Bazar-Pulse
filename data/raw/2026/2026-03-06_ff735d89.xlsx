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Desktop\Market Study folder\Daily market price-2026\March-2026\"/>
    </mc:Choice>
  </mc:AlternateContent>
  <xr:revisionPtr revIDLastSave="0" documentId="8_{93DC8535-4F80-EB47-8A76-4210744C0D5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" i="4" l="1"/>
  <c r="G105" i="4"/>
  <c r="G94" i="4"/>
  <c r="G93" i="4"/>
  <c r="G100" i="4"/>
  <c r="G99" i="4"/>
  <c r="G98" i="4"/>
  <c r="G96" i="4"/>
  <c r="G102" i="4"/>
  <c r="G101" i="4"/>
  <c r="G91" i="4"/>
  <c r="G90" i="4"/>
  <c r="G89" i="4"/>
  <c r="G104" i="4"/>
  <c r="G103" i="4"/>
  <c r="G92" i="4"/>
  <c r="I77" i="4"/>
  <c r="I76" i="4"/>
  <c r="I75" i="4"/>
  <c r="I74" i="4"/>
  <c r="L74" i="4"/>
  <c r="L77" i="4"/>
  <c r="L76" i="4"/>
  <c r="L75" i="4"/>
  <c r="G95" i="4"/>
  <c r="L81" i="4"/>
  <c r="I81" i="4"/>
  <c r="L80" i="4"/>
  <c r="I80" i="4"/>
  <c r="L79" i="4"/>
  <c r="I79" i="4"/>
  <c r="L78" i="4"/>
  <c r="I78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<sst xmlns="http://schemas.openxmlformats.org/spreadsheetml/2006/main" count="272" uniqueCount="140">
  <si>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</si>
  <si>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</si>
  <si>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</si>
  <si>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</si>
  <si>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</si>
  <si>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</si>
  <si>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</si>
  <si>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</si>
  <si>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</si>
  <si>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</si>
  <si>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</si>
  <si>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</si>
  <si>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</si>
  <si>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</si>
  <si>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</si>
  <si>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</si>
  <si>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</si>
  <si>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</si>
  <si>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</si>
  <si>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</si>
  <si>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</si>
  <si>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</si>
  <si>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</si>
  <si>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</si>
  <si>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</si>
  <si>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</si>
  <si>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</si>
  <si>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</si>
  <si>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</si>
  <si>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</si>
  <si>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</si>
  <si>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</si>
  <si>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</si>
  <si>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</si>
  <si>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</si>
  <si>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</si>
  <si>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</si>
  <si>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</si>
  <si>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</si>
  <si>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</si>
  <si>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</si>
  <si>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</si>
  <si>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</si>
  <si>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</si>
  <si>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</si>
  <si>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</si>
  <si>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</si>
  <si>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</si>
  <si>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</si>
  <si>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</si>
  <si>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</si>
  <si>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</si>
  <si>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</si>
  <si>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</si>
  <si>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</si>
  <si>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</si>
  <si>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</si>
  <si>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</si>
  <si>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</si>
  <si>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</si>
  <si>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</si>
  <si>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</si>
  <si>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</si>
  <si>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</si>
  <si>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</si>
  <si>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</si>
  <si>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</si>
  <si>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</si>
  <si>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</si>
  <si>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</si>
  <si>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</si>
  <si>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</si>
  <si>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</si>
  <si>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</si>
  <si>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</si>
  <si>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</si>
  <si>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</si>
  <si>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</si>
  <si>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</si>
  <si>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</si>
  <si>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</si>
  <si>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</si>
  <si>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</si>
  <si>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</si>
  <si>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</si>
  <si>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</si>
  <si>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</si>
  <si>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</si>
  <si>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</si>
  <si>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</si>
  <si>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</si>
  <si>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</si>
  <si>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</si>
  <si>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</si>
  <si>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</si>
  <si>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</si>
  <si>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</si>
  <si>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</si>
  <si>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</si>
  <si>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</si>
  <si>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</si>
  <si>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</si>
  <si>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</si>
  <si>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</si>
  <si>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</si>
  <si>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</si>
  <si>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</si>
  <si>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</si>
  <si>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</si>
  <si>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</si>
  <si>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</si>
  <si>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</si>
  <si>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</si>
  <si>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</si>
  <si>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</si>
  <si>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</si>
  <si>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</si>
  <si>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</si>
  <si>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</si>
  <si>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</si>
  <si>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</si>
  <si>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</si>
  <si>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(মোঃ ইসমাইল মজুমদার)</t>
  </si>
  <si>
    <t>সহকারী পরিচালক (বাজার তথ্য)</t>
  </si>
  <si>
    <t>২৭-০২-২০২৬ তারিখে মূল্য হ্রাস পেয়েছে।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</si>
  <si>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</si>
  <si>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>০২-০৩-২০২৬ তারিখে মূল্য হ্রাস পেয়েছে।</t>
  </si>
  <si>
    <t>০২-০৩-২০২৬ তারিখে মূল্য বৃদ্ধি পেয়েছে।</t>
  </si>
  <si>
    <t xml:space="preserve">যে সকল বাজার হতে তথ্য সংগ্রহ করা হয়েছেঃ- কাওরান বাজার, মিরপুর-৬, মোহাম্মদপুর টাউন হল, রামপুরা, মহাখালী  বাজার।   </t>
  </si>
  <si>
    <t>০৩-০৩-২০২৬ তারিখে মূল্য হ্রাস পেয়েছে।</t>
  </si>
  <si>
    <t>০৪-০৩-২০২৬ তারিখে মূল্য হ্রাস পেয়েছে।</t>
  </si>
  <si>
    <t>০৪-০৩-২০২৬ তারিখে মূল্য বৃদ্ধি পেয়েছে।</t>
  </si>
  <si>
    <t>০৫-০৩-২০২৬ তারিখে মূল্য বৃদ্ধি পেয়েছে।</t>
  </si>
  <si>
    <t>০৫-০৩-২০২৬ তারিখে মূল্য হ্রাস পেয়েছে।</t>
  </si>
  <si>
    <t>(২)   সয়াবিন তেল লুজ, রশুন (আম), জিরা, মুরগী ব্রয়লার, চিনি   এর মূল্য বৃদ্ধি পেয়েছে।</t>
  </si>
  <si>
    <t>(১)   চাল (মাঝারী), ময়দা (প্যা:), মসুর ডাল (বড়), আলু, পেঁয়াজ (দেশী), আদা (দেশী), দারুচিনি, লবঙ্গ, কাঁচামরিচ, লেবু, বেগুন, শসা  এর মূল্য হ্রাস পেয়েছে।</t>
  </si>
  <si>
    <t>স্মারক নং-২৬.০৫.০০০০.০১৭.৩১.০১.২৬-১৯১</t>
  </si>
  <si>
    <t xml:space="preserve">শুক্রবার ০৬ মার্চ ২০২৬ খ্রিঃ, ২১ ফাল্গুন ১৪৩২ বাংলা, ১৬ রমজান ১৪৪৭ হিজরি </t>
  </si>
  <si>
    <t xml:space="preserve">   সিরিয়াল নংঃ     ০৬১</t>
  </si>
  <si>
    <t>০৬-০৩-২০২৬ তারিখে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</si>
</sst>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8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5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24" fillId="0" borderId="0" xfId="3" applyFont="1" applyBorder="1" applyAlignment="1">
      <alignment horizontal="left" vertical="center"/>
    </xf>
    <xf numFmtId="0" fontId="3" fillId="0" borderId="0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106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31"/>
  <sheetViews>
    <sheetView tabSelected="1" topLeftCell="H3" zoomScale="112" zoomScaleNormal="112" workbookViewId="0">
      <selection activeCell="L8" sqref="L8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94921875" customWidth="1"/>
    <col min="7" max="7" width="9.53125" customWidth="1"/>
    <col min="8" max="8" width="8.6015625" customWidth="1"/>
    <col min="9" max="9" width="8.94921875" customWidth="1"/>
    <col min="10" max="10" width="10.8125" customWidth="1"/>
    <col min="11" max="11" width="9.4140625" customWidth="1"/>
    <col min="12" max="12" width="9.765625" customWidth="1"/>
  </cols>
  <sheetData>
    <row r="4" spans="1:12" ht="21" x14ac:dyDescent="0.2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" x14ac:dyDescent="0.25">
      <c r="A5" s="18"/>
      <c r="B5" s="19"/>
      <c r="C5" s="19"/>
      <c r="D5" s="17"/>
      <c r="E5" s="19"/>
      <c r="F5" s="19" t="s">
        <v>98</v>
      </c>
      <c r="G5" s="19"/>
      <c r="H5" s="19"/>
      <c r="I5" s="19"/>
      <c r="J5" s="19"/>
      <c r="K5" s="48"/>
      <c r="L5" s="19"/>
    </row>
    <row r="6" spans="1:12" ht="21" x14ac:dyDescent="0.2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5" t="s">
        <v>138</v>
      </c>
      <c r="L6" s="86"/>
    </row>
    <row r="7" spans="1:12" ht="19.5" customHeight="1" x14ac:dyDescent="0.25">
      <c r="A7" s="17"/>
      <c r="B7" s="8"/>
      <c r="C7" s="8"/>
      <c r="D7" s="17"/>
      <c r="E7" s="8"/>
      <c r="F7" s="8" t="s">
        <v>137</v>
      </c>
      <c r="G7" s="8"/>
      <c r="H7" s="8"/>
      <c r="I7" s="8"/>
      <c r="J7" s="8"/>
      <c r="K7" s="8"/>
      <c r="L7" s="49"/>
    </row>
    <row r="8" spans="1:12" ht="21" x14ac:dyDescent="0.25">
      <c r="A8" s="20" t="s">
        <v>136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46087</v>
      </c>
    </row>
    <row r="9" spans="1:12" ht="21" x14ac:dyDescent="0.25">
      <c r="A9" s="25" t="s">
        <v>4</v>
      </c>
      <c r="B9" s="26" t="s">
        <v>5</v>
      </c>
      <c r="C9" s="85" t="s">
        <v>6</v>
      </c>
      <c r="D9" s="86"/>
      <c r="E9" s="85" t="s">
        <v>7</v>
      </c>
      <c r="F9" s="86"/>
      <c r="G9" s="85" t="s">
        <v>8</v>
      </c>
      <c r="H9" s="86"/>
      <c r="I9" s="26" t="s">
        <v>9</v>
      </c>
      <c r="J9" s="85" t="s">
        <v>10</v>
      </c>
      <c r="K9" s="86"/>
      <c r="L9" s="27" t="s">
        <v>11</v>
      </c>
    </row>
    <row r="10" spans="1:12" ht="21" x14ac:dyDescent="0.25">
      <c r="A10" s="25"/>
      <c r="B10" s="26"/>
      <c r="C10" s="87">
        <v>46087</v>
      </c>
      <c r="D10" s="86"/>
      <c r="E10" s="87">
        <v>46080</v>
      </c>
      <c r="F10" s="86"/>
      <c r="G10" s="87">
        <v>46059</v>
      </c>
      <c r="H10" s="86"/>
      <c r="I10" s="26" t="s">
        <v>12</v>
      </c>
      <c r="J10" s="87">
        <v>45722</v>
      </c>
      <c r="K10" s="86"/>
      <c r="L10" s="26" t="s">
        <v>12</v>
      </c>
    </row>
    <row r="11" spans="1:12" ht="18" x14ac:dyDescent="0.25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68" t="s">
        <v>14</v>
      </c>
      <c r="K11" s="68" t="s">
        <v>15</v>
      </c>
      <c r="L11" s="68" t="s">
        <v>16</v>
      </c>
    </row>
    <row r="12" spans="1:12" ht="21" x14ac:dyDescent="0.3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72</v>
      </c>
      <c r="K12" s="29">
        <v>85</v>
      </c>
      <c r="L12" s="31">
        <f>((C12+D12)/2-(J12+K12)/2)/((J12+K12)/2)*100</f>
        <v>-1.2738853503184715</v>
      </c>
    </row>
    <row r="13" spans="1:12" ht="21" x14ac:dyDescent="0.3">
      <c r="A13" s="69" t="s">
        <v>99</v>
      </c>
      <c r="B13" s="6" t="s">
        <v>18</v>
      </c>
      <c r="C13" s="29">
        <v>55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-2.3809523809523809</v>
      </c>
      <c r="J13" s="29">
        <v>58</v>
      </c>
      <c r="K13" s="29">
        <v>65</v>
      </c>
      <c r="L13" s="31">
        <f>((C13+D13)/2-(J13+K13)/2)/((J13+K13)/2)*100</f>
        <v>0</v>
      </c>
    </row>
    <row r="14" spans="1:12" ht="21" x14ac:dyDescent="0.3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 x14ac:dyDescent="0.3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" x14ac:dyDescent="0.3">
      <c r="A16" s="69" t="s">
        <v>21</v>
      </c>
      <c r="B16" s="6" t="s">
        <v>18</v>
      </c>
      <c r="C16" s="29">
        <v>40</v>
      </c>
      <c r="D16" s="29">
        <v>46</v>
      </c>
      <c r="E16" s="29">
        <v>40</v>
      </c>
      <c r="F16" s="29">
        <v>46</v>
      </c>
      <c r="G16" s="29">
        <v>44</v>
      </c>
      <c r="H16" s="29">
        <v>50</v>
      </c>
      <c r="I16" s="30">
        <f>((C16+D16)/2-(G16+H16)/2)/((G16+H16)/2)*100</f>
        <v>-8.5106382978723403</v>
      </c>
      <c r="J16" s="29">
        <v>40</v>
      </c>
      <c r="K16" s="29">
        <v>45</v>
      </c>
      <c r="L16" s="31">
        <f>((C16+D16)/2-(J16+K16)/2)/((J16+K16)/2)*100</f>
        <v>1.1764705882352942</v>
      </c>
    </row>
    <row r="17" spans="1:12" ht="21" x14ac:dyDescent="0.3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48</v>
      </c>
      <c r="K17" s="29">
        <v>55</v>
      </c>
      <c r="L17" s="31">
        <f>((C17+D17)/2-(J17+K17)/2)/((J17+K17)/2)*100</f>
        <v>13.592233009708737</v>
      </c>
    </row>
    <row r="18" spans="1:12" ht="21" x14ac:dyDescent="0.3">
      <c r="A18" s="69" t="s">
        <v>24</v>
      </c>
      <c r="B18" s="6" t="s">
        <v>18</v>
      </c>
      <c r="C18" s="29">
        <v>48</v>
      </c>
      <c r="D18" s="29">
        <v>60</v>
      </c>
      <c r="E18" s="29">
        <v>48</v>
      </c>
      <c r="F18" s="29">
        <v>60</v>
      </c>
      <c r="G18" s="29">
        <v>52</v>
      </c>
      <c r="H18" s="29">
        <v>65</v>
      </c>
      <c r="I18" s="30">
        <f>((C18+D18)/2-(G18+H18)/2)/((G18+H18)/2)*100</f>
        <v>-7.6923076923076925</v>
      </c>
      <c r="J18" s="29">
        <v>55</v>
      </c>
      <c r="K18" s="29">
        <v>60</v>
      </c>
      <c r="L18" s="31">
        <f>((C18+D18)/2-(J18+K18)/2)/((J18+K18)/2)*100</f>
        <v>-6.0869565217391308</v>
      </c>
    </row>
    <row r="19" spans="1:12" ht="21" x14ac:dyDescent="0.3">
      <c r="A19" s="69" t="s">
        <v>25</v>
      </c>
      <c r="B19" s="6" t="s">
        <v>23</v>
      </c>
      <c r="C19" s="29">
        <v>60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-3.5714285714285712</v>
      </c>
      <c r="J19" s="29">
        <v>65</v>
      </c>
      <c r="K19" s="29">
        <v>75</v>
      </c>
      <c r="L19" s="31">
        <f>((C19+D19)/2-(J19+K19)/2)/((J19+K19)/2)*100</f>
        <v>-3.5714285714285712</v>
      </c>
    </row>
    <row r="20" spans="1:12" ht="18" customHeight="1" x14ac:dyDescent="0.3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" x14ac:dyDescent="0.3">
      <c r="A21" s="69" t="s">
        <v>27</v>
      </c>
      <c r="B21" s="6" t="s">
        <v>28</v>
      </c>
      <c r="C21" s="29">
        <v>175</v>
      </c>
      <c r="D21" s="29">
        <v>186</v>
      </c>
      <c r="E21" s="29">
        <v>175</v>
      </c>
      <c r="F21" s="29">
        <v>185</v>
      </c>
      <c r="G21" s="29">
        <v>175</v>
      </c>
      <c r="H21" s="29">
        <v>185</v>
      </c>
      <c r="I21" s="30">
        <f t="shared" ref="I21:I27" si="0">((C21+D21)/2-(G21+H21)/2)/((G21+H21)/2)*100</f>
        <v>0.27777777777777779</v>
      </c>
      <c r="J21" s="29">
        <v>182</v>
      </c>
      <c r="K21" s="29">
        <v>190</v>
      </c>
      <c r="L21" s="31">
        <f t="shared" ref="L21:L27" si="1">((C21+D21)/2-(J21+K21)/2)/((J21+K21)/2)*100</f>
        <v>-2.956989247311828</v>
      </c>
    </row>
    <row r="22" spans="1:12" ht="21" x14ac:dyDescent="0.3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955</v>
      </c>
      <c r="I22" s="30">
        <f t="shared" si="0"/>
        <v>0</v>
      </c>
      <c r="J22" s="29">
        <v>845</v>
      </c>
      <c r="K22" s="29">
        <v>852</v>
      </c>
      <c r="L22" s="31">
        <f t="shared" si="1"/>
        <v>10.489098408956982</v>
      </c>
    </row>
    <row r="23" spans="1:12" ht="21" x14ac:dyDescent="0.3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385</v>
      </c>
      <c r="H23" s="29">
        <v>395</v>
      </c>
      <c r="I23" s="30">
        <f t="shared" si="0"/>
        <v>0</v>
      </c>
      <c r="J23" s="29">
        <v>348</v>
      </c>
      <c r="K23" s="29">
        <v>350</v>
      </c>
      <c r="L23" s="31">
        <f t="shared" si="1"/>
        <v>11.74785100286533</v>
      </c>
    </row>
    <row r="24" spans="1:12" ht="21" x14ac:dyDescent="0.3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190</v>
      </c>
      <c r="H24" s="29">
        <v>195</v>
      </c>
      <c r="I24" s="30">
        <f t="shared" si="0"/>
        <v>0</v>
      </c>
      <c r="J24" s="29">
        <v>175</v>
      </c>
      <c r="K24" s="29">
        <v>178</v>
      </c>
      <c r="L24" s="31">
        <f t="shared" si="1"/>
        <v>9.0651558073654392</v>
      </c>
    </row>
    <row r="25" spans="1:12" ht="21" x14ac:dyDescent="0.3">
      <c r="A25" s="69" t="s">
        <v>33</v>
      </c>
      <c r="B25" s="6" t="s">
        <v>28</v>
      </c>
      <c r="C25" s="29">
        <v>150</v>
      </c>
      <c r="D25" s="29">
        <v>162</v>
      </c>
      <c r="E25" s="29">
        <v>150</v>
      </c>
      <c r="F25" s="29">
        <v>162</v>
      </c>
      <c r="G25" s="29">
        <v>155</v>
      </c>
      <c r="H25" s="29">
        <v>162</v>
      </c>
      <c r="I25" s="30">
        <f t="shared" si="0"/>
        <v>-1.5772870662460567</v>
      </c>
      <c r="J25" s="29">
        <v>147</v>
      </c>
      <c r="K25" s="29">
        <v>154</v>
      </c>
      <c r="L25" s="31">
        <f t="shared" si="1"/>
        <v>3.6544850498338874</v>
      </c>
    </row>
    <row r="26" spans="1:12" ht="21" x14ac:dyDescent="0.3">
      <c r="A26" s="69" t="s">
        <v>100</v>
      </c>
      <c r="B26" s="6" t="s">
        <v>28</v>
      </c>
      <c r="C26" s="29">
        <v>162</v>
      </c>
      <c r="D26" s="29">
        <v>165</v>
      </c>
      <c r="E26" s="29">
        <v>162</v>
      </c>
      <c r="F26" s="29">
        <v>165</v>
      </c>
      <c r="G26" s="29">
        <v>160</v>
      </c>
      <c r="H26" s="29">
        <v>165</v>
      </c>
      <c r="I26" s="30">
        <f t="shared" si="0"/>
        <v>0.61538461538461542</v>
      </c>
      <c r="J26" s="29">
        <v>155</v>
      </c>
      <c r="K26" s="29">
        <v>160</v>
      </c>
      <c r="L26" s="31">
        <f t="shared" si="1"/>
        <v>3.8095238095238098</v>
      </c>
    </row>
    <row r="27" spans="1:12" ht="21" x14ac:dyDescent="0.3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1070</v>
      </c>
      <c r="L27" s="31">
        <f t="shared" si="1"/>
        <v>-0.47169811320754718</v>
      </c>
    </row>
    <row r="28" spans="1:12" ht="21" x14ac:dyDescent="0.3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" x14ac:dyDescent="0.3">
      <c r="A29" s="69" t="s">
        <v>37</v>
      </c>
      <c r="B29" s="6" t="s">
        <v>18</v>
      </c>
      <c r="C29" s="29">
        <v>80</v>
      </c>
      <c r="D29" s="29">
        <v>105</v>
      </c>
      <c r="E29" s="29">
        <v>85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0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" x14ac:dyDescent="0.3">
      <c r="A30" s="69" t="s">
        <v>104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120</v>
      </c>
      <c r="I30" s="30">
        <f t="shared" si="2"/>
        <v>0</v>
      </c>
      <c r="J30" s="29">
        <v>110</v>
      </c>
      <c r="K30" s="29">
        <v>120</v>
      </c>
      <c r="L30" s="31">
        <f t="shared" si="3"/>
        <v>0</v>
      </c>
    </row>
    <row r="31" spans="1:12" ht="21" x14ac:dyDescent="0.3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" x14ac:dyDescent="0.3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" x14ac:dyDescent="0.3">
      <c r="A33" s="69" t="s">
        <v>40</v>
      </c>
      <c r="B33" s="6" t="s">
        <v>18</v>
      </c>
      <c r="C33" s="29">
        <v>55</v>
      </c>
      <c r="D33" s="29">
        <v>75</v>
      </c>
      <c r="E33" s="29">
        <v>50</v>
      </c>
      <c r="F33" s="29">
        <v>75</v>
      </c>
      <c r="G33" s="29">
        <v>50</v>
      </c>
      <c r="H33" s="29">
        <v>75</v>
      </c>
      <c r="I33" s="30">
        <f t="shared" si="2"/>
        <v>4</v>
      </c>
      <c r="J33" s="29">
        <v>60</v>
      </c>
      <c r="K33" s="29">
        <v>80</v>
      </c>
      <c r="L33" s="31">
        <f t="shared" si="3"/>
        <v>-7.1428571428571423</v>
      </c>
    </row>
    <row r="34" spans="1:12" ht="21" x14ac:dyDescent="0.3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105</v>
      </c>
      <c r="K34" s="29">
        <v>120</v>
      </c>
      <c r="L34" s="31">
        <f t="shared" si="3"/>
        <v>-22.222222222222221</v>
      </c>
    </row>
    <row r="35" spans="1:12" ht="21" x14ac:dyDescent="0.3">
      <c r="A35" s="69" t="s">
        <v>109</v>
      </c>
      <c r="B35" s="6" t="s">
        <v>18</v>
      </c>
      <c r="C35" s="29">
        <v>18</v>
      </c>
      <c r="D35" s="29">
        <v>20</v>
      </c>
      <c r="E35" s="29">
        <v>20</v>
      </c>
      <c r="F35" s="29">
        <v>25</v>
      </c>
      <c r="G35" s="29">
        <v>20</v>
      </c>
      <c r="H35" s="29">
        <v>30</v>
      </c>
      <c r="I35" s="30">
        <f t="shared" si="2"/>
        <v>-24</v>
      </c>
      <c r="J35" s="29">
        <v>20</v>
      </c>
      <c r="K35" s="29">
        <v>30</v>
      </c>
      <c r="L35" s="31">
        <f t="shared" si="3"/>
        <v>-24</v>
      </c>
    </row>
    <row r="36" spans="1:12" ht="21" x14ac:dyDescent="0.3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" x14ac:dyDescent="0.3">
      <c r="A37" s="82" t="s">
        <v>110</v>
      </c>
      <c r="B37" s="6" t="s">
        <v>18</v>
      </c>
      <c r="C37" s="29">
        <v>30</v>
      </c>
      <c r="D37" s="29">
        <v>60</v>
      </c>
      <c r="E37" s="29">
        <v>45</v>
      </c>
      <c r="F37" s="29">
        <v>55</v>
      </c>
      <c r="G37" s="29">
        <v>45</v>
      </c>
      <c r="H37" s="29">
        <v>60</v>
      </c>
      <c r="I37" s="30">
        <f t="shared" ref="I37:I52" si="4">((C37+D37)/2-(G37+H37)/2)/((G37+H37)/2)*100</f>
        <v>-14.285714285714285</v>
      </c>
      <c r="J37" s="29">
        <v>40</v>
      </c>
      <c r="K37" s="29">
        <v>50</v>
      </c>
      <c r="L37" s="31">
        <f t="shared" ref="L37:L52" si="5">((C37+D37)/2-(J37+K37)/2)/((J37+K37)/2)*100</f>
        <v>0</v>
      </c>
    </row>
    <row r="38" spans="1:12" ht="21" x14ac:dyDescent="0.3">
      <c r="A38" s="69" t="s">
        <v>43</v>
      </c>
      <c r="B38" s="6" t="s">
        <v>18</v>
      </c>
      <c r="C38" s="29">
        <v>0</v>
      </c>
      <c r="D38" s="29">
        <v>0</v>
      </c>
      <c r="E38" s="29">
        <v>0</v>
      </c>
      <c r="F38" s="29">
        <v>0</v>
      </c>
      <c r="G38" s="29">
        <v>60</v>
      </c>
      <c r="H38" s="29">
        <v>80</v>
      </c>
      <c r="I38" s="30">
        <f t="shared" si="4"/>
        <v>-100</v>
      </c>
      <c r="J38" s="29">
        <v>0</v>
      </c>
      <c r="K38" s="29">
        <v>0</v>
      </c>
      <c r="L38" s="31" t="e">
        <f t="shared" si="5"/>
        <v>#DIV/0!</v>
      </c>
    </row>
    <row r="39" spans="1:12" ht="21" x14ac:dyDescent="0.3">
      <c r="A39" s="69" t="s">
        <v>44</v>
      </c>
      <c r="B39" s="6" t="s">
        <v>18</v>
      </c>
      <c r="C39" s="29">
        <v>80</v>
      </c>
      <c r="D39" s="29">
        <v>130</v>
      </c>
      <c r="E39" s="29">
        <v>80</v>
      </c>
      <c r="F39" s="29">
        <v>130</v>
      </c>
      <c r="G39" s="29">
        <v>80</v>
      </c>
      <c r="H39" s="29">
        <v>140</v>
      </c>
      <c r="I39" s="30">
        <f t="shared" si="4"/>
        <v>-4.5454545454545459</v>
      </c>
      <c r="J39" s="29">
        <v>100</v>
      </c>
      <c r="K39" s="29">
        <v>240</v>
      </c>
      <c r="L39" s="31">
        <f t="shared" si="5"/>
        <v>-38.235294117647058</v>
      </c>
    </row>
    <row r="40" spans="1:12" ht="21" x14ac:dyDescent="0.3">
      <c r="A40" s="69" t="s">
        <v>45</v>
      </c>
      <c r="B40" s="6" t="s">
        <v>18</v>
      </c>
      <c r="C40" s="29">
        <v>200</v>
      </c>
      <c r="D40" s="29">
        <v>245</v>
      </c>
      <c r="E40" s="29">
        <v>180</v>
      </c>
      <c r="F40" s="29">
        <v>220</v>
      </c>
      <c r="G40" s="29">
        <v>180</v>
      </c>
      <c r="H40" s="29">
        <v>200</v>
      </c>
      <c r="I40" s="30">
        <f t="shared" si="4"/>
        <v>17.105263157894736</v>
      </c>
      <c r="J40" s="29">
        <v>220</v>
      </c>
      <c r="K40" s="29">
        <v>240</v>
      </c>
      <c r="L40" s="31">
        <f t="shared" si="5"/>
        <v>-3.2608695652173911</v>
      </c>
    </row>
    <row r="41" spans="1:12" ht="21" x14ac:dyDescent="0.3">
      <c r="A41" s="69" t="s">
        <v>46</v>
      </c>
      <c r="B41" s="6" t="s">
        <v>18</v>
      </c>
      <c r="C41" s="29">
        <v>250</v>
      </c>
      <c r="D41" s="29">
        <v>300</v>
      </c>
      <c r="E41" s="29">
        <v>250</v>
      </c>
      <c r="F41" s="29">
        <v>300</v>
      </c>
      <c r="G41" s="29">
        <v>200</v>
      </c>
      <c r="H41" s="29">
        <v>320</v>
      </c>
      <c r="I41" s="30">
        <f t="shared" si="4"/>
        <v>5.7692307692307692</v>
      </c>
      <c r="J41" s="29">
        <v>250</v>
      </c>
      <c r="K41" s="29">
        <v>300</v>
      </c>
      <c r="L41" s="31">
        <f t="shared" si="5"/>
        <v>0</v>
      </c>
    </row>
    <row r="42" spans="1:12" ht="21" x14ac:dyDescent="0.3">
      <c r="A42" s="69" t="s">
        <v>47</v>
      </c>
      <c r="B42" s="6" t="s">
        <v>18</v>
      </c>
      <c r="C42" s="29">
        <v>320</v>
      </c>
      <c r="D42" s="29">
        <v>350</v>
      </c>
      <c r="E42" s="29">
        <v>320</v>
      </c>
      <c r="F42" s="29">
        <v>350</v>
      </c>
      <c r="G42" s="29">
        <v>300</v>
      </c>
      <c r="H42" s="29">
        <v>350</v>
      </c>
      <c r="I42" s="30">
        <f t="shared" si="4"/>
        <v>3.0769230769230771</v>
      </c>
      <c r="J42" s="29">
        <v>350</v>
      </c>
      <c r="K42" s="29">
        <v>430</v>
      </c>
      <c r="L42" s="31">
        <f t="shared" si="5"/>
        <v>-14.102564102564102</v>
      </c>
    </row>
    <row r="43" spans="1:12" ht="21" x14ac:dyDescent="0.3">
      <c r="A43" s="69" t="s">
        <v>48</v>
      </c>
      <c r="B43" s="6" t="s">
        <v>18</v>
      </c>
      <c r="C43" s="29">
        <v>300</v>
      </c>
      <c r="D43" s="29">
        <v>350</v>
      </c>
      <c r="E43" s="29">
        <v>300</v>
      </c>
      <c r="F43" s="29">
        <v>350</v>
      </c>
      <c r="G43" s="29">
        <v>300</v>
      </c>
      <c r="H43" s="29">
        <v>400</v>
      </c>
      <c r="I43" s="30">
        <f t="shared" si="4"/>
        <v>-7.1428571428571423</v>
      </c>
      <c r="J43" s="29">
        <v>320</v>
      </c>
      <c r="K43" s="29">
        <v>400</v>
      </c>
      <c r="L43" s="31">
        <f t="shared" si="5"/>
        <v>-9.7222222222222232</v>
      </c>
    </row>
    <row r="44" spans="1:12" ht="21" x14ac:dyDescent="0.3">
      <c r="A44" s="69" t="s">
        <v>49</v>
      </c>
      <c r="B44" s="6" t="s">
        <v>18</v>
      </c>
      <c r="C44" s="29">
        <v>250</v>
      </c>
      <c r="D44" s="29">
        <v>400</v>
      </c>
      <c r="E44" s="29">
        <v>250</v>
      </c>
      <c r="F44" s="29">
        <v>400</v>
      </c>
      <c r="G44" s="29">
        <v>280</v>
      </c>
      <c r="H44" s="29">
        <v>400</v>
      </c>
      <c r="I44" s="30">
        <f t="shared" si="4"/>
        <v>-4.4117647058823533</v>
      </c>
      <c r="J44" s="29">
        <v>250</v>
      </c>
      <c r="K44" s="29">
        <v>420</v>
      </c>
      <c r="L44" s="31">
        <f t="shared" si="5"/>
        <v>-2.9850746268656714</v>
      </c>
    </row>
    <row r="45" spans="1:12" ht="21" x14ac:dyDescent="0.3">
      <c r="A45" s="69" t="s">
        <v>50</v>
      </c>
      <c r="B45" s="6" t="s">
        <v>18</v>
      </c>
      <c r="C45" s="29">
        <v>100</v>
      </c>
      <c r="D45" s="29">
        <v>200</v>
      </c>
      <c r="E45" s="29">
        <v>140</v>
      </c>
      <c r="F45" s="29">
        <v>250</v>
      </c>
      <c r="G45" s="29">
        <v>140</v>
      </c>
      <c r="H45" s="29">
        <v>200</v>
      </c>
      <c r="I45" s="30">
        <f t="shared" si="4"/>
        <v>-11.76470588235294</v>
      </c>
      <c r="J45" s="29">
        <v>120</v>
      </c>
      <c r="K45" s="29">
        <v>250</v>
      </c>
      <c r="L45" s="31">
        <f t="shared" si="5"/>
        <v>-18.918918918918919</v>
      </c>
    </row>
    <row r="46" spans="1:12" ht="21" x14ac:dyDescent="0.3">
      <c r="A46" s="69" t="s">
        <v>51</v>
      </c>
      <c r="B46" s="6" t="s">
        <v>18</v>
      </c>
      <c r="C46" s="29">
        <v>150</v>
      </c>
      <c r="D46" s="29">
        <v>220</v>
      </c>
      <c r="E46" s="29">
        <v>150</v>
      </c>
      <c r="F46" s="29">
        <v>220</v>
      </c>
      <c r="G46" s="29">
        <v>140</v>
      </c>
      <c r="H46" s="29">
        <v>220</v>
      </c>
      <c r="I46" s="30">
        <f t="shared" si="4"/>
        <v>2.7777777777777777</v>
      </c>
      <c r="J46" s="29">
        <v>100</v>
      </c>
      <c r="K46" s="29">
        <v>220</v>
      </c>
      <c r="L46" s="31">
        <f t="shared" si="5"/>
        <v>15.625</v>
      </c>
    </row>
    <row r="47" spans="1:12" ht="21" x14ac:dyDescent="0.3">
      <c r="A47" s="69" t="s">
        <v>52</v>
      </c>
      <c r="B47" s="6" t="s">
        <v>18</v>
      </c>
      <c r="C47" s="29">
        <v>640</v>
      </c>
      <c r="D47" s="29">
        <v>700</v>
      </c>
      <c r="E47" s="29">
        <v>580</v>
      </c>
      <c r="F47" s="29">
        <v>700</v>
      </c>
      <c r="G47" s="29">
        <v>580</v>
      </c>
      <c r="H47" s="29">
        <v>720</v>
      </c>
      <c r="I47" s="30">
        <f t="shared" si="4"/>
        <v>3.0769230769230771</v>
      </c>
      <c r="J47" s="29">
        <v>650</v>
      </c>
      <c r="K47" s="29">
        <v>780</v>
      </c>
      <c r="L47" s="31">
        <f t="shared" si="5"/>
        <v>-6.2937062937062942</v>
      </c>
    </row>
    <row r="48" spans="1:12" ht="21" x14ac:dyDescent="0.3">
      <c r="A48" s="69" t="s">
        <v>53</v>
      </c>
      <c r="B48" s="6" t="s">
        <v>18</v>
      </c>
      <c r="C48" s="29">
        <v>450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-2.7777777777777777</v>
      </c>
      <c r="J48" s="29">
        <v>500</v>
      </c>
      <c r="K48" s="29">
        <v>550</v>
      </c>
      <c r="L48" s="31">
        <f t="shared" si="5"/>
        <v>0</v>
      </c>
    </row>
    <row r="49" spans="1:12" ht="21" x14ac:dyDescent="0.3">
      <c r="A49" s="69" t="s">
        <v>54</v>
      </c>
      <c r="B49" s="6" t="s">
        <v>18</v>
      </c>
      <c r="C49" s="29">
        <v>1200</v>
      </c>
      <c r="D49" s="29">
        <v>1600</v>
      </c>
      <c r="E49" s="29">
        <v>1350</v>
      </c>
      <c r="F49" s="29">
        <v>1600</v>
      </c>
      <c r="G49" s="29">
        <v>1300</v>
      </c>
      <c r="H49" s="29">
        <v>1600</v>
      </c>
      <c r="I49" s="30">
        <f t="shared" si="4"/>
        <v>-3.4482758620689653</v>
      </c>
      <c r="J49" s="29">
        <v>1400</v>
      </c>
      <c r="K49" s="29">
        <v>1600</v>
      </c>
      <c r="L49" s="31">
        <f t="shared" si="5"/>
        <v>-6.666666666666667</v>
      </c>
    </row>
    <row r="50" spans="1:12" ht="21" x14ac:dyDescent="0.3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4800</v>
      </c>
      <c r="K50" s="29">
        <v>5100</v>
      </c>
      <c r="L50" s="31">
        <f t="shared" si="5"/>
        <v>1.0101010101010102</v>
      </c>
    </row>
    <row r="51" spans="1:12" ht="21" x14ac:dyDescent="0.3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220</v>
      </c>
      <c r="K51" s="29">
        <v>280</v>
      </c>
      <c r="L51" s="31">
        <f t="shared" si="5"/>
        <v>-8</v>
      </c>
    </row>
    <row r="52" spans="1:12" ht="21" x14ac:dyDescent="0.3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240</v>
      </c>
      <c r="L52" s="31">
        <f t="shared" si="5"/>
        <v>0</v>
      </c>
    </row>
    <row r="53" spans="1:12" ht="21" x14ac:dyDescent="0.3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" x14ac:dyDescent="0.3">
      <c r="A54" s="69" t="s">
        <v>59</v>
      </c>
      <c r="B54" s="6" t="s">
        <v>18</v>
      </c>
      <c r="C54" s="29">
        <v>280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-2.666666666666667</v>
      </c>
      <c r="J54" s="29">
        <v>280</v>
      </c>
      <c r="K54" s="29">
        <v>450</v>
      </c>
      <c r="L54" s="31">
        <f t="shared" ref="L54:L59" si="7">((C54+D54)/2-(J54+K54)/2)/((J54+K54)/2)*100</f>
        <v>0</v>
      </c>
    </row>
    <row r="55" spans="1:12" ht="21" x14ac:dyDescent="0.3">
      <c r="A55" s="69" t="s">
        <v>60</v>
      </c>
      <c r="B55" s="6" t="s">
        <v>18</v>
      </c>
      <c r="C55" s="29">
        <v>800</v>
      </c>
      <c r="D55" s="29">
        <v>1800</v>
      </c>
      <c r="E55" s="29">
        <v>800</v>
      </c>
      <c r="F55" s="29">
        <v>1800</v>
      </c>
      <c r="G55" s="29">
        <v>1200</v>
      </c>
      <c r="H55" s="29">
        <v>2500</v>
      </c>
      <c r="I55" s="30">
        <f t="shared" si="6"/>
        <v>-29.72972972972973</v>
      </c>
      <c r="J55" s="29">
        <v>650</v>
      </c>
      <c r="K55" s="29">
        <v>1600</v>
      </c>
      <c r="L55" s="31">
        <f t="shared" si="7"/>
        <v>15.555555555555555</v>
      </c>
    </row>
    <row r="56" spans="1:12" ht="21" x14ac:dyDescent="0.3">
      <c r="A56" s="69" t="s">
        <v>88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" x14ac:dyDescent="0.3">
      <c r="A57" s="69" t="s">
        <v>89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1100</v>
      </c>
      <c r="K57" s="29">
        <v>1250</v>
      </c>
      <c r="L57" s="31">
        <f t="shared" si="7"/>
        <v>-6.3829787234042552</v>
      </c>
    </row>
    <row r="58" spans="1:12" ht="21" x14ac:dyDescent="0.3">
      <c r="A58" s="69" t="s">
        <v>61</v>
      </c>
      <c r="B58" s="6" t="s">
        <v>18</v>
      </c>
      <c r="C58" s="29">
        <v>180</v>
      </c>
      <c r="D58" s="29">
        <v>190</v>
      </c>
      <c r="E58" s="29">
        <v>165</v>
      </c>
      <c r="F58" s="29">
        <v>190</v>
      </c>
      <c r="G58" s="29">
        <v>170</v>
      </c>
      <c r="H58" s="29">
        <v>185</v>
      </c>
      <c r="I58" s="30">
        <f t="shared" si="6"/>
        <v>4.225352112676056</v>
      </c>
      <c r="J58" s="29">
        <v>190</v>
      </c>
      <c r="K58" s="29">
        <v>210</v>
      </c>
      <c r="L58" s="31">
        <f t="shared" si="7"/>
        <v>-7.5</v>
      </c>
    </row>
    <row r="59" spans="1:12" ht="21" x14ac:dyDescent="0.3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580</v>
      </c>
      <c r="L59" s="31">
        <f t="shared" si="7"/>
        <v>13.20754716981132</v>
      </c>
    </row>
    <row r="60" spans="1:12" ht="21" x14ac:dyDescent="0.3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 x14ac:dyDescent="0.3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830</v>
      </c>
      <c r="L61" s="31">
        <f>((C61+D61)/2-(J61+K61)/2)/((J61+K61)/2)*100</f>
        <v>0.63694267515923575</v>
      </c>
    </row>
    <row r="62" spans="1:12" ht="20.25" customHeight="1" x14ac:dyDescent="0.3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9.9378881987577632</v>
      </c>
    </row>
    <row r="63" spans="1:12" ht="22.5" customHeight="1" x14ac:dyDescent="0.3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 x14ac:dyDescent="0.3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840</v>
      </c>
      <c r="L64" s="31">
        <f>((C64+D64)/2-(J64+K64)/2)/((J64+K64)/2)*100</f>
        <v>6.7901234567901234</v>
      </c>
    </row>
    <row r="65" spans="1:12" ht="24" customHeight="1" x14ac:dyDescent="0.3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 x14ac:dyDescent="0.3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 x14ac:dyDescent="0.3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" x14ac:dyDescent="0.25">
      <c r="A68" s="69" t="s">
        <v>4</v>
      </c>
      <c r="B68" s="6" t="s">
        <v>5</v>
      </c>
      <c r="C68" s="85" t="s">
        <v>6</v>
      </c>
      <c r="D68" s="86"/>
      <c r="E68" s="85" t="s">
        <v>7</v>
      </c>
      <c r="F68" s="86"/>
      <c r="G68" s="85" t="s">
        <v>8</v>
      </c>
      <c r="H68" s="86"/>
      <c r="I68" s="26" t="s">
        <v>9</v>
      </c>
      <c r="J68" s="85" t="s">
        <v>10</v>
      </c>
      <c r="K68" s="86"/>
      <c r="L68" s="26" t="s">
        <v>11</v>
      </c>
    </row>
    <row r="69" spans="1:12" ht="18" customHeight="1" x14ac:dyDescent="0.25">
      <c r="A69" s="73"/>
      <c r="B69" s="64"/>
      <c r="C69" s="87">
        <v>46087</v>
      </c>
      <c r="D69" s="86"/>
      <c r="E69" s="87">
        <v>46080</v>
      </c>
      <c r="F69" s="86"/>
      <c r="G69" s="87">
        <v>46059</v>
      </c>
      <c r="H69" s="86"/>
      <c r="I69" s="26" t="s">
        <v>12</v>
      </c>
      <c r="J69" s="87">
        <v>45722</v>
      </c>
      <c r="K69" s="86"/>
      <c r="L69" s="26" t="s">
        <v>12</v>
      </c>
    </row>
    <row r="70" spans="1:12" ht="21" x14ac:dyDescent="0.2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 x14ac:dyDescent="0.3">
      <c r="A71" s="69" t="s">
        <v>70</v>
      </c>
      <c r="B71" s="6" t="s">
        <v>18</v>
      </c>
      <c r="C71" s="29">
        <v>100</v>
      </c>
      <c r="D71" s="29">
        <v>105</v>
      </c>
      <c r="E71" s="29">
        <v>98</v>
      </c>
      <c r="F71" s="29">
        <v>105</v>
      </c>
      <c r="G71" s="29">
        <v>98</v>
      </c>
      <c r="H71" s="29">
        <v>105</v>
      </c>
      <c r="I71" s="30">
        <f>((C71+D71)/2-(G71+H71)/2)/((G71+H71)/2)*100</f>
        <v>0.98522167487684731</v>
      </c>
      <c r="J71" s="29">
        <v>118</v>
      </c>
      <c r="K71" s="29">
        <v>125</v>
      </c>
      <c r="L71" s="31">
        <f t="shared" ref="L71:L81" si="8">((C71+D71)/2-(J71+K71)/2)/((J71+K71)/2)*100</f>
        <v>-15.637860082304528</v>
      </c>
    </row>
    <row r="72" spans="1:12" ht="21" x14ac:dyDescent="0.3">
      <c r="A72" s="69" t="s">
        <v>71</v>
      </c>
      <c r="B72" s="66" t="s">
        <v>18</v>
      </c>
      <c r="C72" s="29">
        <v>300</v>
      </c>
      <c r="D72" s="29">
        <v>500</v>
      </c>
      <c r="E72" s="29">
        <v>300</v>
      </c>
      <c r="F72" s="29">
        <v>500</v>
      </c>
      <c r="G72" s="29">
        <v>180</v>
      </c>
      <c r="H72" s="29">
        <v>550</v>
      </c>
      <c r="I72" s="30">
        <f t="shared" ref="I72:I81" si="9">((C72+D72)/2-(G72+H72)/2)/((G72+H72)/2)*100</f>
        <v>9.5890410958904102</v>
      </c>
      <c r="J72" s="29">
        <v>220</v>
      </c>
      <c r="K72" s="29">
        <v>550</v>
      </c>
      <c r="L72" s="31">
        <f t="shared" si="8"/>
        <v>3.8961038961038961</v>
      </c>
    </row>
    <row r="73" spans="1:12" ht="21" x14ac:dyDescent="0.3">
      <c r="A73" s="69" t="s">
        <v>102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21" x14ac:dyDescent="0.3">
      <c r="A74" s="69" t="s">
        <v>115</v>
      </c>
      <c r="B74" s="66" t="s">
        <v>73</v>
      </c>
      <c r="C74" s="29">
        <v>30</v>
      </c>
      <c r="D74" s="29">
        <v>70</v>
      </c>
      <c r="E74" s="29">
        <v>30</v>
      </c>
      <c r="F74" s="29">
        <v>80</v>
      </c>
      <c r="G74" s="37">
        <v>0</v>
      </c>
      <c r="H74" s="37">
        <v>0</v>
      </c>
      <c r="I74" s="30" t="e">
        <f t="shared" si="9"/>
        <v>#DIV/0!</v>
      </c>
      <c r="J74" s="29">
        <v>0</v>
      </c>
      <c r="K74" s="29">
        <v>0</v>
      </c>
      <c r="L74" s="31" t="e">
        <f>((C74+D74)/2-(J74+K74)/2)/((J74+K74)/2)*100</f>
        <v>#DIV/0!</v>
      </c>
    </row>
    <row r="75" spans="1:12" ht="21" x14ac:dyDescent="0.3">
      <c r="A75" s="69" t="s">
        <v>116</v>
      </c>
      <c r="B75" s="66" t="s">
        <v>18</v>
      </c>
      <c r="C75" s="29">
        <v>80</v>
      </c>
      <c r="D75" s="29">
        <v>140</v>
      </c>
      <c r="E75" s="29">
        <v>70</v>
      </c>
      <c r="F75" s="29">
        <v>160</v>
      </c>
      <c r="G75" s="37">
        <v>80</v>
      </c>
      <c r="H75" s="37">
        <v>120</v>
      </c>
      <c r="I75" s="30">
        <f t="shared" si="9"/>
        <v>10</v>
      </c>
      <c r="J75" s="29">
        <v>40</v>
      </c>
      <c r="K75" s="29">
        <v>120</v>
      </c>
      <c r="L75" s="31">
        <f t="shared" si="8"/>
        <v>37.5</v>
      </c>
    </row>
    <row r="76" spans="1:12" ht="21" x14ac:dyDescent="0.3">
      <c r="A76" s="69" t="s">
        <v>117</v>
      </c>
      <c r="B76" s="66" t="s">
        <v>18</v>
      </c>
      <c r="C76" s="29">
        <v>60</v>
      </c>
      <c r="D76" s="29">
        <v>90</v>
      </c>
      <c r="E76" s="29">
        <v>60</v>
      </c>
      <c r="F76" s="29">
        <v>100</v>
      </c>
      <c r="G76" s="29">
        <v>40</v>
      </c>
      <c r="H76" s="29">
        <v>80</v>
      </c>
      <c r="I76" s="30">
        <f t="shared" si="9"/>
        <v>25</v>
      </c>
      <c r="J76" s="29">
        <v>70</v>
      </c>
      <c r="K76" s="29">
        <v>120</v>
      </c>
      <c r="L76" s="31">
        <f t="shared" si="8"/>
        <v>-21.052631578947366</v>
      </c>
    </row>
    <row r="77" spans="1:12" ht="21" x14ac:dyDescent="0.3">
      <c r="A77" s="69" t="s">
        <v>118</v>
      </c>
      <c r="B77" s="66" t="s">
        <v>18</v>
      </c>
      <c r="C77" s="29">
        <v>40</v>
      </c>
      <c r="D77" s="29">
        <v>90</v>
      </c>
      <c r="E77" s="29">
        <v>60</v>
      </c>
      <c r="F77" s="29">
        <v>80</v>
      </c>
      <c r="G77" s="29">
        <v>60</v>
      </c>
      <c r="H77" s="37">
        <v>120</v>
      </c>
      <c r="I77" s="30">
        <f t="shared" si="9"/>
        <v>-27.777777777777779</v>
      </c>
      <c r="J77" s="29">
        <v>40</v>
      </c>
      <c r="K77" s="29">
        <v>100</v>
      </c>
      <c r="L77" s="31">
        <f t="shared" si="8"/>
        <v>-7.1428571428571423</v>
      </c>
    </row>
    <row r="78" spans="1:12" ht="18.75" customHeight="1" x14ac:dyDescent="0.3">
      <c r="A78" s="69" t="s">
        <v>72</v>
      </c>
      <c r="B78" s="6" t="s">
        <v>73</v>
      </c>
      <c r="C78" s="37">
        <v>32</v>
      </c>
      <c r="D78" s="37">
        <v>40</v>
      </c>
      <c r="E78" s="37">
        <v>32</v>
      </c>
      <c r="F78" s="37">
        <v>40</v>
      </c>
      <c r="G78" s="37">
        <v>34</v>
      </c>
      <c r="H78" s="37">
        <v>40</v>
      </c>
      <c r="I78" s="30">
        <f t="shared" si="9"/>
        <v>-2.7027027027027026</v>
      </c>
      <c r="J78" s="37">
        <v>40</v>
      </c>
      <c r="K78" s="37">
        <v>45</v>
      </c>
      <c r="L78" s="31">
        <f t="shared" si="8"/>
        <v>-15.294117647058824</v>
      </c>
    </row>
    <row r="79" spans="1:12" ht="21" x14ac:dyDescent="0.3">
      <c r="A79" s="69" t="s">
        <v>74</v>
      </c>
      <c r="B79" s="6" t="s">
        <v>75</v>
      </c>
      <c r="C79" s="37">
        <v>34</v>
      </c>
      <c r="D79" s="37">
        <v>40</v>
      </c>
      <c r="E79" s="37">
        <v>34</v>
      </c>
      <c r="F79" s="37">
        <v>40</v>
      </c>
      <c r="G79" s="37">
        <v>34</v>
      </c>
      <c r="H79" s="37">
        <v>40</v>
      </c>
      <c r="I79" s="30">
        <f t="shared" si="9"/>
        <v>0</v>
      </c>
      <c r="J79" s="37">
        <v>30</v>
      </c>
      <c r="K79" s="37">
        <v>40</v>
      </c>
      <c r="L79" s="31">
        <f t="shared" si="8"/>
        <v>5.7142857142857144</v>
      </c>
    </row>
    <row r="80" spans="1:12" ht="21" x14ac:dyDescent="0.3">
      <c r="A80" s="69" t="s">
        <v>76</v>
      </c>
      <c r="B80" s="6" t="s">
        <v>77</v>
      </c>
      <c r="C80" s="29">
        <v>80500</v>
      </c>
      <c r="D80" s="29">
        <v>85000</v>
      </c>
      <c r="E80" s="29">
        <v>80500</v>
      </c>
      <c r="F80" s="29">
        <v>85000</v>
      </c>
      <c r="G80" s="29">
        <v>80500</v>
      </c>
      <c r="H80" s="29">
        <v>85000</v>
      </c>
      <c r="I80" s="30">
        <f t="shared" si="9"/>
        <v>0</v>
      </c>
      <c r="J80" s="29">
        <v>91000</v>
      </c>
      <c r="K80" s="29">
        <v>95000</v>
      </c>
      <c r="L80" s="31">
        <f t="shared" si="8"/>
        <v>-11.021505376344086</v>
      </c>
    </row>
    <row r="81" spans="1:12" ht="21" x14ac:dyDescent="0.3">
      <c r="A81" s="69" t="s">
        <v>78</v>
      </c>
      <c r="B81" s="6" t="s">
        <v>77</v>
      </c>
      <c r="C81" s="29">
        <v>75000</v>
      </c>
      <c r="D81" s="37">
        <v>79000</v>
      </c>
      <c r="E81" s="29">
        <v>75000</v>
      </c>
      <c r="F81" s="37">
        <v>79000</v>
      </c>
      <c r="G81" s="29">
        <v>75000</v>
      </c>
      <c r="H81" s="37">
        <v>79000</v>
      </c>
      <c r="I81" s="30">
        <f t="shared" si="9"/>
        <v>0</v>
      </c>
      <c r="J81" s="29">
        <v>86000</v>
      </c>
      <c r="K81" s="37">
        <v>88000</v>
      </c>
      <c r="L81" s="31">
        <f t="shared" si="8"/>
        <v>-11.494252873563218</v>
      </c>
    </row>
    <row r="82" spans="1:12" ht="23.25" customHeight="1" x14ac:dyDescent="0.25">
      <c r="A82" s="88" t="s">
        <v>128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</row>
    <row r="83" spans="1:12" ht="21" x14ac:dyDescent="0.25">
      <c r="A83" s="15"/>
      <c r="B83" s="4" t="s">
        <v>103</v>
      </c>
      <c r="C83" s="2"/>
      <c r="D83" s="2"/>
      <c r="E83" s="2"/>
      <c r="F83" s="2"/>
      <c r="G83" s="2"/>
      <c r="H83" s="3"/>
      <c r="I83" s="3"/>
      <c r="J83" s="3"/>
      <c r="K83" s="3"/>
      <c r="L83" s="8"/>
    </row>
    <row r="84" spans="1:12" ht="21" x14ac:dyDescent="0.25">
      <c r="A84" s="16"/>
      <c r="B84" s="1" t="s">
        <v>135</v>
      </c>
      <c r="C84" s="2"/>
      <c r="D84" s="2"/>
      <c r="E84" s="2"/>
      <c r="F84" s="2"/>
      <c r="G84" s="2"/>
      <c r="H84" s="3"/>
      <c r="I84" s="3"/>
      <c r="J84" s="3"/>
      <c r="K84" s="3"/>
      <c r="L84" s="8"/>
    </row>
    <row r="85" spans="1:12" ht="21" x14ac:dyDescent="0.25">
      <c r="A85" s="16"/>
      <c r="B85" s="1" t="s">
        <v>134</v>
      </c>
      <c r="C85" s="2"/>
      <c r="D85" s="2"/>
      <c r="E85" s="2"/>
      <c r="F85" s="2"/>
      <c r="G85" s="2"/>
      <c r="H85" s="3"/>
      <c r="I85" s="3"/>
      <c r="J85" s="3"/>
      <c r="K85" s="3"/>
      <c r="L85" s="8"/>
    </row>
    <row r="86" spans="1:12" ht="21" x14ac:dyDescent="0.25">
      <c r="A86" s="16"/>
      <c r="B86" s="1" t="s">
        <v>108</v>
      </c>
      <c r="C86" s="2"/>
      <c r="D86" s="2"/>
      <c r="E86" s="2"/>
      <c r="F86" s="2"/>
      <c r="G86" s="3"/>
      <c r="H86" s="3"/>
      <c r="I86" s="3"/>
      <c r="J86" s="3"/>
      <c r="K86" s="2"/>
      <c r="L86" s="8"/>
    </row>
    <row r="87" spans="1:12" ht="21" x14ac:dyDescent="0.25">
      <c r="A87" s="44" t="s">
        <v>79</v>
      </c>
      <c r="B87" s="45"/>
      <c r="C87" s="46"/>
      <c r="D87" s="46"/>
      <c r="E87" s="46"/>
      <c r="F87" s="46"/>
      <c r="G87" s="47"/>
      <c r="H87" s="47"/>
      <c r="I87" s="46"/>
      <c r="J87" s="46"/>
      <c r="K87" s="46"/>
      <c r="L87" s="8"/>
    </row>
    <row r="88" spans="1:12" ht="21" x14ac:dyDescent="0.25">
      <c r="A88" s="5" t="s">
        <v>80</v>
      </c>
      <c r="B88" s="6" t="s">
        <v>81</v>
      </c>
      <c r="C88" s="90" t="s">
        <v>6</v>
      </c>
      <c r="D88" s="91"/>
      <c r="E88" s="92" t="s">
        <v>82</v>
      </c>
      <c r="F88" s="93"/>
      <c r="G88" s="77" t="s">
        <v>12</v>
      </c>
      <c r="H88" s="90" t="s">
        <v>83</v>
      </c>
      <c r="I88" s="94"/>
      <c r="J88" s="91"/>
      <c r="K88" s="50"/>
      <c r="L88" s="17"/>
    </row>
    <row r="89" spans="1:12" ht="21" x14ac:dyDescent="0.3">
      <c r="A89" s="69" t="s">
        <v>99</v>
      </c>
      <c r="B89" s="6" t="s">
        <v>18</v>
      </c>
      <c r="C89" s="29">
        <v>55</v>
      </c>
      <c r="D89" s="29">
        <v>68</v>
      </c>
      <c r="E89" s="29">
        <v>58</v>
      </c>
      <c r="F89" s="29">
        <v>68</v>
      </c>
      <c r="G89" s="7">
        <f t="shared" ref="G89:G91" si="10">((C89+D89)/2-(E89+F89)/2)/((E89+F89)/2)*100</f>
        <v>-2.3809523809523809</v>
      </c>
      <c r="H89" s="5" t="s">
        <v>126</v>
      </c>
      <c r="I89" s="6"/>
      <c r="J89" s="6"/>
      <c r="K89" s="50"/>
      <c r="L89" s="17"/>
    </row>
    <row r="90" spans="1:12" ht="21" x14ac:dyDescent="0.3">
      <c r="A90" s="69" t="s">
        <v>25</v>
      </c>
      <c r="B90" s="6" t="s">
        <v>23</v>
      </c>
      <c r="C90" s="29">
        <v>60</v>
      </c>
      <c r="D90" s="29">
        <v>75</v>
      </c>
      <c r="E90" s="29">
        <v>65</v>
      </c>
      <c r="F90" s="29">
        <v>75</v>
      </c>
      <c r="G90" s="7">
        <f t="shared" si="10"/>
        <v>-3.5714285714285712</v>
      </c>
      <c r="H90" s="5" t="s">
        <v>126</v>
      </c>
      <c r="I90" s="6"/>
      <c r="J90" s="6"/>
      <c r="K90" s="50"/>
      <c r="L90" s="17"/>
    </row>
    <row r="91" spans="1:12" ht="21" x14ac:dyDescent="0.3">
      <c r="A91" s="69" t="s">
        <v>27</v>
      </c>
      <c r="B91" s="6" t="s">
        <v>28</v>
      </c>
      <c r="C91" s="29">
        <v>175</v>
      </c>
      <c r="D91" s="29">
        <v>186</v>
      </c>
      <c r="E91" s="29">
        <v>175</v>
      </c>
      <c r="F91" s="29">
        <v>185</v>
      </c>
      <c r="G91" s="7">
        <f t="shared" si="10"/>
        <v>0.27777777777777779</v>
      </c>
      <c r="H91" s="5" t="s">
        <v>127</v>
      </c>
      <c r="I91" s="6"/>
      <c r="J91" s="6"/>
      <c r="K91" s="50"/>
      <c r="L91" s="17"/>
    </row>
    <row r="92" spans="1:12" ht="21" x14ac:dyDescent="0.3">
      <c r="A92" s="69" t="s">
        <v>37</v>
      </c>
      <c r="B92" s="6" t="s">
        <v>18</v>
      </c>
      <c r="C92" s="29">
        <v>80</v>
      </c>
      <c r="D92" s="29">
        <v>105</v>
      </c>
      <c r="E92" s="29">
        <v>85</v>
      </c>
      <c r="F92" s="29">
        <v>105</v>
      </c>
      <c r="G92" s="7">
        <f t="shared" ref="G92:G94" si="11">((C92+D92)/2-(E92+F92)/2)/((E92+F92)/2)*100</f>
        <v>-2.6315789473684208</v>
      </c>
      <c r="H92" s="5" t="s">
        <v>126</v>
      </c>
      <c r="I92" s="6"/>
      <c r="J92" s="6"/>
      <c r="K92" s="50"/>
      <c r="L92" s="17"/>
    </row>
    <row r="93" spans="1:12" ht="21" x14ac:dyDescent="0.3">
      <c r="A93" s="69" t="s">
        <v>109</v>
      </c>
      <c r="B93" s="6" t="s">
        <v>18</v>
      </c>
      <c r="C93" s="29">
        <v>18</v>
      </c>
      <c r="D93" s="29">
        <v>20</v>
      </c>
      <c r="E93" s="29">
        <v>20</v>
      </c>
      <c r="F93" s="29">
        <v>25</v>
      </c>
      <c r="G93" s="7">
        <f t="shared" si="11"/>
        <v>-15.555555555555555</v>
      </c>
      <c r="H93" s="5" t="s">
        <v>130</v>
      </c>
      <c r="I93" s="6"/>
      <c r="J93" s="6"/>
      <c r="K93" s="50"/>
      <c r="L93" s="17"/>
    </row>
    <row r="94" spans="1:12" ht="21" x14ac:dyDescent="0.3">
      <c r="A94" s="82" t="s">
        <v>110</v>
      </c>
      <c r="B94" s="6" t="s">
        <v>18</v>
      </c>
      <c r="C94" s="29">
        <v>30</v>
      </c>
      <c r="D94" s="29">
        <v>60</v>
      </c>
      <c r="E94" s="29">
        <v>45</v>
      </c>
      <c r="F94" s="29">
        <v>55</v>
      </c>
      <c r="G94" s="7">
        <f t="shared" si="11"/>
        <v>-10</v>
      </c>
      <c r="H94" s="5" t="s">
        <v>130</v>
      </c>
      <c r="I94" s="6"/>
      <c r="J94" s="6"/>
      <c r="K94" s="50"/>
      <c r="L94" s="17"/>
    </row>
    <row r="95" spans="1:12" ht="23.25" x14ac:dyDescent="0.3">
      <c r="A95" s="69" t="s">
        <v>45</v>
      </c>
      <c r="B95" s="6" t="s">
        <v>18</v>
      </c>
      <c r="C95" s="29">
        <v>200</v>
      </c>
      <c r="D95" s="29">
        <v>245</v>
      </c>
      <c r="E95" s="29">
        <v>180</v>
      </c>
      <c r="F95" s="29">
        <v>220</v>
      </c>
      <c r="G95" s="7">
        <f>((C95+D95)/2-(E95+F95)/2)/((E95+F95)/2)*100</f>
        <v>11.25</v>
      </c>
      <c r="H95" s="5" t="s">
        <v>139</v>
      </c>
      <c r="I95" s="6"/>
      <c r="J95" s="6"/>
      <c r="K95" s="40"/>
      <c r="L95" s="11"/>
    </row>
    <row r="96" spans="1:12" ht="23.25" x14ac:dyDescent="0.3">
      <c r="A96" s="69" t="s">
        <v>50</v>
      </c>
      <c r="B96" s="6" t="s">
        <v>18</v>
      </c>
      <c r="C96" s="29">
        <v>100</v>
      </c>
      <c r="D96" s="29">
        <v>200</v>
      </c>
      <c r="E96" s="29">
        <v>140</v>
      </c>
      <c r="F96" s="29">
        <v>250</v>
      </c>
      <c r="G96" s="7">
        <f t="shared" ref="G96:G100" si="12">((C96+D96)/2-(E96+F96)/2)/((E96+F96)/2)*100</f>
        <v>-23.076923076923077</v>
      </c>
      <c r="H96" s="5" t="s">
        <v>130</v>
      </c>
      <c r="I96" s="6"/>
      <c r="J96" s="6"/>
      <c r="K96" s="40"/>
      <c r="L96" s="11"/>
    </row>
    <row r="97" spans="1:12" ht="23.25" x14ac:dyDescent="0.3">
      <c r="A97" s="69" t="s">
        <v>52</v>
      </c>
      <c r="B97" s="6" t="s">
        <v>18</v>
      </c>
      <c r="C97" s="29">
        <v>640</v>
      </c>
      <c r="D97" s="29">
        <v>700</v>
      </c>
      <c r="E97" s="29">
        <v>580</v>
      </c>
      <c r="F97" s="29">
        <v>700</v>
      </c>
      <c r="G97" s="7">
        <f>((C97+D97)/2-(E97+F97)/2)/((E97+F97)/2)*100</f>
        <v>4.6875</v>
      </c>
      <c r="H97" s="5" t="s">
        <v>139</v>
      </c>
      <c r="I97" s="6"/>
      <c r="J97" s="6"/>
      <c r="K97" s="40"/>
      <c r="L97" s="11"/>
    </row>
    <row r="98" spans="1:12" ht="23.25" x14ac:dyDescent="0.3">
      <c r="A98" s="69" t="s">
        <v>53</v>
      </c>
      <c r="B98" s="6" t="s">
        <v>18</v>
      </c>
      <c r="C98" s="29">
        <v>450</v>
      </c>
      <c r="D98" s="29">
        <v>600</v>
      </c>
      <c r="E98" s="29">
        <v>480</v>
      </c>
      <c r="F98" s="29">
        <v>600</v>
      </c>
      <c r="G98" s="7">
        <f t="shared" si="12"/>
        <v>-2.7777777777777777</v>
      </c>
      <c r="H98" s="5" t="s">
        <v>130</v>
      </c>
      <c r="I98" s="6"/>
      <c r="J98" s="6"/>
      <c r="K98" s="40"/>
      <c r="L98" s="11"/>
    </row>
    <row r="99" spans="1:12" ht="23.25" x14ac:dyDescent="0.3">
      <c r="A99" s="69" t="s">
        <v>54</v>
      </c>
      <c r="B99" s="6" t="s">
        <v>18</v>
      </c>
      <c r="C99" s="29">
        <v>1200</v>
      </c>
      <c r="D99" s="29">
        <v>1600</v>
      </c>
      <c r="E99" s="29">
        <v>1350</v>
      </c>
      <c r="F99" s="29">
        <v>1600</v>
      </c>
      <c r="G99" s="7">
        <f t="shared" si="12"/>
        <v>-5.0847457627118651</v>
      </c>
      <c r="H99" s="5" t="s">
        <v>130</v>
      </c>
      <c r="I99" s="6"/>
      <c r="J99" s="6"/>
      <c r="K99" s="40"/>
      <c r="L99" s="11"/>
    </row>
    <row r="100" spans="1:12" ht="23.25" x14ac:dyDescent="0.3">
      <c r="A100" s="69" t="s">
        <v>61</v>
      </c>
      <c r="B100" s="6" t="s">
        <v>18</v>
      </c>
      <c r="C100" s="29">
        <v>180</v>
      </c>
      <c r="D100" s="29">
        <v>190</v>
      </c>
      <c r="E100" s="29">
        <v>165</v>
      </c>
      <c r="F100" s="29">
        <v>190</v>
      </c>
      <c r="G100" s="7">
        <f t="shared" si="12"/>
        <v>4.225352112676056</v>
      </c>
      <c r="H100" s="5" t="s">
        <v>131</v>
      </c>
      <c r="I100" s="6"/>
      <c r="J100" s="6"/>
      <c r="K100" s="40"/>
      <c r="L100" s="11"/>
    </row>
    <row r="101" spans="1:12" ht="23.25" x14ac:dyDescent="0.3">
      <c r="A101" s="69" t="s">
        <v>115</v>
      </c>
      <c r="B101" s="66" t="s">
        <v>73</v>
      </c>
      <c r="C101" s="29">
        <v>30</v>
      </c>
      <c r="D101" s="29">
        <v>70</v>
      </c>
      <c r="E101" s="29">
        <v>30</v>
      </c>
      <c r="F101" s="29">
        <v>80</v>
      </c>
      <c r="G101" s="7">
        <f>((C101+D101)/2-(E101+F101)/2)/((E101+F101)/2)*100</f>
        <v>-9.0909090909090917</v>
      </c>
      <c r="H101" s="5" t="s">
        <v>129</v>
      </c>
      <c r="I101" s="6"/>
      <c r="J101" s="6"/>
      <c r="K101" s="40"/>
      <c r="L101" s="11"/>
    </row>
    <row r="102" spans="1:12" ht="23.25" x14ac:dyDescent="0.3">
      <c r="A102" s="69" t="s">
        <v>116</v>
      </c>
      <c r="B102" s="66" t="s">
        <v>18</v>
      </c>
      <c r="C102" s="29">
        <v>80</v>
      </c>
      <c r="D102" s="29">
        <v>140</v>
      </c>
      <c r="E102" s="29">
        <v>70</v>
      </c>
      <c r="F102" s="29">
        <v>160</v>
      </c>
      <c r="G102" s="7">
        <f>((C102+D102)/2-(E102+F102)/2)/((E102+F102)/2)*100</f>
        <v>-4.3478260869565215</v>
      </c>
      <c r="H102" s="5" t="s">
        <v>133</v>
      </c>
      <c r="I102" s="6"/>
      <c r="J102" s="6"/>
      <c r="K102" s="40"/>
      <c r="L102" s="11"/>
    </row>
    <row r="103" spans="1:12" ht="23.25" x14ac:dyDescent="0.3">
      <c r="A103" s="69" t="s">
        <v>117</v>
      </c>
      <c r="B103" s="66" t="s">
        <v>18</v>
      </c>
      <c r="C103" s="29">
        <v>60</v>
      </c>
      <c r="D103" s="29">
        <v>90</v>
      </c>
      <c r="E103" s="29">
        <v>60</v>
      </c>
      <c r="F103" s="29">
        <v>100</v>
      </c>
      <c r="G103" s="7">
        <f>((C103+D103)/2-(E103+F103)/2)/((E103+F103)/2)*100</f>
        <v>-6.25</v>
      </c>
      <c r="H103" s="5" t="s">
        <v>124</v>
      </c>
      <c r="I103" s="6"/>
      <c r="J103" s="6"/>
      <c r="K103" s="40"/>
      <c r="L103" s="11"/>
    </row>
    <row r="104" spans="1:12" ht="23.25" x14ac:dyDescent="0.3">
      <c r="A104" s="69" t="s">
        <v>118</v>
      </c>
      <c r="B104" s="66" t="s">
        <v>18</v>
      </c>
      <c r="C104" s="29">
        <v>40</v>
      </c>
      <c r="D104" s="29">
        <v>90</v>
      </c>
      <c r="E104" s="29">
        <v>60</v>
      </c>
      <c r="F104" s="29">
        <v>80</v>
      </c>
      <c r="G104" s="7">
        <f>((C104+D104)/2-(E104+F104)/2)/((E104+F104)/2)*100</f>
        <v>-7.1428571428571423</v>
      </c>
      <c r="H104" s="5" t="s">
        <v>129</v>
      </c>
      <c r="I104" s="6"/>
      <c r="J104" s="6"/>
      <c r="K104" s="40"/>
      <c r="L104" s="11"/>
    </row>
    <row r="105" spans="1:12" ht="23.25" x14ac:dyDescent="0.3">
      <c r="A105" s="69" t="s">
        <v>70</v>
      </c>
      <c r="B105" s="6" t="s">
        <v>18</v>
      </c>
      <c r="C105" s="29">
        <v>100</v>
      </c>
      <c r="D105" s="29">
        <v>105</v>
      </c>
      <c r="E105" s="29">
        <v>98</v>
      </c>
      <c r="F105" s="29">
        <v>105</v>
      </c>
      <c r="G105" s="7">
        <f>((C105+D105)/2-(E105+F105)/2)/((E105+F105)/2)*100</f>
        <v>0.98522167487684731</v>
      </c>
      <c r="H105" s="5" t="s">
        <v>132</v>
      </c>
      <c r="I105" s="6"/>
      <c r="J105" s="6"/>
      <c r="K105" s="40"/>
      <c r="L105" s="11"/>
    </row>
    <row r="106" spans="1:12" ht="23.25" x14ac:dyDescent="0.3">
      <c r="A106" s="83"/>
      <c r="B106" s="84"/>
      <c r="C106" s="78"/>
      <c r="D106" s="78"/>
      <c r="E106" s="78"/>
      <c r="F106" s="78"/>
      <c r="G106" s="38"/>
      <c r="H106" s="39"/>
      <c r="I106" s="40"/>
      <c r="J106" s="40"/>
      <c r="K106" s="40"/>
      <c r="L106" s="11"/>
    </row>
    <row r="107" spans="1:12" ht="23.25" x14ac:dyDescent="0.3">
      <c r="A107" s="1"/>
      <c r="C107" s="14"/>
      <c r="D107" s="14"/>
      <c r="E107" s="13"/>
      <c r="F107" s="14"/>
      <c r="G107" s="38"/>
      <c r="H107" s="39"/>
      <c r="I107" s="40"/>
      <c r="J107" s="40"/>
      <c r="K107" s="40"/>
      <c r="L107" s="11"/>
    </row>
    <row r="108" spans="1:12" ht="23.25" x14ac:dyDescent="0.3">
      <c r="A108" s="41"/>
      <c r="B108" s="42" t="s">
        <v>122</v>
      </c>
      <c r="C108" s="10"/>
      <c r="E108" s="41"/>
      <c r="F108" s="42" t="s">
        <v>111</v>
      </c>
      <c r="G108" s="10"/>
      <c r="I108" s="12"/>
      <c r="J108" s="13" t="s">
        <v>113</v>
      </c>
      <c r="K108" s="10"/>
    </row>
    <row r="109" spans="1:12" ht="23.25" x14ac:dyDescent="0.3">
      <c r="A109" s="43"/>
      <c r="B109" s="42" t="s">
        <v>123</v>
      </c>
      <c r="C109" s="13"/>
      <c r="E109" s="43"/>
      <c r="F109" s="42" t="s">
        <v>112</v>
      </c>
      <c r="G109" s="13"/>
      <c r="I109" s="76"/>
      <c r="J109" s="13" t="s">
        <v>114</v>
      </c>
    </row>
    <row r="110" spans="1:12" ht="23.25" x14ac:dyDescent="0.3">
      <c r="A110" s="1"/>
      <c r="B110" s="13"/>
      <c r="C110" s="14"/>
      <c r="D110" s="13"/>
      <c r="E110" s="14"/>
      <c r="F110" s="44"/>
      <c r="G110" s="46"/>
      <c r="H110" s="46"/>
      <c r="I110" s="45"/>
      <c r="J110" s="10"/>
      <c r="K110" s="10"/>
      <c r="L110" s="2"/>
    </row>
    <row r="111" spans="1:12" ht="18.75" x14ac:dyDescent="0.25">
      <c r="A111" s="55" t="s">
        <v>90</v>
      </c>
      <c r="B111" s="53"/>
      <c r="C111" s="51"/>
      <c r="D111" s="53"/>
      <c r="E111" s="51"/>
      <c r="F111" s="51"/>
      <c r="G111" s="51"/>
      <c r="H111" s="52"/>
      <c r="I111" s="57"/>
      <c r="J111" s="2"/>
      <c r="K111" s="2"/>
      <c r="L111" s="2"/>
    </row>
    <row r="112" spans="1:12" ht="18.75" x14ac:dyDescent="0.25">
      <c r="A112" s="54" t="s">
        <v>94</v>
      </c>
      <c r="B112" s="53"/>
      <c r="C112" s="51"/>
      <c r="D112" s="53"/>
      <c r="E112" s="51"/>
      <c r="F112" s="51"/>
      <c r="G112" s="53"/>
      <c r="H112" s="52"/>
      <c r="I112" s="57"/>
      <c r="J112" s="2"/>
      <c r="K112" s="2"/>
      <c r="L112" s="2"/>
    </row>
    <row r="113" spans="1:12" ht="18.75" x14ac:dyDescent="0.25">
      <c r="A113" s="54" t="s">
        <v>120</v>
      </c>
      <c r="B113" s="53"/>
      <c r="C113" s="53"/>
      <c r="D113" s="53"/>
      <c r="E113" s="53"/>
      <c r="F113" s="51"/>
      <c r="G113" s="53"/>
      <c r="H113" s="52"/>
      <c r="I113" s="57"/>
      <c r="J113" s="2"/>
      <c r="K113" s="2"/>
      <c r="L113" s="2"/>
    </row>
    <row r="114" spans="1:12" ht="18.75" x14ac:dyDescent="0.25">
      <c r="A114" s="54" t="s">
        <v>84</v>
      </c>
      <c r="B114" s="53"/>
      <c r="C114" s="53"/>
      <c r="D114" s="53"/>
      <c r="E114" s="53"/>
      <c r="F114" s="52"/>
      <c r="G114" s="52"/>
      <c r="H114" s="52"/>
      <c r="I114" s="57"/>
      <c r="J114" s="2"/>
      <c r="K114" s="2"/>
      <c r="L114" s="2"/>
    </row>
    <row r="115" spans="1:12" ht="18.75" x14ac:dyDescent="0.25">
      <c r="A115" s="54" t="s">
        <v>121</v>
      </c>
      <c r="B115" s="53"/>
      <c r="C115" s="53"/>
      <c r="D115" s="53"/>
      <c r="E115" s="53"/>
      <c r="F115" s="53"/>
      <c r="G115" s="52"/>
      <c r="H115" s="52"/>
      <c r="I115" s="57"/>
      <c r="J115" s="2"/>
      <c r="K115" s="2"/>
      <c r="L115" s="2"/>
    </row>
    <row r="116" spans="1:12" ht="18.75" x14ac:dyDescent="0.25">
      <c r="A116" s="54" t="s">
        <v>93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8.75" x14ac:dyDescent="0.25">
      <c r="A117" s="54" t="s">
        <v>101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8.75" x14ac:dyDescent="0.25">
      <c r="A118" s="54" t="s">
        <v>92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8.75" x14ac:dyDescent="0.25">
      <c r="A119" s="54" t="s">
        <v>91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8.75" x14ac:dyDescent="0.25">
      <c r="A120" s="54" t="s">
        <v>85</v>
      </c>
      <c r="B120" s="53"/>
      <c r="C120" s="53"/>
      <c r="D120" s="53"/>
      <c r="E120" s="53"/>
      <c r="F120" s="53"/>
      <c r="G120" s="53"/>
      <c r="H120" s="52"/>
      <c r="I120" s="57"/>
      <c r="J120" s="2"/>
      <c r="K120" s="2"/>
      <c r="L120" s="2"/>
    </row>
    <row r="121" spans="1:12" ht="18.75" x14ac:dyDescent="0.25">
      <c r="A121" s="54" t="s">
        <v>95</v>
      </c>
      <c r="B121" s="53"/>
      <c r="C121" s="53"/>
      <c r="D121" s="53"/>
      <c r="E121" s="53"/>
      <c r="F121" s="53"/>
      <c r="G121" s="53"/>
      <c r="H121" s="52"/>
      <c r="I121" s="57"/>
      <c r="J121" s="2"/>
      <c r="K121" s="2"/>
      <c r="L121" s="2"/>
    </row>
    <row r="122" spans="1:12" ht="18.75" x14ac:dyDescent="0.25">
      <c r="A122" s="54" t="s">
        <v>119</v>
      </c>
      <c r="B122" s="53"/>
      <c r="C122" s="53"/>
      <c r="D122" s="53"/>
      <c r="E122" s="53"/>
      <c r="F122" s="53"/>
      <c r="G122" s="53"/>
      <c r="H122" s="52"/>
      <c r="I122" s="57"/>
      <c r="J122" s="2"/>
      <c r="K122" s="2"/>
      <c r="L122" s="2"/>
    </row>
    <row r="123" spans="1:12" ht="18.75" x14ac:dyDescent="0.25">
      <c r="A123" s="54" t="s">
        <v>96</v>
      </c>
      <c r="B123" s="53"/>
      <c r="C123" s="53"/>
      <c r="D123" s="53"/>
      <c r="E123" s="53"/>
      <c r="F123" s="53"/>
      <c r="G123" s="53"/>
      <c r="H123" s="52"/>
      <c r="I123" s="57"/>
      <c r="J123" s="2"/>
      <c r="K123" s="2"/>
      <c r="L123" s="2"/>
    </row>
    <row r="124" spans="1:12" ht="18.75" x14ac:dyDescent="0.25">
      <c r="A124" s="54" t="s">
        <v>97</v>
      </c>
      <c r="B124" s="53"/>
      <c r="C124" s="53"/>
      <c r="D124" s="53"/>
      <c r="E124" s="53"/>
      <c r="F124" s="53"/>
      <c r="G124" s="53"/>
      <c r="H124" s="52"/>
      <c r="I124" s="57"/>
      <c r="J124" s="2"/>
      <c r="K124" s="2"/>
      <c r="L124" s="2"/>
    </row>
    <row r="125" spans="1:12" ht="18.75" x14ac:dyDescent="0.25">
      <c r="A125" s="54" t="s">
        <v>125</v>
      </c>
      <c r="B125" s="53"/>
      <c r="C125" s="53"/>
      <c r="D125" s="53"/>
      <c r="E125" s="53"/>
      <c r="F125" s="53"/>
      <c r="G125" s="53"/>
      <c r="H125" s="56"/>
      <c r="I125" s="58"/>
      <c r="J125" s="11"/>
      <c r="K125" s="11"/>
      <c r="L125" s="11"/>
    </row>
    <row r="126" spans="1:12" ht="18.75" x14ac:dyDescent="0.25">
      <c r="A126" s="54"/>
      <c r="B126" s="53"/>
      <c r="C126" s="53"/>
      <c r="D126" s="53"/>
      <c r="E126" s="53"/>
      <c r="F126" s="53"/>
      <c r="G126" s="53"/>
      <c r="H126" s="56"/>
      <c r="I126" s="58"/>
      <c r="J126" s="11"/>
      <c r="K126" s="11"/>
      <c r="L126" s="11"/>
    </row>
    <row r="127" spans="1:12" ht="18.75" x14ac:dyDescent="0.25">
      <c r="A127" s="55" t="s">
        <v>86</v>
      </c>
      <c r="B127" s="53"/>
      <c r="C127" s="53"/>
      <c r="D127" s="53"/>
      <c r="E127" s="53"/>
      <c r="F127" s="53"/>
      <c r="G127" s="53"/>
      <c r="H127" s="56"/>
      <c r="I127" s="58"/>
      <c r="J127" s="11"/>
      <c r="K127" s="11"/>
      <c r="L127" s="11"/>
    </row>
    <row r="128" spans="1:12" ht="18.75" x14ac:dyDescent="0.25">
      <c r="A128" s="54" t="s">
        <v>87</v>
      </c>
      <c r="B128" s="53"/>
      <c r="C128" s="53"/>
      <c r="D128" s="53"/>
      <c r="E128" s="53"/>
      <c r="F128" s="53"/>
      <c r="G128" s="53"/>
      <c r="H128" s="56"/>
      <c r="I128" s="58"/>
      <c r="J128" s="11"/>
      <c r="K128" s="11"/>
      <c r="L128" s="11"/>
    </row>
    <row r="129" spans="1:12" ht="18.75" x14ac:dyDescent="0.25">
      <c r="A129" s="54" t="s">
        <v>107</v>
      </c>
      <c r="B129" s="53"/>
      <c r="C129" s="53"/>
      <c r="D129" s="53"/>
      <c r="E129" s="53"/>
      <c r="F129" s="53"/>
      <c r="G129" s="53"/>
      <c r="H129" s="56"/>
      <c r="I129" s="58"/>
      <c r="J129" s="11"/>
      <c r="K129" s="11"/>
      <c r="L129" s="11"/>
    </row>
    <row r="130" spans="1:12" ht="18.75" x14ac:dyDescent="0.25">
      <c r="A130" s="54" t="s">
        <v>106</v>
      </c>
      <c r="B130" s="53"/>
      <c r="C130" s="53"/>
      <c r="D130" s="53"/>
      <c r="E130" s="53"/>
      <c r="F130" s="53"/>
      <c r="G130" s="53"/>
      <c r="H130" s="56"/>
      <c r="I130" s="58"/>
      <c r="J130" s="11"/>
      <c r="K130" s="11"/>
      <c r="L130" s="11"/>
    </row>
    <row r="131" spans="1:12" ht="18.75" x14ac:dyDescent="0.25">
      <c r="A131" s="54" t="s">
        <v>105</v>
      </c>
      <c r="B131" s="53"/>
      <c r="C131" s="53"/>
      <c r="D131" s="53"/>
      <c r="E131" s="53"/>
      <c r="F131" s="53"/>
      <c r="G131" s="53"/>
      <c r="H131" s="56"/>
      <c r="I131" s="58"/>
      <c r="J131" s="11"/>
      <c r="K131" s="11"/>
      <c r="L131" s="11"/>
    </row>
  </sheetData>
  <mergeCells count="21">
    <mergeCell ref="K6:L6"/>
    <mergeCell ref="G68:H68"/>
    <mergeCell ref="G69:H69"/>
    <mergeCell ref="A82:L82"/>
    <mergeCell ref="C88:D88"/>
    <mergeCell ref="E88:F88"/>
    <mergeCell ref="H88:J88"/>
    <mergeCell ref="C68:D68"/>
    <mergeCell ref="J68:K68"/>
    <mergeCell ref="C69:D69"/>
    <mergeCell ref="E69:F69"/>
    <mergeCell ref="J69:K69"/>
    <mergeCell ref="E68:F68"/>
    <mergeCell ref="C9:D9"/>
    <mergeCell ref="E9:F9"/>
    <mergeCell ref="G9:H9"/>
    <mergeCell ref="J9:K9"/>
    <mergeCell ref="C10:D10"/>
    <mergeCell ref="E10:F10"/>
    <mergeCell ref="G10:H10"/>
    <mergeCell ref="J10:K10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2026-03-01T05:59:10Z</cp:lastPrinted>
  <dcterms:created xsi:type="dcterms:W3CDTF">2021-06-05T07:13:00Z</dcterms:created>
  <dcterms:modified xsi:type="dcterms:W3CDTF">2026-03-05T08:21:12Z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