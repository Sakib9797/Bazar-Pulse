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13_ncr:1_{8DAC2FCF-DD85-4E08-AD61-2625896C94A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</workbook>
</file>

<file path=xl/calcChain.xml><?xml version="1.0" encoding="utf-8"?>
<calcChain xmlns="http://schemas.openxmlformats.org/spreadsheetml/2006/main">
  <c r="G86" i="4" l="1"/>
  <c r="G95" i="4"/>
  <c r="G88" i="4"/>
  <c r="G87" i="4"/>
  <c r="G92" i="4"/>
  <c r="G90" i="4"/>
  <c r="G89" i="4"/>
  <c r="G91" i="4"/>
  <c r="G97" i="4"/>
  <c r="G96" i="4"/>
  <c r="G94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93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<sst xmlns="http://schemas.openxmlformats.org/spreadsheetml/2006/main" count="252" uniqueCount="136">
  <si>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</si>
  <si>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</si>
  <si>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</si>
  <si>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</si>
  <si>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</si>
  <si>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</si>
  <si>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</si>
  <si>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</si>
  <si>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</si>
  <si>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</si>
  <si>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</si>
  <si>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</si>
  <si>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</si>
  <si>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</si>
  <si>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</si>
  <si>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</si>
  <si>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</si>
  <si>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</si>
  <si>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</si>
  <si>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</si>
  <si>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</si>
  <si>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</si>
  <si>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</si>
  <si>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</si>
  <si>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</si>
  <si>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</si>
  <si>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</si>
  <si>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</si>
  <si>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</si>
  <si>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</si>
  <si>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</si>
  <si>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</si>
  <si>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</si>
  <si>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</si>
  <si>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</si>
  <si>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</si>
  <si>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</si>
  <si>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</si>
  <si>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</si>
  <si>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</si>
  <si>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</si>
  <si>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</si>
  <si>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</si>
  <si>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</si>
  <si>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</si>
  <si>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</si>
  <si>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</si>
  <si>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</si>
  <si>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</si>
  <si>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</si>
  <si>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</si>
  <si>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</si>
  <si>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</si>
  <si>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</si>
  <si>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</si>
  <si>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</si>
  <si>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</si>
  <si>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</si>
  <si>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</si>
  <si>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</si>
  <si>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</si>
  <si>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</si>
  <si>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</si>
  <si>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</si>
  <si>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</si>
  <si>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</si>
  <si>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</si>
  <si>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</si>
  <si>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</si>
  <si>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</si>
  <si>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</si>
  <si>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</si>
  <si>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</si>
  <si>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</si>
  <si>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</si>
  <si>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</si>
  <si>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</si>
  <si>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</si>
  <si>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</si>
  <si>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</si>
  <si>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</si>
  <si>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</si>
  <si>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</si>
  <si>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</si>
  <si>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</si>
  <si>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</si>
  <si>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</si>
  <si>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</si>
  <si>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</si>
  <si>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</si>
  <si>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</si>
  <si>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</si>
  <si>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</si>
  <si>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</si>
  <si>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</si>
  <si>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</si>
  <si>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</si>
  <si>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</si>
  <si>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</si>
  <si>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</si>
  <si>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</si>
  <si>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</si>
  <si>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</si>
  <si>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</si>
  <si>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</si>
  <si>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</si>
  <si>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</si>
  <si>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</si>
  <si>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</si>
  <si>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</si>
  <si>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</si>
  <si>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</si>
  <si>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</si>
  <si>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</si>
  <si>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</si>
  <si>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</si>
  <si>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</si>
  <si>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</si>
  <si>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</si>
  <si>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</si>
  <si>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</si>
  <si>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</si>
  <si>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</si>
  <si>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</si>
  <si>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</si>
  <si>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</si>
  <si>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১৩-০৬-২০২৬ তারিখে মূল্য হ্রাস পেয়েছে।</t>
  </si>
  <si>
    <t>১৪-০৬-২০২৬ তারিখে মূল্য হ্রাস পেয়েছে।</t>
  </si>
  <si>
    <t>১৫-০৬-২০২৬ তারিখে মূল্য বৃদ্ধি পেয়েছে।</t>
  </si>
  <si>
    <t xml:space="preserve">নং-২৬.০৫.০০০০.০১৭.৩১.০১.২৬-৪৭২                                                                                                           তারিখঃ ১৬-০৬-২০২৬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</si>
  <si>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১৪৪</t>
  </si>
  <si>
    <t xml:space="preserve">মঙ্গলবার ১৬ জুন ২০২৬ খ্রিঃ, ০২ আষাঢ় ১৪৩৩ বাংলা, ২৯ জিলহজ ১৪৪৭ হিজরি </t>
  </si>
  <si>
    <t>(১)   পেঁয়াজ (দেশী),  শুকনা মরিচ (আম), আদা (আম), মুরগী ব্রয়লার, লেবু, কাঁচামরিচ, বেগুন   এর মূল্য হ্রাস পেয়েছে।</t>
  </si>
  <si>
    <t>(২)   চাল (সরু, মাঝারী, মোটা), সয়াবিন লুজ, ছোলা  এর মূল্য বৃদ্ধি পেয়েছে।</t>
  </si>
  <si>
    <t xml:space="preserve"> (মোঃ আনিছুর রহমান)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</si>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</sst>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6" fontId="1" fillId="6" borderId="1" xfId="1" applyNumberFormat="1" applyFont="1" applyFill="1" applyBorder="1" applyAlignment="1">
      <alignment horizont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topLeftCell="A88" zoomScale="90" zoomScaleNormal="90" workbookViewId="0">
      <selection activeCell="J102" sqref="J102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>
      <c r="A3" s="76" t="s">
        <v>130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>
      <c r="A4" s="77" t="s">
        <v>131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6"/>
      <c r="Q4" s="56"/>
      <c r="R4" s="56"/>
    </row>
    <row r="5" spans="1:18">
      <c r="A5" s="78" t="s">
        <v>129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7"/>
      <c r="Q5" s="58"/>
    </row>
    <row r="6" spans="1:18" s="29" customFormat="1">
      <c r="A6" s="79" t="s">
        <v>1</v>
      </c>
      <c r="B6" s="79" t="s">
        <v>2</v>
      </c>
      <c r="C6" s="67" t="s">
        <v>3</v>
      </c>
      <c r="D6" s="69"/>
      <c r="E6" s="67" t="s">
        <v>4</v>
      </c>
      <c r="F6" s="69"/>
      <c r="G6" s="67" t="s">
        <v>5</v>
      </c>
      <c r="H6" s="69"/>
      <c r="I6" s="26" t="s">
        <v>6</v>
      </c>
      <c r="J6" s="67" t="s">
        <v>7</v>
      </c>
      <c r="K6" s="69"/>
      <c r="L6" s="28" t="s">
        <v>8</v>
      </c>
      <c r="M6" s="53"/>
    </row>
    <row r="7" spans="1:18" s="29" customFormat="1">
      <c r="A7" s="80"/>
      <c r="B7" s="80"/>
      <c r="C7" s="83">
        <v>46189</v>
      </c>
      <c r="D7" s="84"/>
      <c r="E7" s="83">
        <v>46182</v>
      </c>
      <c r="F7" s="84"/>
      <c r="G7" s="81">
        <v>46158</v>
      </c>
      <c r="H7" s="82"/>
      <c r="I7" s="26" t="s">
        <v>9</v>
      </c>
      <c r="J7" s="81">
        <v>45824</v>
      </c>
      <c r="K7" s="82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80</v>
      </c>
      <c r="L9" s="51">
        <f>((C9+D9)/2-(J9+K9)/2)/((J9+K9)/2)*100</f>
        <v>4.666666666666667</v>
      </c>
      <c r="M9" s="53">
        <f>((C9+D9)/2-(E9+F9)/2)/((E9+F9)/2)*100</f>
        <v>1.2903225806451613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55</v>
      </c>
      <c r="K10" s="60">
        <v>65</v>
      </c>
      <c r="L10" s="51">
        <f>((C10+D10)/2-(J10+K10)/2)/((J10+K10)/2)*100</f>
        <v>2.5</v>
      </c>
      <c r="M10" s="53">
        <f t="shared" ref="M10:M70" si="0">((C10+D10)/2-(E10+F10)/2)/((E10+F10)/2)*100</f>
        <v>0.81967213114754101</v>
      </c>
    </row>
    <row r="11" spans="1:18" s="29" customFormat="1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48</v>
      </c>
      <c r="H11" s="60">
        <v>60</v>
      </c>
      <c r="I11" s="50">
        <f>((C11+D11)/2-(G11+H11)/2)/((G11+H11)/2)*100</f>
        <v>3.7037037037037033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155</v>
      </c>
      <c r="K18" s="60">
        <v>168</v>
      </c>
      <c r="L18" s="51">
        <f t="shared" ref="L18:L24" si="2">((C18+D18)/2-(J18+K18)/2)/((J18+K18)/2)*100</f>
        <v>17.956656346749224</v>
      </c>
      <c r="M18" s="53">
        <f t="shared" si="0"/>
        <v>0.26315789473684209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880</v>
      </c>
      <c r="K19" s="60">
        <v>920</v>
      </c>
      <c r="L19" s="51">
        <f t="shared" si="2"/>
        <v>8.3333333333333321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160</v>
      </c>
      <c r="L23" s="51">
        <f t="shared" si="2"/>
        <v>11.29032258064516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2.7027027027027026</v>
      </c>
    </row>
    <row r="32" spans="1:13" s="52" customFormat="1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70</v>
      </c>
      <c r="H36" s="60">
        <v>140</v>
      </c>
      <c r="I36" s="50">
        <f t="shared" si="5"/>
        <v>-4.7619047619047619</v>
      </c>
      <c r="J36" s="60">
        <v>100</v>
      </c>
      <c r="K36" s="60">
        <v>140</v>
      </c>
      <c r="L36" s="51">
        <f t="shared" si="6"/>
        <v>-16.666666666666664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160</v>
      </c>
      <c r="H37" s="60">
        <v>220</v>
      </c>
      <c r="I37" s="50">
        <f t="shared" si="5"/>
        <v>-7.8947368421052628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0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300</v>
      </c>
      <c r="L38" s="51">
        <f t="shared" si="6"/>
        <v>36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430</v>
      </c>
      <c r="L39" s="51">
        <f t="shared" si="6"/>
        <v>16.901408450704224</v>
      </c>
      <c r="M39" s="53">
        <f t="shared" si="0"/>
        <v>-4.5977011494252871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>
      <c r="A43" s="47" t="s">
        <v>47</v>
      </c>
      <c r="B43" s="48" t="s">
        <v>14</v>
      </c>
      <c r="C43" s="41">
        <v>130</v>
      </c>
      <c r="D43" s="41">
        <v>210</v>
      </c>
      <c r="E43" s="41">
        <v>130</v>
      </c>
      <c r="F43" s="41">
        <v>250</v>
      </c>
      <c r="G43" s="60">
        <v>160</v>
      </c>
      <c r="H43" s="60">
        <v>210</v>
      </c>
      <c r="I43" s="50">
        <f t="shared" si="5"/>
        <v>-8.1081081081081088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-10.526315789473683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610</v>
      </c>
      <c r="K44" s="60">
        <v>750</v>
      </c>
      <c r="L44" s="51">
        <f t="shared" si="6"/>
        <v>-4.4117647058823533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6.25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180</v>
      </c>
      <c r="E55" s="41">
        <v>160</v>
      </c>
      <c r="F55" s="41">
        <v>200</v>
      </c>
      <c r="G55" s="60">
        <v>180</v>
      </c>
      <c r="H55" s="60">
        <v>200</v>
      </c>
      <c r="I55" s="50">
        <f t="shared" si="7"/>
        <v>-7.8947368421052628</v>
      </c>
      <c r="J55" s="60">
        <v>150</v>
      </c>
      <c r="K55" s="60">
        <v>190</v>
      </c>
      <c r="L55" s="51">
        <f t="shared" si="8"/>
        <v>2.9411764705882351</v>
      </c>
      <c r="M55" s="53">
        <f t="shared" si="0"/>
        <v>-2.7777777777777777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680</v>
      </c>
      <c r="L56" s="51">
        <f t="shared" si="8"/>
        <v>3.8461538461538463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73"/>
      <c r="H64" s="73"/>
      <c r="I64" s="4"/>
      <c r="J64" s="3"/>
      <c r="K64" s="3"/>
      <c r="L64" s="5"/>
    </row>
    <row r="65" spans="1:13">
      <c r="A65" s="79" t="s">
        <v>1</v>
      </c>
      <c r="B65" s="79" t="s">
        <v>2</v>
      </c>
      <c r="C65" s="67" t="s">
        <v>3</v>
      </c>
      <c r="D65" s="69"/>
      <c r="E65" s="67" t="s">
        <v>4</v>
      </c>
      <c r="F65" s="69"/>
      <c r="G65" s="67" t="s">
        <v>5</v>
      </c>
      <c r="H65" s="69"/>
      <c r="I65" s="26" t="s">
        <v>6</v>
      </c>
      <c r="J65" s="67" t="s">
        <v>7</v>
      </c>
      <c r="K65" s="69"/>
      <c r="L65" s="26" t="s">
        <v>8</v>
      </c>
    </row>
    <row r="66" spans="1:13" ht="18" customHeight="1">
      <c r="A66" s="80"/>
      <c r="B66" s="80"/>
      <c r="C66" s="83">
        <v>46189</v>
      </c>
      <c r="D66" s="84"/>
      <c r="E66" s="83">
        <v>46182</v>
      </c>
      <c r="F66" s="84"/>
      <c r="G66" s="81">
        <v>46158</v>
      </c>
      <c r="H66" s="82"/>
      <c r="I66" s="26" t="s">
        <v>9</v>
      </c>
      <c r="J66" s="81">
        <v>45824</v>
      </c>
      <c r="K66" s="82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-61.904761904761905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40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-16.666666666666664</v>
      </c>
    </row>
    <row r="72" spans="1:13" s="53" customFormat="1">
      <c r="A72" s="47" t="s">
        <v>105</v>
      </c>
      <c r="B72" s="54" t="s">
        <v>14</v>
      </c>
      <c r="C72" s="41">
        <v>60</v>
      </c>
      <c r="D72" s="41">
        <v>120</v>
      </c>
      <c r="E72" s="41">
        <v>70</v>
      </c>
      <c r="F72" s="41">
        <v>120</v>
      </c>
      <c r="G72" s="60">
        <v>60</v>
      </c>
      <c r="H72" s="60">
        <v>150</v>
      </c>
      <c r="I72" s="50">
        <f t="shared" si="11"/>
        <v>-14.285714285714285</v>
      </c>
      <c r="J72" s="49">
        <v>60</v>
      </c>
      <c r="K72" s="49">
        <v>120</v>
      </c>
      <c r="L72" s="51">
        <f t="shared" si="9"/>
        <v>0</v>
      </c>
      <c r="M72" s="53">
        <f t="shared" si="12"/>
        <v>-5.2631578947368416</v>
      </c>
    </row>
    <row r="73" spans="1:13" s="53" customFormat="1">
      <c r="A73" s="47" t="s">
        <v>106</v>
      </c>
      <c r="B73" s="54" t="s">
        <v>14</v>
      </c>
      <c r="C73" s="41">
        <v>70</v>
      </c>
      <c r="D73" s="41">
        <v>80</v>
      </c>
      <c r="E73" s="41">
        <v>70</v>
      </c>
      <c r="F73" s="41">
        <v>110</v>
      </c>
      <c r="G73" s="60">
        <v>80</v>
      </c>
      <c r="H73" s="60">
        <v>100</v>
      </c>
      <c r="I73" s="50">
        <f t="shared" si="11"/>
        <v>-16.666666666666664</v>
      </c>
      <c r="J73" s="49">
        <v>60</v>
      </c>
      <c r="K73" s="49">
        <v>100</v>
      </c>
      <c r="L73" s="51">
        <f t="shared" si="9"/>
        <v>-6.25</v>
      </c>
      <c r="M73" s="53">
        <f t="shared" si="12"/>
        <v>-16.666666666666664</v>
      </c>
    </row>
    <row r="74" spans="1:13" s="53" customFormat="1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37</v>
      </c>
      <c r="K75" s="64">
        <v>45</v>
      </c>
      <c r="L75" s="51">
        <f t="shared" si="9"/>
        <v>15.853658536585366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2" t="s">
        <v>132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>
      <c r="A82" s="7"/>
      <c r="B82" s="72" t="s">
        <v>133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67" t="s">
        <v>3</v>
      </c>
      <c r="D85" s="69"/>
      <c r="E85" s="70" t="s">
        <v>78</v>
      </c>
      <c r="F85" s="71"/>
      <c r="G85" s="27" t="s">
        <v>9</v>
      </c>
      <c r="H85" s="67" t="s">
        <v>79</v>
      </c>
      <c r="I85" s="68"/>
      <c r="J85" s="69"/>
      <c r="K85" s="10"/>
      <c r="L85" s="2"/>
    </row>
    <row r="86" spans="1:12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7" si="13">((C86+D86)/2-(E86+F86)/2)/((E86+F86)/2)*100</f>
        <v>1.2903225806451613</v>
      </c>
      <c r="H86" s="67" t="s">
        <v>128</v>
      </c>
      <c r="I86" s="68"/>
      <c r="J86" s="69"/>
      <c r="K86" s="10"/>
      <c r="L86" s="2"/>
    </row>
    <row r="87" spans="1:12">
      <c r="A87" s="47" t="s">
        <v>93</v>
      </c>
      <c r="B87" s="48" t="s">
        <v>14</v>
      </c>
      <c r="C87" s="41">
        <v>55</v>
      </c>
      <c r="D87" s="41">
        <v>68</v>
      </c>
      <c r="E87" s="41">
        <v>54</v>
      </c>
      <c r="F87" s="41">
        <v>68</v>
      </c>
      <c r="G87" s="32">
        <f t="shared" si="13"/>
        <v>0.81967213114754101</v>
      </c>
      <c r="H87" s="67" t="s">
        <v>124</v>
      </c>
      <c r="I87" s="68"/>
      <c r="J87" s="69"/>
      <c r="K87" s="10"/>
      <c r="L87" s="2"/>
    </row>
    <row r="88" spans="1:12">
      <c r="A88" s="47" t="s">
        <v>15</v>
      </c>
      <c r="B88" s="48" t="s">
        <v>14</v>
      </c>
      <c r="C88" s="41">
        <v>52</v>
      </c>
      <c r="D88" s="41">
        <v>60</v>
      </c>
      <c r="E88" s="41">
        <v>50</v>
      </c>
      <c r="F88" s="41">
        <v>60</v>
      </c>
      <c r="G88" s="32">
        <f t="shared" si="13"/>
        <v>1.8181818181818181</v>
      </c>
      <c r="H88" s="67" t="s">
        <v>124</v>
      </c>
      <c r="I88" s="68"/>
      <c r="J88" s="69"/>
      <c r="K88" s="10"/>
      <c r="L88" s="2"/>
    </row>
    <row r="89" spans="1:12">
      <c r="A89" s="47" t="s">
        <v>23</v>
      </c>
      <c r="B89" s="48" t="s">
        <v>24</v>
      </c>
      <c r="C89" s="43">
        <v>186</v>
      </c>
      <c r="D89" s="41">
        <v>195</v>
      </c>
      <c r="E89" s="43">
        <v>185</v>
      </c>
      <c r="F89" s="41">
        <v>195</v>
      </c>
      <c r="G89" s="32">
        <f t="shared" si="13"/>
        <v>0.26315789473684209</v>
      </c>
      <c r="H89" s="67" t="s">
        <v>122</v>
      </c>
      <c r="I89" s="68"/>
      <c r="J89" s="69"/>
      <c r="K89" s="10"/>
      <c r="L89" s="2"/>
    </row>
    <row r="90" spans="1:12">
      <c r="A90" s="47" t="s">
        <v>37</v>
      </c>
      <c r="B90" s="48" t="s">
        <v>14</v>
      </c>
      <c r="C90" s="41">
        <v>90</v>
      </c>
      <c r="D90" s="41">
        <v>100</v>
      </c>
      <c r="E90" s="41">
        <v>85</v>
      </c>
      <c r="F90" s="41">
        <v>100</v>
      </c>
      <c r="G90" s="32">
        <f t="shared" si="13"/>
        <v>2.7027027027027026</v>
      </c>
      <c r="H90" s="67" t="s">
        <v>122</v>
      </c>
      <c r="I90" s="68"/>
      <c r="J90" s="69"/>
      <c r="K90" s="10"/>
      <c r="L90" s="2"/>
    </row>
    <row r="91" spans="1:12">
      <c r="A91" s="47" t="s">
        <v>101</v>
      </c>
      <c r="B91" s="48" t="s">
        <v>14</v>
      </c>
      <c r="C91" s="43">
        <v>35</v>
      </c>
      <c r="D91" s="43">
        <v>45</v>
      </c>
      <c r="E91" s="43">
        <v>40</v>
      </c>
      <c r="F91" s="43">
        <v>45</v>
      </c>
      <c r="G91" s="32">
        <f t="shared" si="13"/>
        <v>-5.8823529411764701</v>
      </c>
      <c r="H91" s="67" t="s">
        <v>123</v>
      </c>
      <c r="I91" s="68"/>
      <c r="J91" s="69"/>
      <c r="K91" s="10"/>
      <c r="L91" s="2"/>
    </row>
    <row r="92" spans="1:12">
      <c r="A92" s="47" t="s">
        <v>43</v>
      </c>
      <c r="B92" s="48" t="s">
        <v>14</v>
      </c>
      <c r="C92" s="43">
        <v>380</v>
      </c>
      <c r="D92" s="43">
        <v>450</v>
      </c>
      <c r="E92" s="43">
        <v>420</v>
      </c>
      <c r="F92" s="43">
        <v>450</v>
      </c>
      <c r="G92" s="32">
        <f t="shared" si="13"/>
        <v>-4.5977011494252871</v>
      </c>
      <c r="H92" s="67" t="s">
        <v>123</v>
      </c>
      <c r="I92" s="68"/>
      <c r="J92" s="69"/>
      <c r="K92" s="10"/>
      <c r="L92" s="2"/>
    </row>
    <row r="93" spans="1:12">
      <c r="A93" s="47" t="s">
        <v>47</v>
      </c>
      <c r="B93" s="48" t="s">
        <v>14</v>
      </c>
      <c r="C93" s="41">
        <v>130</v>
      </c>
      <c r="D93" s="41">
        <v>210</v>
      </c>
      <c r="E93" s="41">
        <v>130</v>
      </c>
      <c r="F93" s="41">
        <v>250</v>
      </c>
      <c r="G93" s="32">
        <f t="shared" si="13"/>
        <v>-10.526315789473683</v>
      </c>
      <c r="H93" s="67" t="s">
        <v>125</v>
      </c>
      <c r="I93" s="68"/>
      <c r="J93" s="69"/>
      <c r="K93" s="10"/>
      <c r="L93" s="55"/>
    </row>
    <row r="94" spans="1:12">
      <c r="A94" s="47" t="s">
        <v>57</v>
      </c>
      <c r="B94" s="48" t="s">
        <v>14</v>
      </c>
      <c r="C94" s="41">
        <v>170</v>
      </c>
      <c r="D94" s="41">
        <v>180</v>
      </c>
      <c r="E94" s="41">
        <v>160</v>
      </c>
      <c r="F94" s="41">
        <v>200</v>
      </c>
      <c r="G94" s="32">
        <f t="shared" si="13"/>
        <v>-2.7777777777777777</v>
      </c>
      <c r="H94" s="67" t="s">
        <v>126</v>
      </c>
      <c r="I94" s="68"/>
      <c r="J94" s="69"/>
      <c r="K94" s="10"/>
      <c r="L94" s="55"/>
    </row>
    <row r="95" spans="1:12">
      <c r="A95" s="47" t="s">
        <v>104</v>
      </c>
      <c r="B95" s="54" t="s">
        <v>69</v>
      </c>
      <c r="C95" s="41">
        <v>20</v>
      </c>
      <c r="D95" s="41">
        <v>30</v>
      </c>
      <c r="E95" s="41">
        <v>20</v>
      </c>
      <c r="F95" s="41">
        <v>40</v>
      </c>
      <c r="G95" s="32">
        <f t="shared" si="13"/>
        <v>-16.666666666666664</v>
      </c>
      <c r="H95" s="67" t="s">
        <v>127</v>
      </c>
      <c r="I95" s="68"/>
      <c r="J95" s="69"/>
      <c r="K95" s="10"/>
      <c r="L95" s="55"/>
    </row>
    <row r="96" spans="1:12">
      <c r="A96" s="47" t="s">
        <v>105</v>
      </c>
      <c r="B96" s="54" t="s">
        <v>14</v>
      </c>
      <c r="C96" s="41">
        <v>60</v>
      </c>
      <c r="D96" s="41">
        <v>120</v>
      </c>
      <c r="E96" s="41">
        <v>70</v>
      </c>
      <c r="F96" s="41">
        <v>120</v>
      </c>
      <c r="G96" s="32">
        <f t="shared" si="13"/>
        <v>-5.2631578947368416</v>
      </c>
      <c r="H96" s="67" t="s">
        <v>126</v>
      </c>
      <c r="I96" s="68"/>
      <c r="J96" s="69"/>
      <c r="K96" s="10"/>
      <c r="L96" s="55"/>
    </row>
    <row r="97" spans="1:12">
      <c r="A97" s="47" t="s">
        <v>106</v>
      </c>
      <c r="B97" s="54" t="s">
        <v>14</v>
      </c>
      <c r="C97" s="41">
        <v>70</v>
      </c>
      <c r="D97" s="41">
        <v>80</v>
      </c>
      <c r="E97" s="41">
        <v>70</v>
      </c>
      <c r="F97" s="41">
        <v>110</v>
      </c>
      <c r="G97" s="32">
        <f t="shared" si="13"/>
        <v>-16.666666666666664</v>
      </c>
      <c r="H97" s="67" t="s">
        <v>126</v>
      </c>
      <c r="I97" s="68"/>
      <c r="J97" s="69"/>
      <c r="K97" s="10"/>
      <c r="L97" s="55"/>
    </row>
    <row r="98" spans="1:12">
      <c r="A98" s="7"/>
      <c r="B98" s="1"/>
      <c r="C98" s="6"/>
      <c r="D98" s="6"/>
      <c r="E98" s="6"/>
      <c r="F98" s="6"/>
      <c r="G98" s="4"/>
      <c r="H98" s="7"/>
      <c r="I98" s="1"/>
      <c r="J98" s="1"/>
      <c r="K98" s="10"/>
      <c r="L98" s="12"/>
    </row>
    <row r="99" spans="1:12">
      <c r="A99" s="7"/>
      <c r="B99" s="1"/>
      <c r="C99" s="6"/>
      <c r="D99" s="6"/>
      <c r="E99" s="6"/>
      <c r="F99" s="6"/>
      <c r="G99" s="4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114</v>
      </c>
      <c r="C101" s="2"/>
      <c r="E101" s="7"/>
      <c r="F101" s="14" t="s">
        <v>102</v>
      </c>
      <c r="G101" s="2"/>
      <c r="I101" s="15"/>
      <c r="J101" s="1" t="s">
        <v>134</v>
      </c>
      <c r="K101" s="2"/>
      <c r="L101" s="12"/>
    </row>
    <row r="102" spans="1:12">
      <c r="A102" s="16"/>
      <c r="B102" s="14" t="s">
        <v>113</v>
      </c>
      <c r="C102" s="1"/>
      <c r="E102" s="16"/>
      <c r="F102" s="14" t="s">
        <v>103</v>
      </c>
      <c r="G102" s="1"/>
      <c r="I102" s="17"/>
      <c r="J102" s="1" t="s">
        <v>135</v>
      </c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"/>
      <c r="C104" s="3"/>
      <c r="D104" s="3"/>
      <c r="E104" s="3"/>
      <c r="F104" s="3"/>
      <c r="G104" s="4"/>
      <c r="H104" s="18"/>
      <c r="I104" s="12"/>
      <c r="J104" s="12"/>
      <c r="K104" s="12"/>
      <c r="L104" s="12"/>
    </row>
    <row r="105" spans="1:12">
      <c r="A105" s="7"/>
      <c r="C105" s="6"/>
      <c r="D105" s="6"/>
      <c r="E105" s="1"/>
      <c r="F105" s="6"/>
      <c r="G105" s="4"/>
      <c r="H105" s="18"/>
      <c r="I105" s="12"/>
      <c r="J105" s="12"/>
      <c r="K105" s="12"/>
      <c r="L105" s="12"/>
    </row>
    <row r="106" spans="1:12">
      <c r="A106" s="19" t="s">
        <v>86</v>
      </c>
      <c r="B106" s="20"/>
      <c r="C106" s="21"/>
      <c r="D106" s="20"/>
      <c r="E106" s="21"/>
      <c r="F106" s="21"/>
      <c r="G106" s="21"/>
      <c r="H106" s="22"/>
      <c r="I106" s="2"/>
      <c r="J106" s="2"/>
      <c r="K106" s="2"/>
      <c r="L106" s="2"/>
    </row>
    <row r="107" spans="1:12">
      <c r="A107" s="23" t="s">
        <v>115</v>
      </c>
      <c r="B107" s="20"/>
      <c r="C107" s="21"/>
      <c r="D107" s="20"/>
      <c r="E107" s="21"/>
      <c r="F107" s="21"/>
      <c r="G107" s="20"/>
      <c r="H107" s="22"/>
      <c r="I107" s="2"/>
      <c r="J107" s="2"/>
      <c r="K107" s="2"/>
      <c r="L107" s="2"/>
    </row>
    <row r="108" spans="1:12">
      <c r="A108" s="23" t="s">
        <v>108</v>
      </c>
      <c r="B108" s="20"/>
      <c r="C108" s="20"/>
      <c r="D108" s="20"/>
      <c r="E108" s="20"/>
      <c r="F108" s="21"/>
      <c r="G108" s="20"/>
      <c r="H108" s="22"/>
      <c r="I108" s="2"/>
      <c r="J108" s="2"/>
      <c r="K108" s="2"/>
      <c r="L108" s="2"/>
    </row>
    <row r="109" spans="1:12">
      <c r="A109" s="23" t="s">
        <v>80</v>
      </c>
      <c r="B109" s="20"/>
      <c r="C109" s="20"/>
      <c r="D109" s="20"/>
      <c r="E109" s="20"/>
      <c r="F109" s="22"/>
      <c r="G109" s="22"/>
      <c r="H109" s="22"/>
      <c r="I109" s="2"/>
      <c r="J109" s="2"/>
      <c r="K109" s="2"/>
      <c r="L109" s="2"/>
    </row>
    <row r="110" spans="1:12">
      <c r="A110" s="23" t="s">
        <v>109</v>
      </c>
      <c r="B110" s="20"/>
      <c r="C110" s="20"/>
      <c r="D110" s="20"/>
      <c r="E110" s="20"/>
      <c r="F110" s="20"/>
      <c r="G110" s="22"/>
      <c r="H110" s="22"/>
      <c r="I110" s="2"/>
      <c r="J110" s="2"/>
      <c r="K110" s="2"/>
      <c r="L110" s="2"/>
    </row>
    <row r="111" spans="1:12">
      <c r="A111" s="23" t="s">
        <v>89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95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88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87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81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90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116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91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>
      <c r="A119" s="23" t="s">
        <v>92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>
      <c r="A120" s="23" t="s">
        <v>110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/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19" t="s">
        <v>82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83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117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125" spans="1:12">
      <c r="A125" s="23" t="s">
        <v>118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>
      <c r="A126" s="23" t="s">
        <v>99</v>
      </c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442" spans="2:2">
      <c r="B442" s="11" t="s">
        <v>112</v>
      </c>
    </row>
  </sheetData>
  <mergeCells count="43">
    <mergeCell ref="H87:J87"/>
    <mergeCell ref="H88:J88"/>
    <mergeCell ref="H89:J89"/>
    <mergeCell ref="H90:J90"/>
    <mergeCell ref="H92:J92"/>
    <mergeCell ref="H91:J91"/>
    <mergeCell ref="H96:J96"/>
    <mergeCell ref="H97:J97"/>
    <mergeCell ref="H93:J93"/>
    <mergeCell ref="H94:J94"/>
    <mergeCell ref="H95:J95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G64:H64"/>
    <mergeCell ref="C65:D65"/>
    <mergeCell ref="E65:F65"/>
    <mergeCell ref="G65:H65"/>
    <mergeCell ref="B81:L81"/>
    <mergeCell ref="H86:J86"/>
    <mergeCell ref="C85:D85"/>
    <mergeCell ref="E85:F85"/>
    <mergeCell ref="H85:J85"/>
    <mergeCell ref="B82:L82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2026-06-16T08:32:21Z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