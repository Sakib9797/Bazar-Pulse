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ugust-2026\"/>
    </mc:Choice>
  </mc:AlternateContent>
  <xr:revisionPtr revIDLastSave="0" documentId="8_{E75FC20D-D964-B94B-AFD4-0B87DA9E83F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0" i="4" l="1"/>
  <c r="G97" i="4"/>
  <c r="G96" i="4"/>
  <c r="G95" i="4"/>
  <c r="G94" i="4"/>
  <c r="G93" i="4"/>
  <c r="G92" i="4"/>
  <c r="G91" i="4"/>
  <c r="G89" i="4"/>
  <c r="G88" i="4"/>
  <c r="L11" i="4"/>
  <c r="L12" i="4"/>
  <c r="L10" i="4"/>
  <c r="I10" i="4"/>
  <c r="I11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6" i="4"/>
  <c r="I73" i="4"/>
  <c r="I74" i="4"/>
  <c r="I75" i="4"/>
  <c r="I71" i="4"/>
  <c r="I70" i="4"/>
  <c r="M9" i="4"/>
  <c r="I9" i="4"/>
  <c r="L73" i="4"/>
  <c r="L76" i="4"/>
  <c r="L75" i="4"/>
  <c r="L74" i="4"/>
  <c r="L80" i="4"/>
  <c r="L79" i="4"/>
  <c r="L78" i="4"/>
  <c r="L77" i="4"/>
  <c r="L72" i="4"/>
  <c r="L71" i="4"/>
  <c r="L70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I12" i="4"/>
  <c r="L9" i="4"/>
</calcChain>
</file>

<file path=xl/sharedStrings.xml><?xml version="1.0" encoding="utf-8"?>
<sst xmlns="http://schemas.openxmlformats.org/spreadsheetml/2006/main" count="249" uniqueCount="139">
  <si>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</si>
  <si>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</si>
  <si>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</si>
  <si>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</si>
  <si>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</si>
  <si>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</si>
  <si>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</si>
  <si>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</si>
  <si>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</si>
  <si>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</si>
  <si>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</si>
  <si>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</si>
  <si>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</si>
  <si>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</si>
  <si>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</si>
  <si>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</si>
  <si>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</si>
  <si>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</si>
  <si>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</si>
  <si>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</si>
  <si>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</si>
  <si>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</si>
  <si>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</si>
  <si>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</si>
  <si>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</si>
  <si>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</si>
  <si>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</si>
  <si>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</si>
  <si>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</si>
  <si>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</si>
  <si>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</si>
  <si>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</si>
  <si>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</si>
  <si>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</si>
  <si>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</si>
  <si>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</si>
  <si>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</si>
  <si>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</si>
  <si>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</si>
  <si>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</si>
  <si>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</si>
  <si>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</si>
  <si>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</si>
  <si>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</si>
  <si>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</si>
  <si>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</si>
  <si>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</si>
  <si>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</si>
  <si>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</si>
  <si>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</si>
  <si>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</si>
  <si>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</si>
  <si>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</si>
  <si>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</si>
  <si>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</si>
  <si>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</si>
  <si>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</si>
  <si>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</si>
  <si>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</si>
  <si>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</si>
  <si>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</si>
  <si>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</si>
  <si>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</si>
  <si>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</si>
  <si>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</si>
  <si>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</si>
  <si>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</si>
  <si>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</si>
  <si>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</si>
  <si>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</si>
  <si>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</si>
  <si>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</si>
  <si>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</si>
  <si>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</si>
  <si>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</si>
  <si>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</si>
  <si>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</si>
  <si>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</si>
  <si>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</si>
  <si>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</si>
  <si>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</si>
  <si>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</si>
  <si>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</si>
  <si>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</si>
  <si>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</si>
  <si>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</si>
  <si>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</si>
  <si>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</si>
  <si>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</si>
  <si>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</si>
  <si>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</si>
  <si>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</si>
  <si>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</si>
  <si>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</si>
  <si>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</si>
  <si>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</si>
  <si>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</si>
  <si>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</si>
  <si>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</si>
  <si>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</si>
  <si>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</si>
  <si>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</si>
  <si>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</si>
  <si>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</si>
  <si>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</si>
  <si>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</si>
  <si>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</si>
  <si>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</si>
  <si>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</si>
  <si>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</si>
  <si>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</si>
  <si>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</si>
  <si>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</si>
  <si>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</si>
  <si>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</si>
  <si>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</si>
  <si>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</si>
  <si>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</si>
  <si>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</si>
  <si>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</si>
  <si>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</si>
  <si>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২৯-০৭-২০২৬ তারিখে মূল্য বৃদ্ধি পেয়েছে।</t>
  </si>
  <si>
    <t>৩০-০৭-২০২৬ তারিখে মূল্য হ্রাস পেয়েছে।</t>
  </si>
  <si>
    <t>৩১-০৭-২০২৬ তারিখে মূল্য হ্রাস পেয়েছে।</t>
  </si>
  <si>
    <t>০২-০৮-২০২৬ তারিখে মূল্য হ্রাস পেয়েছে।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</si>
  <si>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</si>
  <si>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</si>
  <si>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 xml:space="preserve">নং-২৬.০৫.০০০০.০১৭.৩১.০১.২৬-৬১৩                                                                                                           তারিখঃ ০৪-০৮-২০২৬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</si>
  <si>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১৯১</t>
  </si>
  <si>
    <t xml:space="preserve">মঙ্গলবার ০৪ আগষ্ট ২০২৬ খ্রিঃ, ২০ শ্রাবণ ১৪৩৩ বাংলা, ২০ সফর ১৪৪৮ হিজরি </t>
  </si>
  <si>
    <t>চাল সুগন্ধী (পোলাও)</t>
  </si>
  <si>
    <t>০৩-০৮-২০২৬ তারিখে মূল্য বৃদ্ধি পেয়েছে।</t>
  </si>
  <si>
    <t>০৩-০৮-২০২৬ তারিখে মূল্য হ্রাস পেয়েছে।</t>
  </si>
  <si>
    <t>০৪-০৮-২০২৬ তারিখে মূল্য বৃদ্ধি পেয়েছে।</t>
  </si>
  <si>
    <t>০৪-০৮-২০২৬ তারিখে মূল্য হ্রাস পেয়েছে।</t>
  </si>
  <si>
    <t>(১)    আটা (প্যাঃ), রশুন (আম), দারুচিনি, এম এস রড (৬০, ৪০ গ্রেড)  এর মূল্য বৃদ্ধি পেয়েছে।</t>
  </si>
  <si>
    <t>(২)     রশুন (দেশী), ধনে, কাঁচামরিচ, বেগুন, শসা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</si>
</sst>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8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1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/>
    </xf>
    <xf numFmtId="167" fontId="13" fillId="2" borderId="1" xfId="3" applyNumberFormat="1" applyFont="1" applyFill="1" applyBorder="1" applyAlignment="1">
      <alignment horizontal="center"/>
    </xf>
    <xf numFmtId="167" fontId="13" fillId="6" borderId="1" xfId="1" applyNumberFormat="1" applyFont="1" applyFill="1" applyBorder="1" applyAlignment="1">
      <alignment horizontal="center"/>
    </xf>
    <xf numFmtId="167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7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 shrinkToFit="1"/>
    </xf>
    <xf numFmtId="168" fontId="13" fillId="0" borderId="1" xfId="1" applyNumberFormat="1" applyFont="1" applyFill="1" applyBorder="1" applyAlignment="1">
      <alignment horizontal="center" vertical="center" shrinkToFit="1"/>
    </xf>
    <xf numFmtId="168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167" fontId="1" fillId="2" borderId="1" xfId="3" applyNumberFormat="1" applyFont="1" applyFill="1" applyBorder="1" applyAlignment="1">
      <alignment horizontal="center"/>
    </xf>
    <xf numFmtId="167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7" fontId="13" fillId="0" borderId="0" xfId="1" applyNumberFormat="1" applyFont="1" applyFill="1" applyBorder="1" applyAlignment="1">
      <alignment horizontal="center"/>
    </xf>
    <xf numFmtId="167" fontId="13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1189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1"/>
  <sheetViews>
    <sheetView tabSelected="1" topLeftCell="A17" zoomScale="95" zoomScaleNormal="95" workbookViewId="0">
      <selection activeCell="B84" sqref="B84:L84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0" customWidth="1"/>
    <col min="14" max="16384" width="8.8359375" style="11"/>
  </cols>
  <sheetData>
    <row r="1" spans="1:18" ht="23.25" x14ac:dyDescent="0.3">
      <c r="A1" s="86" t="s">
        <v>118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18" x14ac:dyDescent="0.3">
      <c r="A2" s="87" t="s">
        <v>119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8" x14ac:dyDescent="0.3">
      <c r="A3" s="88" t="s">
        <v>128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</row>
    <row r="4" spans="1:18" x14ac:dyDescent="0.3">
      <c r="A4" s="89" t="s">
        <v>129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P4" s="52"/>
      <c r="Q4" s="52"/>
      <c r="R4" s="52"/>
    </row>
    <row r="5" spans="1:18" x14ac:dyDescent="0.3">
      <c r="A5" s="90" t="s">
        <v>127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P5" s="53"/>
      <c r="Q5" s="54"/>
    </row>
    <row r="6" spans="1:18" s="28" customFormat="1" x14ac:dyDescent="0.3">
      <c r="A6" s="79" t="s">
        <v>1</v>
      </c>
      <c r="B6" s="79" t="s">
        <v>2</v>
      </c>
      <c r="C6" s="72" t="s">
        <v>3</v>
      </c>
      <c r="D6" s="73"/>
      <c r="E6" s="72" t="s">
        <v>4</v>
      </c>
      <c r="F6" s="73"/>
      <c r="G6" s="72" t="s">
        <v>5</v>
      </c>
      <c r="H6" s="73"/>
      <c r="I6" s="25" t="s">
        <v>6</v>
      </c>
      <c r="J6" s="72" t="s">
        <v>7</v>
      </c>
      <c r="K6" s="73"/>
      <c r="L6" s="27" t="s">
        <v>8</v>
      </c>
      <c r="M6" s="50"/>
    </row>
    <row r="7" spans="1:18" s="28" customFormat="1" x14ac:dyDescent="0.3">
      <c r="A7" s="80"/>
      <c r="B7" s="80"/>
      <c r="C7" s="77">
        <v>46238</v>
      </c>
      <c r="D7" s="78"/>
      <c r="E7" s="77">
        <v>46231</v>
      </c>
      <c r="F7" s="78"/>
      <c r="G7" s="77">
        <v>46207</v>
      </c>
      <c r="H7" s="78"/>
      <c r="I7" s="25" t="s">
        <v>9</v>
      </c>
      <c r="J7" s="81">
        <v>45873</v>
      </c>
      <c r="K7" s="82"/>
      <c r="L7" s="25" t="s">
        <v>9</v>
      </c>
      <c r="M7" s="50"/>
    </row>
    <row r="8" spans="1:18" s="28" customFormat="1" x14ac:dyDescent="0.3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 x14ac:dyDescent="0.3">
      <c r="A9" s="44" t="s">
        <v>130</v>
      </c>
      <c r="B9" s="45" t="s">
        <v>14</v>
      </c>
      <c r="C9" s="38">
        <v>160</v>
      </c>
      <c r="D9" s="38">
        <v>200</v>
      </c>
      <c r="E9" s="38">
        <v>0</v>
      </c>
      <c r="F9" s="38">
        <v>0</v>
      </c>
      <c r="G9" s="38">
        <v>0</v>
      </c>
      <c r="H9" s="38">
        <v>0</v>
      </c>
      <c r="I9" s="47" t="e">
        <f>((C9+D9)/2-(G9+H9)/2)/((G9+H9)/2)*100</f>
        <v>#DIV/0!</v>
      </c>
      <c r="J9" s="56">
        <v>0</v>
      </c>
      <c r="K9" s="56">
        <v>0</v>
      </c>
      <c r="L9" s="48" t="e">
        <f>((C9+D9)/2-(J9+K9)/2)/((J9+K9)/2)*100</f>
        <v>#DIV/0!</v>
      </c>
      <c r="M9" s="50" t="e">
        <f>((C9+D9)/2-(E9+F9)/2)/((E9+F9)/2)*100</f>
        <v>#DIV/0!</v>
      </c>
    </row>
    <row r="10" spans="1:18" s="28" customFormat="1" x14ac:dyDescent="0.3">
      <c r="A10" s="44" t="s">
        <v>130</v>
      </c>
      <c r="B10" s="45" t="s">
        <v>19</v>
      </c>
      <c r="C10" s="38">
        <v>200</v>
      </c>
      <c r="D10" s="38">
        <v>230</v>
      </c>
      <c r="E10" s="38">
        <v>0</v>
      </c>
      <c r="F10" s="38">
        <v>0</v>
      </c>
      <c r="G10" s="38">
        <v>0</v>
      </c>
      <c r="H10" s="38">
        <v>0</v>
      </c>
      <c r="I10" s="47" t="e">
        <f>((C10+D10)/2-(G10+H10)/2)/((G10+H10)/2)*100</f>
        <v>#DIV/0!</v>
      </c>
      <c r="J10" s="56">
        <v>0</v>
      </c>
      <c r="K10" s="56">
        <v>0</v>
      </c>
      <c r="L10" s="47" t="e">
        <f>((F10+G10)/2-(J10+K10)/2)/((J10+K10)/2)*100</f>
        <v>#DIV/0!</v>
      </c>
      <c r="M10" s="50"/>
    </row>
    <row r="11" spans="1:18" s="28" customFormat="1" x14ac:dyDescent="0.3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72</v>
      </c>
      <c r="H11" s="38">
        <v>85</v>
      </c>
      <c r="I11" s="47">
        <f>((C11+D11)/2-(G11+H11)/2)/((G11+H11)/2)*100</f>
        <v>-1.2738853503184715</v>
      </c>
      <c r="J11" s="56">
        <v>75</v>
      </c>
      <c r="K11" s="56">
        <v>85</v>
      </c>
      <c r="L11" s="48">
        <f>((C11+D11)/2-(J11+K11)/2)/((J11+K11)/2)*100</f>
        <v>-3.125</v>
      </c>
      <c r="M11" s="50"/>
    </row>
    <row r="12" spans="1:18" s="28" customFormat="1" x14ac:dyDescent="0.3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68</v>
      </c>
      <c r="I12" s="47">
        <f>((C12+D12)/2-(G12+H12)/2)/((G12+H12)/2)*100</f>
        <v>-2.4390243902439024</v>
      </c>
      <c r="J12" s="56">
        <v>60</v>
      </c>
      <c r="K12" s="56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 x14ac:dyDescent="0.3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60</v>
      </c>
      <c r="I13" s="47">
        <f>((C13+D13)/2-(G13+H13)/2)/((G13+H13)/2)*100</f>
        <v>-4.5454545454545459</v>
      </c>
      <c r="J13" s="56">
        <v>55</v>
      </c>
      <c r="K13" s="56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 x14ac:dyDescent="0.3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57"/>
      <c r="K14" s="57"/>
      <c r="L14" s="33"/>
      <c r="M14" s="50"/>
    </row>
    <row r="15" spans="1:18" s="28" customFormat="1" x14ac:dyDescent="0.3">
      <c r="A15" s="44" t="s">
        <v>17</v>
      </c>
      <c r="B15" s="45" t="s">
        <v>14</v>
      </c>
      <c r="C15" s="38">
        <v>45</v>
      </c>
      <c r="D15" s="38">
        <v>50</v>
      </c>
      <c r="E15" s="38">
        <v>45</v>
      </c>
      <c r="F15" s="38">
        <v>50</v>
      </c>
      <c r="G15" s="38">
        <v>45</v>
      </c>
      <c r="H15" s="38">
        <v>46</v>
      </c>
      <c r="I15" s="47">
        <f>((C15+D15)/2-(G15+H15)/2)/((G15+H15)/2)*100</f>
        <v>4.395604395604396</v>
      </c>
      <c r="J15" s="56">
        <v>40</v>
      </c>
      <c r="K15" s="56">
        <v>45</v>
      </c>
      <c r="L15" s="48">
        <f>((C15+D15)/2-(J15+K15)/2)/((J15+K15)/2)*100</f>
        <v>11.76470588235294</v>
      </c>
      <c r="M15" s="50">
        <f t="shared" si="0"/>
        <v>0</v>
      </c>
    </row>
    <row r="16" spans="1:18" s="28" customFormat="1" x14ac:dyDescent="0.3">
      <c r="A16" s="44" t="s">
        <v>18</v>
      </c>
      <c r="B16" s="45" t="s">
        <v>19</v>
      </c>
      <c r="C16" s="38">
        <v>60</v>
      </c>
      <c r="D16" s="38">
        <v>65</v>
      </c>
      <c r="E16" s="38">
        <v>58</v>
      </c>
      <c r="F16" s="38">
        <v>60</v>
      </c>
      <c r="G16" s="38">
        <v>55</v>
      </c>
      <c r="H16" s="38">
        <v>60</v>
      </c>
      <c r="I16" s="47">
        <f>((C16+D16)/2-(G16+H16)/2)/((G16+H16)/2)*100</f>
        <v>8.695652173913043</v>
      </c>
      <c r="J16" s="56">
        <v>50</v>
      </c>
      <c r="K16" s="56">
        <v>55</v>
      </c>
      <c r="L16" s="48">
        <f>((C16+D16)/2-(J16+K16)/2)/((J16+K16)/2)*100</f>
        <v>19.047619047619047</v>
      </c>
      <c r="M16" s="50">
        <f t="shared" si="0"/>
        <v>5.9322033898305087</v>
      </c>
    </row>
    <row r="17" spans="1:13" s="28" customFormat="1" x14ac:dyDescent="0.3">
      <c r="A17" s="44" t="s">
        <v>20</v>
      </c>
      <c r="B17" s="45" t="s">
        <v>14</v>
      </c>
      <c r="C17" s="38">
        <v>60</v>
      </c>
      <c r="D17" s="38">
        <v>60</v>
      </c>
      <c r="E17" s="38">
        <v>60</v>
      </c>
      <c r="F17" s="38">
        <v>60</v>
      </c>
      <c r="G17" s="38">
        <v>55</v>
      </c>
      <c r="H17" s="38">
        <v>60</v>
      </c>
      <c r="I17" s="47">
        <f>((C17+D17)/2-(G17+H17)/2)/((G17+H17)/2)*100</f>
        <v>4.3478260869565215</v>
      </c>
      <c r="J17" s="56">
        <v>50</v>
      </c>
      <c r="K17" s="56">
        <v>60</v>
      </c>
      <c r="L17" s="48">
        <f>((C17+D17)/2-(J17+K17)/2)/((J17+K17)/2)*100</f>
        <v>9.0909090909090917</v>
      </c>
      <c r="M17" s="50">
        <f t="shared" si="0"/>
        <v>0</v>
      </c>
    </row>
    <row r="18" spans="1:13" s="28" customFormat="1" x14ac:dyDescent="0.3">
      <c r="A18" s="44" t="s">
        <v>21</v>
      </c>
      <c r="B18" s="45" t="s">
        <v>19</v>
      </c>
      <c r="C18" s="38">
        <v>65</v>
      </c>
      <c r="D18" s="38">
        <v>75</v>
      </c>
      <c r="E18" s="38">
        <v>65</v>
      </c>
      <c r="F18" s="38">
        <v>75</v>
      </c>
      <c r="G18" s="38">
        <v>60</v>
      </c>
      <c r="H18" s="38">
        <v>75</v>
      </c>
      <c r="I18" s="47">
        <f>((C18+D18)/2-(G18+H18)/2)/((G18+H18)/2)*100</f>
        <v>3.7037037037037033</v>
      </c>
      <c r="J18" s="56">
        <v>60</v>
      </c>
      <c r="K18" s="56">
        <v>70</v>
      </c>
      <c r="L18" s="48">
        <f>((C18+D18)/2-(J18+K18)/2)/((J18+K18)/2)*100</f>
        <v>7.6923076923076925</v>
      </c>
      <c r="M18" s="50">
        <f t="shared" si="0"/>
        <v>0</v>
      </c>
    </row>
    <row r="19" spans="1:13" s="28" customFormat="1" ht="18" customHeight="1" x14ac:dyDescent="0.3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57" t="s">
        <v>0</v>
      </c>
      <c r="K19" s="57"/>
      <c r="L19" s="30"/>
      <c r="M19" s="50"/>
    </row>
    <row r="20" spans="1:13" s="28" customFormat="1" x14ac:dyDescent="0.3">
      <c r="A20" s="44" t="s">
        <v>23</v>
      </c>
      <c r="B20" s="45" t="s">
        <v>24</v>
      </c>
      <c r="C20" s="40">
        <v>186</v>
      </c>
      <c r="D20" s="38">
        <v>195</v>
      </c>
      <c r="E20" s="40">
        <v>186</v>
      </c>
      <c r="F20" s="38">
        <v>195</v>
      </c>
      <c r="G20" s="40">
        <v>186</v>
      </c>
      <c r="H20" s="38">
        <v>192</v>
      </c>
      <c r="I20" s="47">
        <f t="shared" ref="I20:I26" si="1">((C20+D20)/2-(G20+H20)/2)/((G20+H20)/2)*100</f>
        <v>0.79365079365079361</v>
      </c>
      <c r="J20" s="56">
        <v>162</v>
      </c>
      <c r="K20" s="56">
        <v>170</v>
      </c>
      <c r="L20" s="48">
        <f t="shared" ref="L20:L26" si="2">((C20+D20)/2-(J20+K20)/2)/((J20+K20)/2)*100</f>
        <v>14.759036144578314</v>
      </c>
      <c r="M20" s="50">
        <f t="shared" si="0"/>
        <v>0</v>
      </c>
    </row>
    <row r="21" spans="1:13" s="28" customFormat="1" x14ac:dyDescent="0.3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0</v>
      </c>
      <c r="J21" s="56">
        <v>890</v>
      </c>
      <c r="K21" s="56">
        <v>920</v>
      </c>
      <c r="L21" s="48">
        <f t="shared" si="2"/>
        <v>7.7348066298342539</v>
      </c>
      <c r="M21" s="50">
        <f t="shared" si="0"/>
        <v>0</v>
      </c>
    </row>
    <row r="22" spans="1:13" s="28" customFormat="1" x14ac:dyDescent="0.3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56">
        <v>375</v>
      </c>
      <c r="K22" s="56">
        <v>378</v>
      </c>
      <c r="L22" s="48">
        <f t="shared" si="2"/>
        <v>5.7104913678618852</v>
      </c>
      <c r="M22" s="50">
        <f t="shared" si="0"/>
        <v>0</v>
      </c>
    </row>
    <row r="23" spans="1:13" s="28" customFormat="1" x14ac:dyDescent="0.3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56">
        <v>185</v>
      </c>
      <c r="K23" s="56">
        <v>190</v>
      </c>
      <c r="L23" s="48">
        <f t="shared" si="2"/>
        <v>6.1333333333333329</v>
      </c>
      <c r="M23" s="50">
        <f t="shared" si="0"/>
        <v>0</v>
      </c>
    </row>
    <row r="24" spans="1:13" s="28" customFormat="1" x14ac:dyDescent="0.3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</v>
      </c>
      <c r="J24" s="56">
        <v>150</v>
      </c>
      <c r="K24" s="56">
        <v>160</v>
      </c>
      <c r="L24" s="48">
        <f t="shared" si="2"/>
        <v>8.064516129032258</v>
      </c>
      <c r="M24" s="50">
        <f t="shared" si="0"/>
        <v>0</v>
      </c>
    </row>
    <row r="25" spans="1:13" s="28" customFormat="1" x14ac:dyDescent="0.3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56">
        <v>152</v>
      </c>
      <c r="K25" s="56">
        <v>163</v>
      </c>
      <c r="L25" s="48">
        <f t="shared" si="2"/>
        <v>9.5238095238095237</v>
      </c>
      <c r="M25" s="50">
        <f t="shared" si="0"/>
        <v>0</v>
      </c>
    </row>
    <row r="26" spans="1:13" s="28" customFormat="1" x14ac:dyDescent="0.3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56">
        <v>1030</v>
      </c>
      <c r="K26" s="56">
        <v>1080</v>
      </c>
      <c r="L26" s="48">
        <f t="shared" si="2"/>
        <v>2.8436018957345972</v>
      </c>
      <c r="M26" s="50">
        <f t="shared" si="0"/>
        <v>0</v>
      </c>
    </row>
    <row r="27" spans="1:13" s="28" customFormat="1" x14ac:dyDescent="0.3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58"/>
      <c r="K27" s="58" t="s">
        <v>32</v>
      </c>
      <c r="L27" s="33"/>
      <c r="M27" s="50"/>
    </row>
    <row r="28" spans="1:13" s="49" customFormat="1" x14ac:dyDescent="0.3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105</v>
      </c>
      <c r="I28" s="47">
        <f t="shared" ref="I28:I34" si="3">((C28+D28)/2-(G28+H28)/2)/((G28+H28)/2)*100</f>
        <v>-2.5641025641025639</v>
      </c>
      <c r="J28" s="56">
        <v>95</v>
      </c>
      <c r="K28" s="56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 x14ac:dyDescent="0.3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56">
        <v>110</v>
      </c>
      <c r="K29" s="56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 x14ac:dyDescent="0.3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56">
        <v>145</v>
      </c>
      <c r="K30" s="56">
        <v>155</v>
      </c>
      <c r="L30" s="48">
        <f t="shared" si="4"/>
        <v>3.3333333333333335</v>
      </c>
      <c r="M30" s="50">
        <f t="shared" si="0"/>
        <v>0</v>
      </c>
    </row>
    <row r="31" spans="1:13" s="49" customFormat="1" x14ac:dyDescent="0.3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56">
        <v>120</v>
      </c>
      <c r="K31" s="56">
        <v>180</v>
      </c>
      <c r="L31" s="48">
        <f t="shared" si="4"/>
        <v>0</v>
      </c>
      <c r="M31" s="50">
        <f t="shared" si="0"/>
        <v>0</v>
      </c>
    </row>
    <row r="32" spans="1:13" s="49" customFormat="1" x14ac:dyDescent="0.3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56">
        <v>60</v>
      </c>
      <c r="K32" s="56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 x14ac:dyDescent="0.3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56">
        <v>90</v>
      </c>
      <c r="K33" s="56">
        <v>110</v>
      </c>
      <c r="L33" s="48">
        <f t="shared" si="4"/>
        <v>-5</v>
      </c>
      <c r="M33" s="50">
        <f t="shared" si="0"/>
        <v>0</v>
      </c>
    </row>
    <row r="34" spans="1:13" s="49" customFormat="1" x14ac:dyDescent="0.3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56">
        <v>20</v>
      </c>
      <c r="K34" s="56">
        <v>30</v>
      </c>
      <c r="L34" s="48">
        <f t="shared" si="4"/>
        <v>10</v>
      </c>
      <c r="M34" s="50">
        <f t="shared" si="0"/>
        <v>0</v>
      </c>
    </row>
    <row r="35" spans="1:13" s="28" customFormat="1" x14ac:dyDescent="0.3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58"/>
      <c r="K35" s="58"/>
      <c r="L35" s="33"/>
      <c r="M35" s="50"/>
    </row>
    <row r="36" spans="1:13" s="49" customFormat="1" x14ac:dyDescent="0.3">
      <c r="A36" s="44" t="s">
        <v>101</v>
      </c>
      <c r="B36" s="45" t="s">
        <v>14</v>
      </c>
      <c r="C36" s="40">
        <v>55</v>
      </c>
      <c r="D36" s="40">
        <v>60</v>
      </c>
      <c r="E36" s="40">
        <v>55</v>
      </c>
      <c r="F36" s="40">
        <v>60</v>
      </c>
      <c r="G36" s="40">
        <v>40</v>
      </c>
      <c r="H36" s="40">
        <v>45</v>
      </c>
      <c r="I36" s="47">
        <f t="shared" ref="I36:I51" si="5">((C36+D36)/2-(G36+H36)/2)/((G36+H36)/2)*100</f>
        <v>35.294117647058826</v>
      </c>
      <c r="J36" s="56">
        <v>70</v>
      </c>
      <c r="K36" s="56">
        <v>85</v>
      </c>
      <c r="L36" s="48">
        <f t="shared" ref="L36:L51" si="6">((C36+D36)/2-(J36+K36)/2)/((J36+K36)/2)*100</f>
        <v>-25.806451612903224</v>
      </c>
      <c r="M36" s="50">
        <f>((C36+D36)/2-(E36+F36)/2)/((E36+F36)/2)*100</f>
        <v>0</v>
      </c>
    </row>
    <row r="37" spans="1:13" s="49" customFormat="1" x14ac:dyDescent="0.3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56">
        <v>0</v>
      </c>
      <c r="K37" s="56">
        <v>0</v>
      </c>
      <c r="L37" s="48" t="e">
        <f t="shared" si="6"/>
        <v>#DIV/0!</v>
      </c>
      <c r="M37" s="50"/>
    </row>
    <row r="38" spans="1:13" s="49" customFormat="1" x14ac:dyDescent="0.3">
      <c r="A38" s="44" t="s">
        <v>40</v>
      </c>
      <c r="B38" s="45" t="s">
        <v>14</v>
      </c>
      <c r="C38" s="38">
        <v>100</v>
      </c>
      <c r="D38" s="38">
        <v>120</v>
      </c>
      <c r="E38" s="38">
        <v>100</v>
      </c>
      <c r="F38" s="38">
        <v>130</v>
      </c>
      <c r="G38" s="38">
        <v>90</v>
      </c>
      <c r="H38" s="38">
        <v>140</v>
      </c>
      <c r="I38" s="47">
        <f t="shared" si="5"/>
        <v>-4.3478260869565215</v>
      </c>
      <c r="J38" s="56">
        <v>80</v>
      </c>
      <c r="K38" s="56">
        <v>160</v>
      </c>
      <c r="L38" s="48">
        <f t="shared" si="6"/>
        <v>-8.3333333333333321</v>
      </c>
      <c r="M38" s="50">
        <f t="shared" si="0"/>
        <v>-4.3478260869565215</v>
      </c>
    </row>
    <row r="39" spans="1:13" s="49" customFormat="1" x14ac:dyDescent="0.3">
      <c r="A39" s="44" t="s">
        <v>41</v>
      </c>
      <c r="B39" s="45" t="s">
        <v>14</v>
      </c>
      <c r="C39" s="40">
        <v>170</v>
      </c>
      <c r="D39" s="38">
        <v>220</v>
      </c>
      <c r="E39" s="40">
        <v>170</v>
      </c>
      <c r="F39" s="38">
        <v>200</v>
      </c>
      <c r="G39" s="40">
        <v>120</v>
      </c>
      <c r="H39" s="38">
        <v>200</v>
      </c>
      <c r="I39" s="47">
        <f t="shared" si="5"/>
        <v>21.875</v>
      </c>
      <c r="J39" s="56">
        <v>160</v>
      </c>
      <c r="K39" s="56">
        <v>210</v>
      </c>
      <c r="L39" s="48">
        <f t="shared" si="6"/>
        <v>5.4054054054054053</v>
      </c>
      <c r="M39" s="50">
        <f t="shared" si="0"/>
        <v>5.4054054054054053</v>
      </c>
    </row>
    <row r="40" spans="1:13" s="49" customFormat="1" x14ac:dyDescent="0.3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300</v>
      </c>
      <c r="H40" s="38">
        <v>380</v>
      </c>
      <c r="I40" s="47">
        <f t="shared" si="5"/>
        <v>2.9411764705882351</v>
      </c>
      <c r="J40" s="56">
        <v>240</v>
      </c>
      <c r="K40" s="56">
        <v>350</v>
      </c>
      <c r="L40" s="48">
        <f t="shared" si="6"/>
        <v>18.64406779661017</v>
      </c>
      <c r="M40" s="50">
        <f t="shared" si="0"/>
        <v>0</v>
      </c>
    </row>
    <row r="41" spans="1:13" s="49" customFormat="1" x14ac:dyDescent="0.3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56">
        <v>300</v>
      </c>
      <c r="K41" s="56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 x14ac:dyDescent="0.3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56">
        <v>300</v>
      </c>
      <c r="K42" s="56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 x14ac:dyDescent="0.3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56">
        <v>300</v>
      </c>
      <c r="K43" s="56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 x14ac:dyDescent="0.3">
      <c r="A44" s="44" t="s">
        <v>46</v>
      </c>
      <c r="B44" s="45" t="s">
        <v>14</v>
      </c>
      <c r="C44" s="38">
        <v>130</v>
      </c>
      <c r="D44" s="38">
        <v>160</v>
      </c>
      <c r="E44" s="38">
        <v>130</v>
      </c>
      <c r="F44" s="38">
        <v>160</v>
      </c>
      <c r="G44" s="38">
        <v>130</v>
      </c>
      <c r="H44" s="38">
        <v>160</v>
      </c>
      <c r="I44" s="47">
        <f t="shared" si="5"/>
        <v>0</v>
      </c>
      <c r="J44" s="56">
        <v>0</v>
      </c>
      <c r="K44" s="56">
        <v>0</v>
      </c>
      <c r="L44" s="48" t="e">
        <f t="shared" si="6"/>
        <v>#DIV/0!</v>
      </c>
      <c r="M44" s="50">
        <f t="shared" si="0"/>
        <v>0</v>
      </c>
    </row>
    <row r="45" spans="1:13" s="49" customFormat="1" x14ac:dyDescent="0.3">
      <c r="A45" s="44" t="s">
        <v>47</v>
      </c>
      <c r="B45" s="45" t="s">
        <v>14</v>
      </c>
      <c r="C45" s="38">
        <v>160</v>
      </c>
      <c r="D45" s="38">
        <v>200</v>
      </c>
      <c r="E45" s="38">
        <v>160</v>
      </c>
      <c r="F45" s="38">
        <v>200</v>
      </c>
      <c r="G45" s="38">
        <v>120</v>
      </c>
      <c r="H45" s="38">
        <v>180</v>
      </c>
      <c r="I45" s="47">
        <f t="shared" si="5"/>
        <v>20</v>
      </c>
      <c r="J45" s="56">
        <v>180</v>
      </c>
      <c r="K45" s="56">
        <v>280</v>
      </c>
      <c r="L45" s="48">
        <f t="shared" si="6"/>
        <v>-21.739130434782609</v>
      </c>
      <c r="M45" s="50">
        <f t="shared" si="0"/>
        <v>0</v>
      </c>
    </row>
    <row r="46" spans="1:13" s="49" customFormat="1" x14ac:dyDescent="0.3">
      <c r="A46" s="44" t="s">
        <v>48</v>
      </c>
      <c r="B46" s="45" t="s">
        <v>14</v>
      </c>
      <c r="C46" s="40">
        <v>600</v>
      </c>
      <c r="D46" s="38">
        <v>650</v>
      </c>
      <c r="E46" s="40">
        <v>600</v>
      </c>
      <c r="F46" s="38">
        <v>650</v>
      </c>
      <c r="G46" s="40">
        <v>600</v>
      </c>
      <c r="H46" s="38">
        <v>700</v>
      </c>
      <c r="I46" s="47">
        <f t="shared" si="5"/>
        <v>-3.8461538461538463</v>
      </c>
      <c r="J46" s="56">
        <v>600</v>
      </c>
      <c r="K46" s="56">
        <v>750</v>
      </c>
      <c r="L46" s="48">
        <f t="shared" si="6"/>
        <v>-7.4074074074074066</v>
      </c>
      <c r="M46" s="50">
        <f t="shared" si="0"/>
        <v>0</v>
      </c>
    </row>
    <row r="47" spans="1:13" s="49" customFormat="1" x14ac:dyDescent="0.3">
      <c r="A47" s="44" t="s">
        <v>49</v>
      </c>
      <c r="B47" s="45" t="s">
        <v>14</v>
      </c>
      <c r="C47" s="38">
        <v>520</v>
      </c>
      <c r="D47" s="38">
        <v>600</v>
      </c>
      <c r="E47" s="38">
        <v>500</v>
      </c>
      <c r="F47" s="38">
        <v>600</v>
      </c>
      <c r="G47" s="38">
        <v>500</v>
      </c>
      <c r="H47" s="38">
        <v>600</v>
      </c>
      <c r="I47" s="47">
        <f t="shared" si="5"/>
        <v>1.8181818181818181</v>
      </c>
      <c r="J47" s="56">
        <v>500</v>
      </c>
      <c r="K47" s="56">
        <v>600</v>
      </c>
      <c r="L47" s="48">
        <f t="shared" si="6"/>
        <v>1.8181818181818181</v>
      </c>
      <c r="M47" s="50">
        <f t="shared" si="0"/>
        <v>1.8181818181818181</v>
      </c>
    </row>
    <row r="48" spans="1:13" s="49" customFormat="1" x14ac:dyDescent="0.3">
      <c r="A48" s="44" t="s">
        <v>50</v>
      </c>
      <c r="B48" s="45" t="s">
        <v>14</v>
      </c>
      <c r="C48" s="38">
        <v>1400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0</v>
      </c>
      <c r="J48" s="56">
        <v>1400</v>
      </c>
      <c r="K48" s="56">
        <v>1600</v>
      </c>
      <c r="L48" s="48">
        <f t="shared" si="6"/>
        <v>0</v>
      </c>
      <c r="M48" s="50">
        <f t="shared" si="0"/>
        <v>0</v>
      </c>
    </row>
    <row r="49" spans="1:13" s="49" customFormat="1" x14ac:dyDescent="0.3">
      <c r="A49" s="44" t="s">
        <v>51</v>
      </c>
      <c r="B49" s="45" t="s">
        <v>14</v>
      </c>
      <c r="C49" s="40">
        <v>4600</v>
      </c>
      <c r="D49" s="38">
        <v>5500</v>
      </c>
      <c r="E49" s="40">
        <v>4600</v>
      </c>
      <c r="F49" s="38">
        <v>5500</v>
      </c>
      <c r="G49" s="40">
        <v>4600</v>
      </c>
      <c r="H49" s="38">
        <v>5500</v>
      </c>
      <c r="I49" s="47">
        <f t="shared" si="5"/>
        <v>0</v>
      </c>
      <c r="J49" s="56">
        <v>4500</v>
      </c>
      <c r="K49" s="56">
        <v>5200</v>
      </c>
      <c r="L49" s="48">
        <f t="shared" si="6"/>
        <v>4.1237113402061851</v>
      </c>
      <c r="M49" s="50">
        <f t="shared" si="0"/>
        <v>0</v>
      </c>
    </row>
    <row r="50" spans="1:13" s="49" customFormat="1" x14ac:dyDescent="0.3">
      <c r="A50" s="44" t="s">
        <v>52</v>
      </c>
      <c r="B50" s="45" t="s">
        <v>14</v>
      </c>
      <c r="C50" s="38">
        <v>180</v>
      </c>
      <c r="D50" s="38">
        <v>260</v>
      </c>
      <c r="E50" s="38">
        <v>180</v>
      </c>
      <c r="F50" s="38">
        <v>280</v>
      </c>
      <c r="G50" s="38">
        <v>180</v>
      </c>
      <c r="H50" s="38">
        <v>280</v>
      </c>
      <c r="I50" s="47">
        <f t="shared" si="5"/>
        <v>-4.3478260869565215</v>
      </c>
      <c r="J50" s="56">
        <v>180</v>
      </c>
      <c r="K50" s="56">
        <v>280</v>
      </c>
      <c r="L50" s="48">
        <f t="shared" si="6"/>
        <v>-4.3478260869565215</v>
      </c>
      <c r="M50" s="50">
        <f t="shared" si="0"/>
        <v>-4.3478260869565215</v>
      </c>
    </row>
    <row r="51" spans="1:13" s="49" customFormat="1" x14ac:dyDescent="0.3">
      <c r="A51" s="44" t="s">
        <v>53</v>
      </c>
      <c r="B51" s="45" t="s">
        <v>14</v>
      </c>
      <c r="C51" s="38">
        <v>180</v>
      </c>
      <c r="D51" s="38">
        <v>220</v>
      </c>
      <c r="E51" s="38">
        <v>180</v>
      </c>
      <c r="F51" s="38">
        <v>220</v>
      </c>
      <c r="G51" s="38">
        <v>180</v>
      </c>
      <c r="H51" s="38">
        <v>220</v>
      </c>
      <c r="I51" s="47">
        <f t="shared" si="5"/>
        <v>0</v>
      </c>
      <c r="J51" s="56">
        <v>180</v>
      </c>
      <c r="K51" s="56">
        <v>220</v>
      </c>
      <c r="L51" s="48">
        <f t="shared" si="6"/>
        <v>0</v>
      </c>
      <c r="M51" s="50">
        <f t="shared" si="0"/>
        <v>0</v>
      </c>
    </row>
    <row r="52" spans="1:13" s="28" customFormat="1" x14ac:dyDescent="0.3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58"/>
      <c r="K52" s="58"/>
      <c r="L52" s="33"/>
      <c r="M52" s="50"/>
    </row>
    <row r="53" spans="1:13" s="49" customFormat="1" x14ac:dyDescent="0.3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56">
        <v>300</v>
      </c>
      <c r="K53" s="56">
        <v>450</v>
      </c>
      <c r="L53" s="48">
        <f t="shared" ref="L53:L58" si="8">((C53+D53)/2-(J53+K53)/2)/((J53+K53)/2)*100</f>
        <v>0</v>
      </c>
      <c r="M53" s="50">
        <f t="shared" si="0"/>
        <v>0</v>
      </c>
    </row>
    <row r="54" spans="1:13" s="49" customFormat="1" x14ac:dyDescent="0.3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56">
        <v>800</v>
      </c>
      <c r="K54" s="56">
        <v>2000</v>
      </c>
      <c r="L54" s="48">
        <f t="shared" si="8"/>
        <v>-7.1428571428571423</v>
      </c>
      <c r="M54" s="50">
        <f t="shared" si="0"/>
        <v>0</v>
      </c>
    </row>
    <row r="55" spans="1:13" s="49" customFormat="1" x14ac:dyDescent="0.3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56">
        <v>750</v>
      </c>
      <c r="K55" s="56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 x14ac:dyDescent="0.3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56">
        <v>1100</v>
      </c>
      <c r="K56" s="56">
        <v>1250</v>
      </c>
      <c r="L56" s="48">
        <f t="shared" si="8"/>
        <v>8.5106382978723403</v>
      </c>
      <c r="M56" s="50">
        <f t="shared" si="0"/>
        <v>0</v>
      </c>
    </row>
    <row r="57" spans="1:13" s="49" customFormat="1" x14ac:dyDescent="0.3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160</v>
      </c>
      <c r="H57" s="38">
        <v>180</v>
      </c>
      <c r="I57" s="47">
        <f t="shared" si="7"/>
        <v>11.76470588235294</v>
      </c>
      <c r="J57" s="56">
        <v>145</v>
      </c>
      <c r="K57" s="56">
        <v>170</v>
      </c>
      <c r="L57" s="48">
        <f t="shared" si="8"/>
        <v>20.634920634920633</v>
      </c>
      <c r="M57" s="50">
        <f t="shared" si="0"/>
        <v>0</v>
      </c>
    </row>
    <row r="58" spans="1:13" s="49" customFormat="1" x14ac:dyDescent="0.3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56">
        <v>580</v>
      </c>
      <c r="K58" s="56">
        <v>700</v>
      </c>
      <c r="L58" s="48">
        <f t="shared" si="8"/>
        <v>5.46875</v>
      </c>
      <c r="M58" s="50">
        <f t="shared" si="0"/>
        <v>0</v>
      </c>
    </row>
    <row r="59" spans="1:13" s="28" customFormat="1" x14ac:dyDescent="0.3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59"/>
      <c r="K59" s="59"/>
      <c r="L59" s="35"/>
      <c r="M59" s="50"/>
    </row>
    <row r="60" spans="1:13" s="49" customFormat="1" ht="23.25" customHeight="1" x14ac:dyDescent="0.3">
      <c r="A60" s="44" t="s">
        <v>60</v>
      </c>
      <c r="B60" s="45" t="s">
        <v>61</v>
      </c>
      <c r="C60" s="38">
        <v>900</v>
      </c>
      <c r="D60" s="38">
        <v>950</v>
      </c>
      <c r="E60" s="38">
        <v>900</v>
      </c>
      <c r="F60" s="38">
        <v>950</v>
      </c>
      <c r="G60" s="38">
        <v>830</v>
      </c>
      <c r="H60" s="38">
        <v>900</v>
      </c>
      <c r="I60" s="47">
        <f>((C60+D60)/2-(G61+H61)/2)/((G61+H61)/2)*100</f>
        <v>4.5197740112994351</v>
      </c>
      <c r="J60" s="56">
        <v>720</v>
      </c>
      <c r="K60" s="56">
        <v>860</v>
      </c>
      <c r="L60" s="48">
        <f>((C60+D60)/2-(J61+K61)/2)/((J61+K61)/2)*100</f>
        <v>5.7142857142857144</v>
      </c>
      <c r="M60" s="50">
        <f t="shared" si="0"/>
        <v>0</v>
      </c>
    </row>
    <row r="61" spans="1:13" s="49" customFormat="1" ht="20.25" customHeight="1" x14ac:dyDescent="0.3">
      <c r="A61" s="44" t="s">
        <v>62</v>
      </c>
      <c r="B61" s="45" t="s">
        <v>61</v>
      </c>
      <c r="C61" s="38">
        <v>920</v>
      </c>
      <c r="D61" s="38">
        <v>930</v>
      </c>
      <c r="E61" s="38">
        <v>920</v>
      </c>
      <c r="F61" s="38">
        <v>930</v>
      </c>
      <c r="G61" s="38">
        <v>850</v>
      </c>
      <c r="H61" s="38">
        <v>920</v>
      </c>
      <c r="I61" s="47">
        <f>((C61+D61)/2-(G62+H62)/2)/((G62+H62)/2)*100</f>
        <v>7.5581395348837201</v>
      </c>
      <c r="J61" s="56">
        <v>840</v>
      </c>
      <c r="K61" s="56">
        <v>910</v>
      </c>
      <c r="L61" s="48">
        <f>((C61+D61)/2-(J62+K62)/2)/((J62+K62)/2)*100</f>
        <v>7.5581395348837201</v>
      </c>
      <c r="M61" s="50">
        <f t="shared" si="0"/>
        <v>0</v>
      </c>
    </row>
    <row r="62" spans="1:13" s="49" customFormat="1" ht="22.5" customHeight="1" x14ac:dyDescent="0.3">
      <c r="A62" s="44" t="s">
        <v>63</v>
      </c>
      <c r="B62" s="45" t="s">
        <v>61</v>
      </c>
      <c r="C62" s="38">
        <v>910</v>
      </c>
      <c r="D62" s="38">
        <v>950</v>
      </c>
      <c r="E62" s="38">
        <v>910</v>
      </c>
      <c r="F62" s="38">
        <v>950</v>
      </c>
      <c r="G62" s="38">
        <v>830</v>
      </c>
      <c r="H62" s="38">
        <v>890</v>
      </c>
      <c r="I62" s="47">
        <f>((C62+D62)/2-(G63+H63)/2)/((G63+H63)/2)*100</f>
        <v>7.5144508670520231</v>
      </c>
      <c r="J62" s="56">
        <v>830</v>
      </c>
      <c r="K62" s="56">
        <v>890</v>
      </c>
      <c r="L62" s="48">
        <f>((C62+D62)/2-(J63+K63)/2)/((J63+K63)/2)*100</f>
        <v>7.5144508670520231</v>
      </c>
      <c r="M62" s="50">
        <f t="shared" si="0"/>
        <v>0</v>
      </c>
    </row>
    <row r="63" spans="1:13" s="49" customFormat="1" ht="25.5" customHeight="1" x14ac:dyDescent="0.3">
      <c r="A63" s="44" t="s">
        <v>64</v>
      </c>
      <c r="B63" s="45" t="s">
        <v>61</v>
      </c>
      <c r="C63" s="38">
        <v>920</v>
      </c>
      <c r="D63" s="38">
        <v>960</v>
      </c>
      <c r="E63" s="38">
        <v>920</v>
      </c>
      <c r="F63" s="38">
        <v>960</v>
      </c>
      <c r="G63" s="38">
        <v>830</v>
      </c>
      <c r="H63" s="38">
        <v>900</v>
      </c>
      <c r="I63" s="47" t="e">
        <f>((C63+D63)/2-(#REF!+#REF!)/2)/((#REF!+#REF!)/2)*100</f>
        <v>#REF!</v>
      </c>
      <c r="J63" s="56">
        <v>830</v>
      </c>
      <c r="K63" s="56">
        <v>900</v>
      </c>
      <c r="L63" s="48" t="e">
        <f>((C63+D63)/2-(#REF!+#REF!)/2)/((#REF!+#REF!)/2)*100</f>
        <v>#REF!</v>
      </c>
      <c r="M63" s="50">
        <f t="shared" si="0"/>
        <v>0</v>
      </c>
    </row>
    <row r="64" spans="1:13" ht="25.5" customHeight="1" x14ac:dyDescent="0.3">
      <c r="A64" s="7"/>
      <c r="B64" s="1"/>
      <c r="C64" s="3"/>
      <c r="D64" s="3"/>
      <c r="E64" s="3"/>
      <c r="F64" s="3"/>
      <c r="G64" s="3"/>
      <c r="H64" s="3"/>
      <c r="I64" s="4"/>
      <c r="J64" s="64"/>
      <c r="K64" s="64"/>
      <c r="L64" s="5"/>
    </row>
    <row r="65" spans="1:13" ht="25.5" customHeight="1" x14ac:dyDescent="0.3">
      <c r="A65" s="7"/>
      <c r="B65" s="1"/>
      <c r="C65" s="3"/>
      <c r="D65" s="3"/>
      <c r="E65" s="3"/>
      <c r="F65" s="3"/>
      <c r="G65" s="3"/>
      <c r="H65" s="3"/>
      <c r="I65" s="4"/>
      <c r="J65" s="64"/>
      <c r="K65" s="64"/>
      <c r="L65" s="5"/>
    </row>
    <row r="66" spans="1:13" ht="25.5" customHeight="1" x14ac:dyDescent="0.3">
      <c r="A66" s="7"/>
      <c r="B66" s="1"/>
      <c r="C66" s="3"/>
      <c r="D66" s="3"/>
      <c r="E66" s="3"/>
      <c r="F66" s="3"/>
      <c r="G66" s="3"/>
      <c r="H66" s="3"/>
      <c r="I66" s="4"/>
      <c r="J66" s="64"/>
      <c r="K66" s="64"/>
      <c r="L66" s="5"/>
    </row>
    <row r="67" spans="1:13" x14ac:dyDescent="0.3">
      <c r="A67" s="79" t="s">
        <v>1</v>
      </c>
      <c r="B67" s="79" t="s">
        <v>2</v>
      </c>
      <c r="C67" s="72" t="s">
        <v>3</v>
      </c>
      <c r="D67" s="73"/>
      <c r="E67" s="72" t="s">
        <v>4</v>
      </c>
      <c r="F67" s="73"/>
      <c r="G67" s="72" t="s">
        <v>5</v>
      </c>
      <c r="H67" s="73"/>
      <c r="I67" s="25" t="s">
        <v>6</v>
      </c>
      <c r="J67" s="72" t="s">
        <v>7</v>
      </c>
      <c r="K67" s="73"/>
      <c r="L67" s="25" t="s">
        <v>8</v>
      </c>
    </row>
    <row r="68" spans="1:13" ht="18" customHeight="1" x14ac:dyDescent="0.3">
      <c r="A68" s="80"/>
      <c r="B68" s="80"/>
      <c r="C68" s="77">
        <v>46238</v>
      </c>
      <c r="D68" s="78"/>
      <c r="E68" s="77">
        <v>46231</v>
      </c>
      <c r="F68" s="78"/>
      <c r="G68" s="77">
        <v>46207</v>
      </c>
      <c r="H68" s="78"/>
      <c r="I68" s="25" t="s">
        <v>9</v>
      </c>
      <c r="J68" s="81">
        <v>45873</v>
      </c>
      <c r="K68" s="82"/>
      <c r="L68" s="25" t="s">
        <v>9</v>
      </c>
    </row>
    <row r="69" spans="1:13" x14ac:dyDescent="0.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55" t="s">
        <v>10</v>
      </c>
      <c r="K69" s="55" t="s">
        <v>11</v>
      </c>
      <c r="L69" s="30" t="s">
        <v>12</v>
      </c>
    </row>
    <row r="70" spans="1:13" s="50" customFormat="1" ht="18.75" customHeight="1" x14ac:dyDescent="0.3">
      <c r="A70" s="44" t="s">
        <v>66</v>
      </c>
      <c r="B70" s="45" t="s">
        <v>14</v>
      </c>
      <c r="C70" s="38">
        <v>105</v>
      </c>
      <c r="D70" s="38">
        <v>110</v>
      </c>
      <c r="E70" s="38">
        <v>105</v>
      </c>
      <c r="F70" s="38">
        <v>110</v>
      </c>
      <c r="G70" s="38">
        <v>105</v>
      </c>
      <c r="H70" s="38">
        <v>110</v>
      </c>
      <c r="I70" s="47">
        <f>((C70+D70)/2-(G70+H70)/2)/((G70+H70)/2)*100</f>
        <v>0</v>
      </c>
      <c r="J70" s="56">
        <v>105</v>
      </c>
      <c r="K70" s="56">
        <v>115</v>
      </c>
      <c r="L70" s="48">
        <f t="shared" ref="L70:L76" si="9">((C70+D70)/2-(J70+K70)/2)/((J70+K70)/2)*100</f>
        <v>-2.2727272727272729</v>
      </c>
      <c r="M70" s="50">
        <f t="shared" si="0"/>
        <v>0</v>
      </c>
    </row>
    <row r="71" spans="1:13" s="50" customFormat="1" x14ac:dyDescent="0.3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>((C71+D71)/2-(G71+H71)/2)/((G71+H71)/2)*100</f>
        <v>0</v>
      </c>
      <c r="J71" s="56">
        <v>220</v>
      </c>
      <c r="K71" s="56">
        <v>550</v>
      </c>
      <c r="L71" s="48">
        <f t="shared" si="9"/>
        <v>16.883116883116884</v>
      </c>
      <c r="M71" s="50">
        <f t="shared" si="0"/>
        <v>0</v>
      </c>
    </row>
    <row r="72" spans="1:13" s="50" customFormat="1" x14ac:dyDescent="0.3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38</v>
      </c>
      <c r="H72" s="38">
        <v>42</v>
      </c>
      <c r="I72" s="47">
        <f>((C72+D72)/2-(G72+H72)/2)/((G72+H72)/2)*100</f>
        <v>2.5</v>
      </c>
      <c r="J72" s="56">
        <v>38</v>
      </c>
      <c r="K72" s="56">
        <v>42</v>
      </c>
      <c r="L72" s="48">
        <f t="shared" si="9"/>
        <v>2.5</v>
      </c>
      <c r="M72" s="50">
        <f t="shared" si="0"/>
        <v>0</v>
      </c>
    </row>
    <row r="73" spans="1:13" s="50" customFormat="1" ht="18.75" x14ac:dyDescent="0.25">
      <c r="A73" s="44" t="s">
        <v>104</v>
      </c>
      <c r="B73" s="51" t="s">
        <v>69</v>
      </c>
      <c r="C73" s="38">
        <v>20</v>
      </c>
      <c r="D73" s="38">
        <v>25</v>
      </c>
      <c r="E73" s="38">
        <v>20</v>
      </c>
      <c r="F73" s="38">
        <v>25</v>
      </c>
      <c r="G73" s="38">
        <v>20</v>
      </c>
      <c r="H73" s="38">
        <v>25</v>
      </c>
      <c r="I73" s="47">
        <f t="shared" ref="I73:I80" si="10">((C73+D73)/2-(G73+H73)/2)/((G73+H73)/2)*100</f>
        <v>0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0</v>
      </c>
    </row>
    <row r="74" spans="1:13" s="50" customFormat="1" ht="18.75" x14ac:dyDescent="0.25">
      <c r="A74" s="44" t="s">
        <v>105</v>
      </c>
      <c r="B74" s="51" t="s">
        <v>14</v>
      </c>
      <c r="C74" s="38">
        <v>280</v>
      </c>
      <c r="D74" s="38">
        <v>320</v>
      </c>
      <c r="E74" s="38">
        <v>300</v>
      </c>
      <c r="F74" s="38">
        <v>350</v>
      </c>
      <c r="G74" s="38">
        <v>80</v>
      </c>
      <c r="H74" s="38">
        <v>140</v>
      </c>
      <c r="I74" s="47">
        <f t="shared" si="10"/>
        <v>172.72727272727272</v>
      </c>
      <c r="J74" s="46">
        <v>0</v>
      </c>
      <c r="K74" s="46">
        <v>0</v>
      </c>
      <c r="L74" s="48" t="e">
        <f t="shared" si="9"/>
        <v>#DIV/0!</v>
      </c>
      <c r="M74" s="50">
        <f t="shared" si="11"/>
        <v>-7.6923076923076925</v>
      </c>
    </row>
    <row r="75" spans="1:13" s="50" customFormat="1" x14ac:dyDescent="0.3">
      <c r="A75" s="44" t="s">
        <v>106</v>
      </c>
      <c r="B75" s="51" t="s">
        <v>14</v>
      </c>
      <c r="C75" s="38">
        <v>100</v>
      </c>
      <c r="D75" s="38">
        <v>120</v>
      </c>
      <c r="E75" s="38">
        <v>100</v>
      </c>
      <c r="F75" s="38">
        <v>140</v>
      </c>
      <c r="G75" s="38">
        <v>80</v>
      </c>
      <c r="H75" s="38">
        <v>100</v>
      </c>
      <c r="I75" s="47">
        <f t="shared" si="10"/>
        <v>22.222222222222221</v>
      </c>
      <c r="J75" s="67">
        <v>40</v>
      </c>
      <c r="K75" s="67">
        <v>120</v>
      </c>
      <c r="L75" s="48">
        <f t="shared" si="9"/>
        <v>37.5</v>
      </c>
      <c r="M75" s="50">
        <f t="shared" si="11"/>
        <v>-8.3333333333333321</v>
      </c>
    </row>
    <row r="76" spans="1:13" s="50" customFormat="1" x14ac:dyDescent="0.3">
      <c r="A76" s="44" t="s">
        <v>107</v>
      </c>
      <c r="B76" s="51" t="s">
        <v>14</v>
      </c>
      <c r="C76" s="38">
        <v>80</v>
      </c>
      <c r="D76" s="38">
        <v>100</v>
      </c>
      <c r="E76" s="38">
        <v>80</v>
      </c>
      <c r="F76" s="38">
        <v>150</v>
      </c>
      <c r="G76" s="38">
        <v>50</v>
      </c>
      <c r="H76" s="38">
        <v>80</v>
      </c>
      <c r="I76" s="47">
        <f t="shared" si="10"/>
        <v>38.461538461538467</v>
      </c>
      <c r="J76" s="67">
        <v>50</v>
      </c>
      <c r="K76" s="67">
        <v>100</v>
      </c>
      <c r="L76" s="48">
        <f t="shared" si="9"/>
        <v>20</v>
      </c>
      <c r="M76" s="50">
        <f t="shared" si="11"/>
        <v>-21.739130434782609</v>
      </c>
    </row>
    <row r="77" spans="1:13" s="50" customFormat="1" ht="18.75" customHeight="1" x14ac:dyDescent="0.3">
      <c r="A77" s="44" t="s">
        <v>68</v>
      </c>
      <c r="B77" s="45" t="s">
        <v>69</v>
      </c>
      <c r="C77" s="43">
        <v>45</v>
      </c>
      <c r="D77" s="43">
        <v>50</v>
      </c>
      <c r="E77" s="43">
        <v>45</v>
      </c>
      <c r="F77" s="43">
        <v>50</v>
      </c>
      <c r="G77" s="43">
        <v>45</v>
      </c>
      <c r="H77" s="43">
        <v>50</v>
      </c>
      <c r="I77" s="47">
        <f t="shared" si="10"/>
        <v>0</v>
      </c>
      <c r="J77" s="60">
        <v>40</v>
      </c>
      <c r="K77" s="60">
        <v>46</v>
      </c>
      <c r="L77" s="48">
        <f>((C77+D77)/2-(J77+K77)/2)/((J77+K77)/2)*100</f>
        <v>10.465116279069768</v>
      </c>
      <c r="M77" s="50">
        <f t="shared" si="11"/>
        <v>0</v>
      </c>
    </row>
    <row r="78" spans="1:13" s="50" customFormat="1" x14ac:dyDescent="0.3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10"/>
        <v>0</v>
      </c>
      <c r="J78" s="60">
        <v>30</v>
      </c>
      <c r="K78" s="60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 x14ac:dyDescent="0.3">
      <c r="A79" s="44" t="s">
        <v>72</v>
      </c>
      <c r="B79" s="45" t="s">
        <v>73</v>
      </c>
      <c r="C79" s="38">
        <v>92500</v>
      </c>
      <c r="D79" s="38">
        <v>94500</v>
      </c>
      <c r="E79" s="38">
        <v>88000</v>
      </c>
      <c r="F79" s="38">
        <v>92000</v>
      </c>
      <c r="G79" s="38">
        <v>88000</v>
      </c>
      <c r="H79" s="38">
        <v>92000</v>
      </c>
      <c r="I79" s="47">
        <f t="shared" si="10"/>
        <v>3.8888888888888888</v>
      </c>
      <c r="J79" s="56">
        <v>83500</v>
      </c>
      <c r="K79" s="56">
        <v>87000</v>
      </c>
      <c r="L79" s="48">
        <f>((C79+D79)/2-(J79+K79)/2)/((J79+K79)/2)*100</f>
        <v>9.67741935483871</v>
      </c>
      <c r="M79" s="50">
        <f t="shared" si="11"/>
        <v>3.8888888888888888</v>
      </c>
    </row>
    <row r="80" spans="1:13" s="50" customFormat="1" x14ac:dyDescent="0.3">
      <c r="A80" s="44" t="s">
        <v>74</v>
      </c>
      <c r="B80" s="45" t="s">
        <v>73</v>
      </c>
      <c r="C80" s="38">
        <v>89000</v>
      </c>
      <c r="D80" s="43">
        <v>91000</v>
      </c>
      <c r="E80" s="38">
        <v>83500</v>
      </c>
      <c r="F80" s="43">
        <v>84000</v>
      </c>
      <c r="G80" s="38">
        <v>83500</v>
      </c>
      <c r="H80" s="43">
        <v>84000</v>
      </c>
      <c r="I80" s="47">
        <f t="shared" si="10"/>
        <v>7.4626865671641784</v>
      </c>
      <c r="J80" s="56">
        <v>78500</v>
      </c>
      <c r="K80" s="60">
        <v>80000</v>
      </c>
      <c r="L80" s="48">
        <f>((C80+D80)/2-(J80+K80)/2)/((J80+K80)/2)*100</f>
        <v>13.564668769716087</v>
      </c>
      <c r="M80" s="50">
        <f t="shared" si="11"/>
        <v>7.4626865671641784</v>
      </c>
    </row>
    <row r="81" spans="1:12" ht="42" customHeight="1" x14ac:dyDescent="0.3">
      <c r="A81" s="84" t="s">
        <v>125</v>
      </c>
      <c r="B81" s="85"/>
      <c r="C81" s="83" t="s">
        <v>126</v>
      </c>
      <c r="D81" s="83"/>
      <c r="E81" s="83"/>
      <c r="F81" s="83"/>
      <c r="G81" s="83"/>
      <c r="H81" s="83"/>
      <c r="I81" s="83"/>
      <c r="J81" s="83"/>
      <c r="K81" s="83"/>
      <c r="L81" s="83"/>
    </row>
    <row r="82" spans="1:12" x14ac:dyDescent="0.3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 x14ac:dyDescent="0.3">
      <c r="A83" s="7"/>
      <c r="B83" s="71" t="s">
        <v>135</v>
      </c>
      <c r="C83" s="71"/>
      <c r="D83" s="71"/>
      <c r="E83" s="71"/>
      <c r="F83" s="71"/>
      <c r="G83" s="71"/>
      <c r="H83" s="71"/>
      <c r="I83" s="71"/>
      <c r="J83" s="71"/>
      <c r="K83" s="71"/>
      <c r="L83" s="71"/>
    </row>
    <row r="84" spans="1:12" x14ac:dyDescent="0.3">
      <c r="A84" s="7"/>
      <c r="B84" s="71" t="s">
        <v>136</v>
      </c>
      <c r="C84" s="71"/>
      <c r="D84" s="71"/>
      <c r="E84" s="71"/>
      <c r="F84" s="71"/>
      <c r="G84" s="71"/>
      <c r="H84" s="71"/>
      <c r="I84" s="71"/>
      <c r="J84" s="71"/>
      <c r="K84" s="71"/>
      <c r="L84" s="71"/>
    </row>
    <row r="85" spans="1:12" x14ac:dyDescent="0.3">
      <c r="A85" s="7"/>
      <c r="B85" s="7" t="s">
        <v>120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 x14ac:dyDescent="0.3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 x14ac:dyDescent="0.3">
      <c r="A87" s="24" t="s">
        <v>76</v>
      </c>
      <c r="B87" s="25" t="s">
        <v>77</v>
      </c>
      <c r="C87" s="72" t="s">
        <v>3</v>
      </c>
      <c r="D87" s="73"/>
      <c r="E87" s="75" t="s">
        <v>78</v>
      </c>
      <c r="F87" s="76"/>
      <c r="G87" s="26" t="s">
        <v>9</v>
      </c>
      <c r="H87" s="72" t="s">
        <v>79</v>
      </c>
      <c r="I87" s="74"/>
      <c r="J87" s="73"/>
      <c r="K87" s="10"/>
      <c r="L87" s="2"/>
    </row>
    <row r="88" spans="1:12" x14ac:dyDescent="0.3">
      <c r="A88" s="44" t="s">
        <v>18</v>
      </c>
      <c r="B88" s="45" t="s">
        <v>19</v>
      </c>
      <c r="C88" s="38">
        <v>60</v>
      </c>
      <c r="D88" s="38">
        <v>65</v>
      </c>
      <c r="E88" s="38">
        <v>58</v>
      </c>
      <c r="F88" s="38">
        <v>60</v>
      </c>
      <c r="G88" s="31">
        <f t="shared" ref="G88:G97" si="12">((C88+D88)/2-(E88+F88)/2)/((E88+F88)/2)*100</f>
        <v>5.9322033898305087</v>
      </c>
      <c r="H88" s="72" t="s">
        <v>121</v>
      </c>
      <c r="I88" s="74"/>
      <c r="J88" s="73"/>
      <c r="K88" s="10"/>
      <c r="L88" s="2"/>
    </row>
    <row r="89" spans="1:12" x14ac:dyDescent="0.3">
      <c r="A89" s="44" t="s">
        <v>40</v>
      </c>
      <c r="B89" s="45" t="s">
        <v>14</v>
      </c>
      <c r="C89" s="38">
        <v>100</v>
      </c>
      <c r="D89" s="38">
        <v>120</v>
      </c>
      <c r="E89" s="38">
        <v>100</v>
      </c>
      <c r="F89" s="38">
        <v>130</v>
      </c>
      <c r="G89" s="31">
        <f t="shared" si="12"/>
        <v>-4.3478260869565215</v>
      </c>
      <c r="H89" s="72" t="s">
        <v>122</v>
      </c>
      <c r="I89" s="74"/>
      <c r="J89" s="73"/>
      <c r="K89" s="10"/>
      <c r="L89" s="2"/>
    </row>
    <row r="90" spans="1:12" x14ac:dyDescent="0.3">
      <c r="A90" s="44" t="s">
        <v>41</v>
      </c>
      <c r="B90" s="45" t="s">
        <v>14</v>
      </c>
      <c r="C90" s="40">
        <v>170</v>
      </c>
      <c r="D90" s="38">
        <v>220</v>
      </c>
      <c r="E90" s="40">
        <v>170</v>
      </c>
      <c r="F90" s="38">
        <v>200</v>
      </c>
      <c r="G90" s="31">
        <f t="shared" si="12"/>
        <v>5.4054054054054053</v>
      </c>
      <c r="H90" s="72" t="s">
        <v>133</v>
      </c>
      <c r="I90" s="74"/>
      <c r="J90" s="73"/>
      <c r="K90" s="10"/>
      <c r="L90" s="70"/>
    </row>
    <row r="91" spans="1:12" x14ac:dyDescent="0.3">
      <c r="A91" s="44" t="s">
        <v>49</v>
      </c>
      <c r="B91" s="45" t="s">
        <v>14</v>
      </c>
      <c r="C91" s="38">
        <v>520</v>
      </c>
      <c r="D91" s="38">
        <v>600</v>
      </c>
      <c r="E91" s="38">
        <v>500</v>
      </c>
      <c r="F91" s="38">
        <v>600</v>
      </c>
      <c r="G91" s="31">
        <f t="shared" si="12"/>
        <v>1.8181818181818181</v>
      </c>
      <c r="H91" s="72" t="s">
        <v>121</v>
      </c>
      <c r="I91" s="74"/>
      <c r="J91" s="73"/>
      <c r="K91" s="10"/>
      <c r="L91" s="2"/>
    </row>
    <row r="92" spans="1:12" x14ac:dyDescent="0.3">
      <c r="A92" s="44" t="s">
        <v>52</v>
      </c>
      <c r="B92" s="45" t="s">
        <v>14</v>
      </c>
      <c r="C92" s="38">
        <v>180</v>
      </c>
      <c r="D92" s="38">
        <v>260</v>
      </c>
      <c r="E92" s="38">
        <v>180</v>
      </c>
      <c r="F92" s="38">
        <v>280</v>
      </c>
      <c r="G92" s="31">
        <f t="shared" si="12"/>
        <v>-4.3478260869565215</v>
      </c>
      <c r="H92" s="72" t="s">
        <v>132</v>
      </c>
      <c r="I92" s="74"/>
      <c r="J92" s="73"/>
      <c r="K92" s="10"/>
      <c r="L92" s="2"/>
    </row>
    <row r="93" spans="1:12" x14ac:dyDescent="0.3">
      <c r="A93" s="44" t="s">
        <v>105</v>
      </c>
      <c r="B93" s="51" t="s">
        <v>14</v>
      </c>
      <c r="C93" s="38">
        <v>280</v>
      </c>
      <c r="D93" s="38">
        <v>320</v>
      </c>
      <c r="E93" s="38">
        <v>300</v>
      </c>
      <c r="F93" s="38">
        <v>350</v>
      </c>
      <c r="G93" s="31">
        <f t="shared" si="12"/>
        <v>-7.6923076923076925</v>
      </c>
      <c r="H93" s="72" t="s">
        <v>134</v>
      </c>
      <c r="I93" s="74"/>
      <c r="J93" s="73"/>
      <c r="K93" s="10"/>
      <c r="L93" s="2"/>
    </row>
    <row r="94" spans="1:12" x14ac:dyDescent="0.3">
      <c r="A94" s="44" t="s">
        <v>106</v>
      </c>
      <c r="B94" s="51" t="s">
        <v>14</v>
      </c>
      <c r="C94" s="38">
        <v>100</v>
      </c>
      <c r="D94" s="38">
        <v>120</v>
      </c>
      <c r="E94" s="38">
        <v>100</v>
      </c>
      <c r="F94" s="38">
        <v>140</v>
      </c>
      <c r="G94" s="31">
        <f t="shared" si="12"/>
        <v>-8.3333333333333321</v>
      </c>
      <c r="H94" s="72" t="s">
        <v>124</v>
      </c>
      <c r="I94" s="74"/>
      <c r="J94" s="73"/>
      <c r="K94" s="10"/>
      <c r="L94" s="2"/>
    </row>
    <row r="95" spans="1:12" x14ac:dyDescent="0.3">
      <c r="A95" s="44" t="s">
        <v>107</v>
      </c>
      <c r="B95" s="51" t="s">
        <v>14</v>
      </c>
      <c r="C95" s="38">
        <v>80</v>
      </c>
      <c r="D95" s="38">
        <v>100</v>
      </c>
      <c r="E95" s="38">
        <v>80</v>
      </c>
      <c r="F95" s="38">
        <v>150</v>
      </c>
      <c r="G95" s="31">
        <f t="shared" si="12"/>
        <v>-21.739130434782609</v>
      </c>
      <c r="H95" s="72" t="s">
        <v>123</v>
      </c>
      <c r="I95" s="74"/>
      <c r="J95" s="73"/>
      <c r="K95" s="10"/>
      <c r="L95" s="2"/>
    </row>
    <row r="96" spans="1:12" x14ac:dyDescent="0.3">
      <c r="A96" s="44" t="s">
        <v>72</v>
      </c>
      <c r="B96" s="45" t="s">
        <v>73</v>
      </c>
      <c r="C96" s="38">
        <v>92500</v>
      </c>
      <c r="D96" s="38">
        <v>94500</v>
      </c>
      <c r="E96" s="38">
        <v>88000</v>
      </c>
      <c r="F96" s="38">
        <v>92000</v>
      </c>
      <c r="G96" s="31">
        <f t="shared" si="12"/>
        <v>3.8888888888888888</v>
      </c>
      <c r="H96" s="72" t="s">
        <v>131</v>
      </c>
      <c r="I96" s="74"/>
      <c r="J96" s="73"/>
      <c r="K96" s="10"/>
      <c r="L96" s="2"/>
    </row>
    <row r="97" spans="1:12" x14ac:dyDescent="0.3">
      <c r="A97" s="44" t="s">
        <v>74</v>
      </c>
      <c r="B97" s="45" t="s">
        <v>73</v>
      </c>
      <c r="C97" s="38">
        <v>89000</v>
      </c>
      <c r="D97" s="43">
        <v>91000</v>
      </c>
      <c r="E97" s="38">
        <v>83500</v>
      </c>
      <c r="F97" s="43">
        <v>84000</v>
      </c>
      <c r="G97" s="31">
        <f t="shared" si="12"/>
        <v>7.4626865671641784</v>
      </c>
      <c r="H97" s="72" t="s">
        <v>131</v>
      </c>
      <c r="I97" s="74"/>
      <c r="J97" s="73"/>
      <c r="K97" s="10"/>
      <c r="L97" s="2"/>
    </row>
    <row r="98" spans="1:12" x14ac:dyDescent="0.3">
      <c r="A98" s="62"/>
      <c r="B98" s="68"/>
      <c r="C98" s="64"/>
      <c r="D98" s="64"/>
      <c r="E98" s="64"/>
      <c r="F98" s="64"/>
      <c r="G98" s="66"/>
      <c r="H98" s="69"/>
      <c r="I98" s="69"/>
      <c r="J98" s="69"/>
      <c r="K98" s="10"/>
      <c r="L98" s="2"/>
    </row>
    <row r="99" spans="1:12" x14ac:dyDescent="0.3">
      <c r="A99" s="62"/>
      <c r="B99" s="68"/>
      <c r="C99" s="64"/>
      <c r="D99" s="64"/>
      <c r="E99" s="64"/>
      <c r="F99" s="64"/>
      <c r="G99" s="66"/>
      <c r="H99" s="69"/>
      <c r="I99" s="69"/>
      <c r="J99" s="69"/>
      <c r="K99" s="10"/>
      <c r="L99" s="2"/>
    </row>
    <row r="100" spans="1:12" x14ac:dyDescent="0.3">
      <c r="A100" s="62"/>
      <c r="B100" s="63"/>
      <c r="C100" s="64"/>
      <c r="D100" s="65"/>
      <c r="E100" s="64"/>
      <c r="F100" s="65"/>
      <c r="G100" s="66"/>
      <c r="H100" s="7"/>
      <c r="I100" s="1"/>
      <c r="J100" s="1"/>
      <c r="K100" s="10"/>
      <c r="L100" s="12"/>
    </row>
    <row r="101" spans="1:12" x14ac:dyDescent="0.3">
      <c r="A101" s="7"/>
      <c r="B101" s="13"/>
      <c r="C101" s="3"/>
      <c r="D101" s="3"/>
      <c r="E101" s="3"/>
      <c r="F101" s="3"/>
      <c r="G101" s="4"/>
      <c r="H101" s="7"/>
      <c r="I101" s="1"/>
      <c r="J101" s="1"/>
      <c r="K101" s="12"/>
      <c r="L101" s="12"/>
    </row>
    <row r="102" spans="1:12" x14ac:dyDescent="0.3">
      <c r="A102" s="7"/>
      <c r="B102" s="14" t="s">
        <v>113</v>
      </c>
      <c r="C102" s="2"/>
      <c r="E102" s="7"/>
      <c r="F102" s="14" t="s">
        <v>102</v>
      </c>
      <c r="G102" s="2"/>
      <c r="I102" s="15"/>
      <c r="J102" s="1"/>
      <c r="K102" s="2"/>
      <c r="L102" s="12"/>
    </row>
    <row r="103" spans="1:12" x14ac:dyDescent="0.3">
      <c r="A103" s="16"/>
      <c r="B103" s="14" t="s">
        <v>112</v>
      </c>
      <c r="C103" s="1"/>
      <c r="E103" s="16"/>
      <c r="F103" s="14" t="s">
        <v>103</v>
      </c>
      <c r="G103" s="1"/>
      <c r="I103" s="2"/>
      <c r="J103" s="1"/>
      <c r="L103" s="12"/>
    </row>
    <row r="104" spans="1:12" x14ac:dyDescent="0.3">
      <c r="A104" s="7"/>
      <c r="C104" s="6"/>
      <c r="D104" s="6"/>
      <c r="E104" s="1"/>
      <c r="F104" s="6"/>
      <c r="G104" s="4"/>
      <c r="H104" s="17"/>
      <c r="I104" s="12"/>
      <c r="J104" s="12"/>
      <c r="K104" s="12"/>
      <c r="L104" s="12"/>
    </row>
    <row r="105" spans="1:12" x14ac:dyDescent="0.3">
      <c r="A105" s="18" t="s">
        <v>86</v>
      </c>
      <c r="B105" s="19"/>
      <c r="C105" s="20"/>
      <c r="D105" s="19"/>
      <c r="E105" s="20"/>
      <c r="F105" s="20"/>
      <c r="G105" s="20"/>
      <c r="H105" s="21"/>
      <c r="I105" s="2"/>
      <c r="J105" s="2"/>
      <c r="K105" s="2"/>
      <c r="L105" s="2"/>
    </row>
    <row r="106" spans="1:12" x14ac:dyDescent="0.3">
      <c r="A106" s="22" t="s">
        <v>114</v>
      </c>
      <c r="B106" s="19"/>
      <c r="C106" s="20"/>
      <c r="D106" s="19"/>
      <c r="E106" s="20"/>
      <c r="F106" s="20"/>
      <c r="G106" s="19"/>
      <c r="H106" s="21"/>
      <c r="I106" s="2"/>
      <c r="J106" s="2"/>
      <c r="K106" s="2"/>
      <c r="L106" s="2"/>
    </row>
    <row r="107" spans="1:12" x14ac:dyDescent="0.3">
      <c r="A107" s="22" t="s">
        <v>108</v>
      </c>
      <c r="B107" s="19"/>
      <c r="C107" s="19"/>
      <c r="D107" s="19"/>
      <c r="E107" s="19"/>
      <c r="F107" s="20"/>
      <c r="G107" s="19"/>
      <c r="H107" s="21"/>
      <c r="I107" s="2"/>
      <c r="J107" s="2"/>
      <c r="K107" s="2"/>
      <c r="L107" s="2"/>
    </row>
    <row r="108" spans="1:12" x14ac:dyDescent="0.3">
      <c r="A108" s="22" t="s">
        <v>80</v>
      </c>
      <c r="B108" s="19"/>
      <c r="C108" s="19"/>
      <c r="D108" s="19"/>
      <c r="E108" s="19"/>
      <c r="F108" s="21"/>
      <c r="G108" s="21"/>
      <c r="H108" s="21"/>
      <c r="I108" s="2"/>
      <c r="J108" s="2"/>
      <c r="K108" s="2"/>
      <c r="L108" s="2"/>
    </row>
    <row r="109" spans="1:12" x14ac:dyDescent="0.3">
      <c r="A109" s="22" t="s">
        <v>109</v>
      </c>
      <c r="B109" s="19"/>
      <c r="C109" s="19"/>
      <c r="D109" s="19"/>
      <c r="E109" s="19"/>
      <c r="F109" s="19"/>
      <c r="G109" s="21"/>
      <c r="H109" s="21"/>
      <c r="I109" s="2"/>
      <c r="J109" s="2"/>
      <c r="K109" s="2"/>
      <c r="L109" s="2"/>
    </row>
    <row r="110" spans="1:12" x14ac:dyDescent="0.3">
      <c r="A110" s="22" t="s">
        <v>89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 x14ac:dyDescent="0.3">
      <c r="A111" s="22" t="s">
        <v>95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 x14ac:dyDescent="0.3">
      <c r="A112" s="22" t="s">
        <v>88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 x14ac:dyDescent="0.3">
      <c r="A113" s="22" t="s">
        <v>87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 x14ac:dyDescent="0.3">
      <c r="A114" s="22" t="s">
        <v>81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 x14ac:dyDescent="0.3">
      <c r="A115" s="22" t="s">
        <v>90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 x14ac:dyDescent="0.3">
      <c r="A116" s="22" t="s">
        <v>115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 x14ac:dyDescent="0.3">
      <c r="A117" s="22" t="s">
        <v>91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 x14ac:dyDescent="0.3">
      <c r="A118" s="22" t="s">
        <v>92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 x14ac:dyDescent="0.3">
      <c r="A119" s="22" t="s">
        <v>110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 x14ac:dyDescent="0.3">
      <c r="A120" s="22"/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 x14ac:dyDescent="0.3">
      <c r="A121" s="18" t="s">
        <v>82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 x14ac:dyDescent="0.3">
      <c r="A122" s="22" t="s">
        <v>83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 x14ac:dyDescent="0.3">
      <c r="A123" s="22" t="s">
        <v>116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 x14ac:dyDescent="0.3">
      <c r="A124" s="22" t="s">
        <v>117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 x14ac:dyDescent="0.3">
      <c r="A125" s="22" t="s">
        <v>99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441" spans="2:2" x14ac:dyDescent="0.3">
      <c r="B441" s="11" t="s">
        <v>111</v>
      </c>
    </row>
  </sheetData>
  <mergeCells count="42">
    <mergeCell ref="C81:L81"/>
    <mergeCell ref="A81:B81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  <mergeCell ref="B83:L83"/>
    <mergeCell ref="B84:L84"/>
    <mergeCell ref="C87:D87"/>
    <mergeCell ref="H88:J88"/>
    <mergeCell ref="H97:J97"/>
    <mergeCell ref="H95:J95"/>
    <mergeCell ref="H92:J92"/>
    <mergeCell ref="H94:J94"/>
    <mergeCell ref="H93:J93"/>
    <mergeCell ref="H90:J90"/>
    <mergeCell ref="H91:J91"/>
    <mergeCell ref="H96:J96"/>
    <mergeCell ref="E87:F87"/>
    <mergeCell ref="H87:J87"/>
    <mergeCell ref="H89:J8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2026-08-03T10:15:23Z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