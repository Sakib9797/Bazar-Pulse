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13_ncr:1_{1F74ABAD-6B8A-454D-8BF9-3BB1BD6CCC2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price'!$A$1:$L$134</definedName>
  </definedNames>
  <calcPr calcId="191029"/>
</workbook>
</file>

<file path=xl/calcChain.xml><?xml version="1.0" encoding="utf-8"?>
<calcChain xmlns="http://schemas.openxmlformats.org/spreadsheetml/2006/main">
  <c r="G103" i="4" l="1"/>
  <c r="G102" i="4"/>
  <c r="G101" i="4"/>
  <c r="G100" i="4"/>
  <c r="G95" i="4"/>
  <c r="G94" i="4"/>
  <c r="G92" i="4"/>
  <c r="G91" i="4"/>
  <c r="G93" i="4"/>
  <c r="G104" i="4"/>
  <c r="G97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71" i="4"/>
  <c r="M72" i="4"/>
  <c r="M73" i="4"/>
  <c r="M74" i="4"/>
  <c r="M75" i="4"/>
  <c r="M76" i="4"/>
  <c r="M77" i="4"/>
  <c r="M78" i="4"/>
  <c r="M79" i="4"/>
  <c r="M80" i="4"/>
  <c r="M81" i="4"/>
  <c r="I78" i="4" l="1"/>
  <c r="I81" i="4"/>
  <c r="I80" i="4"/>
  <c r="I79" i="4"/>
  <c r="I77" i="4"/>
  <c r="I74" i="4"/>
  <c r="I75" i="4"/>
  <c r="I76" i="4"/>
  <c r="I72" i="4"/>
  <c r="I71" i="4"/>
  <c r="G96" i="4"/>
  <c r="M9" i="4"/>
  <c r="I9" i="4"/>
  <c r="G99" i="4"/>
  <c r="G98" i="4"/>
  <c r="L74" i="4"/>
  <c r="L77" i="4"/>
  <c r="L76" i="4"/>
  <c r="L75" i="4"/>
  <c r="L81" i="4"/>
  <c r="L80" i="4"/>
  <c r="L79" i="4"/>
  <c r="L78" i="4"/>
  <c r="L73" i="4"/>
  <c r="I73" i="4"/>
  <c r="L72" i="4"/>
  <c r="L71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<sst xmlns="http://schemas.openxmlformats.org/spreadsheetml/2006/main" count="259" uniqueCount="137">
  <si>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</si>
  <si>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</si>
  <si>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</si>
  <si>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</si>
  <si>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</si>
  <si>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</si>
  <si>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</si>
  <si>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</si>
  <si>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</si>
  <si>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</si>
  <si>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</si>
  <si>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</si>
  <si>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</si>
  <si>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</si>
  <si>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</si>
  <si>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</si>
  <si>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</si>
  <si>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</si>
  <si>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</si>
  <si>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</si>
  <si>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</si>
  <si>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</si>
  <si>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</si>
  <si>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</si>
  <si>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</si>
  <si>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</si>
  <si>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</si>
  <si>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</si>
  <si>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</si>
  <si>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</si>
  <si>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</si>
  <si>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</si>
  <si>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</si>
  <si>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</si>
  <si>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</si>
  <si>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</si>
  <si>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</si>
  <si>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</si>
  <si>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</si>
  <si>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</si>
  <si>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</si>
  <si>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</si>
  <si>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</si>
  <si>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</si>
  <si>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</si>
  <si>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</si>
  <si>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</si>
  <si>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</si>
  <si>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</si>
  <si>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</si>
  <si>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</si>
  <si>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</si>
  <si>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</si>
  <si>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</si>
  <si>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</si>
  <si>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</si>
  <si>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</si>
  <si>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</si>
  <si>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</si>
  <si>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</si>
  <si>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</si>
  <si>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</si>
  <si>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</si>
  <si>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</si>
  <si>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</si>
  <si>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</si>
  <si>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</si>
  <si>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</si>
  <si>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</si>
  <si>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</si>
  <si>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</si>
  <si>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</si>
  <si>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</si>
  <si>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</si>
  <si>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</si>
  <si>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</si>
  <si>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</si>
  <si>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</si>
  <si>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</si>
  <si>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</si>
  <si>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</si>
  <si>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</si>
  <si>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</si>
  <si>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</si>
  <si>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</si>
  <si>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</si>
  <si>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</si>
  <si>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</si>
  <si>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</si>
  <si>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</si>
  <si>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</si>
  <si>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</si>
  <si>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</si>
  <si>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</si>
  <si>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</si>
  <si>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</si>
  <si>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</si>
  <si>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</si>
  <si>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</si>
  <si>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</si>
  <si>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</si>
  <si>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</si>
  <si>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</si>
  <si>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</si>
  <si>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</si>
  <si>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</si>
  <si>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</si>
  <si>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</si>
  <si>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</si>
  <si>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</si>
  <si>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</si>
  <si>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</si>
  <si>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</si>
  <si>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</si>
  <si>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</si>
  <si>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</si>
  <si>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</si>
  <si>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</si>
  <si>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</si>
  <si>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</si>
  <si>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</si>
  <si>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02-০6-২০২৬ তারিখে মূল্য হ্রাস পেয়েছে।</t>
  </si>
  <si>
    <t>০৩-০৬-২০২৬ তারিখে মূল্য হ্রাস পেয়েছে।</t>
  </si>
  <si>
    <t>০২-০৬-২০২৬ তারিখে মূল্য হ্রাস পেয়েছে।</t>
  </si>
  <si>
    <t>০১-০৬-২০২৬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</si>
  <si>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</si>
  <si>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</si>
  <si>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 xml:space="preserve">নং-২৬.০৫.০০০০.০১৭.৩১.০১.২৬-৪৪৩                                                                                                           তারিখঃ ০৭-০৬-২০২৬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</si>
  <si>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১৩৫</t>
  </si>
  <si>
    <t xml:space="preserve">রবিবার ০৭ জুন ২০২৬ খ্রিঃ, ২৪ জৈষ্ঠ ১৪৩৩ বাংলা, ২০ জিলহজ ১৪৪৭ হিজরি </t>
  </si>
  <si>
    <t>০৪-০৬-২০২৬ তারিখে মূল্য বৃদ্ধি পেয়েছে।</t>
  </si>
  <si>
    <t>০৫-০৬-২০২৬ তারিখে মূল্য বৃদ্ধি পেয়েছে।</t>
  </si>
  <si>
    <t>০৬-০৬-২০২৬ তারিখে মূল্য হ্রাস পেয়েছে।</t>
  </si>
  <si>
    <t>(৩)  অন্যান্য পণ্যের মূল্য অপরিবর্তীত রয়েছে।</t>
  </si>
  <si>
    <t>(২)   চাল (মাঝারী, মোটা), রশুন (দেশী, আম), মুরগী ব্রয়লার এর মূল্য বৃদ্ধি পেয়েছে।</t>
  </si>
  <si>
    <t xml:space="preserve">        বেগুন, শসা, ডিম (ফার্ম) এর মূল্য হ্রাস পেয়েছে।</t>
  </si>
  <si>
    <t xml:space="preserve">(১)   পেঁয়াজ (দেশী), শুকনা মরিচ (দেশী), শুকনা মরিচ (আমদানি), হলুদ (দেশী), আদা (দেশী), কাঁচামরিচ,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</si>
</sst>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1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9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6" fontId="1" fillId="2" borderId="1" xfId="3" applyNumberFormat="1" applyFont="1" applyFill="1" applyBorder="1" applyAlignment="1">
      <alignment horizont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166" fontId="1" fillId="2" borderId="1" xfId="1" applyNumberFormat="1" applyFont="1" applyFill="1" applyBorder="1" applyAlignment="1">
      <alignment horizont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1" fillId="3" borderId="1" xfId="3" applyFont="1" applyFill="1" applyBorder="1" applyAlignment="1">
      <alignment horizont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7" xfId="3" applyFont="1" applyFill="1" applyBorder="1" applyAlignment="1">
      <alignment horizontal="center" vertical="justify" shrinkToFit="1"/>
    </xf>
    <xf numFmtId="0" fontId="1" fillId="4" borderId="8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166" fontId="13" fillId="6" borderId="1" xfId="1" applyNumberFormat="1" applyFont="1" applyFill="1" applyBorder="1" applyAlignment="1">
      <alignment horizont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Border="1" applyAlignment="1">
      <alignment horizontal="right" shrinkToFit="1"/>
    </xf>
    <xf numFmtId="0" fontId="13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10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551447</xdr:colOff>
      <xdr:row>88</xdr:row>
      <xdr:rowOff>12117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9"/>
  <sheetViews>
    <sheetView tabSelected="1" topLeftCell="A94" zoomScale="90" zoomScaleNormal="90" workbookViewId="0">
      <selection activeCell="B84" sqref="B84:L84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5.8984375" style="11" customWidth="1"/>
    <col min="13" max="13" width="0.19921875" style="58" customWidth="1"/>
    <col min="14" max="16384" width="8.796875" style="11"/>
  </cols>
  <sheetData>
    <row r="1" spans="1:18" ht="24.75">
      <c r="A1" s="76" t="s">
        <v>119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8">
      <c r="A2" s="77" t="s">
        <v>120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8">
      <c r="A3" s="78" t="s">
        <v>128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8">
      <c r="A4" s="79" t="s">
        <v>129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P4" s="63"/>
      <c r="Q4" s="63"/>
      <c r="R4" s="63"/>
    </row>
    <row r="5" spans="1:18">
      <c r="A5" s="80" t="s">
        <v>127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P5" s="64"/>
      <c r="Q5" s="65"/>
    </row>
    <row r="6" spans="1:18" s="30" customFormat="1">
      <c r="A6" s="81" t="s">
        <v>1</v>
      </c>
      <c r="B6" s="81" t="s">
        <v>2</v>
      </c>
      <c r="C6" s="73" t="s">
        <v>3</v>
      </c>
      <c r="D6" s="75"/>
      <c r="E6" s="73" t="s">
        <v>4</v>
      </c>
      <c r="F6" s="75"/>
      <c r="G6" s="73" t="s">
        <v>5</v>
      </c>
      <c r="H6" s="75"/>
      <c r="I6" s="27" t="s">
        <v>6</v>
      </c>
      <c r="J6" s="73" t="s">
        <v>7</v>
      </c>
      <c r="K6" s="75"/>
      <c r="L6" s="29" t="s">
        <v>8</v>
      </c>
      <c r="M6" s="58"/>
    </row>
    <row r="7" spans="1:18" s="30" customFormat="1">
      <c r="A7" s="82"/>
      <c r="B7" s="82"/>
      <c r="C7" s="85">
        <v>46180</v>
      </c>
      <c r="D7" s="86"/>
      <c r="E7" s="85">
        <v>46166</v>
      </c>
      <c r="F7" s="86"/>
      <c r="G7" s="83">
        <v>46149</v>
      </c>
      <c r="H7" s="84"/>
      <c r="I7" s="27" t="s">
        <v>9</v>
      </c>
      <c r="J7" s="83">
        <v>45812</v>
      </c>
      <c r="K7" s="84"/>
      <c r="L7" s="27" t="s">
        <v>9</v>
      </c>
      <c r="M7" s="58"/>
    </row>
    <row r="8" spans="1:18" s="30" customFormat="1">
      <c r="A8" s="31"/>
      <c r="B8" s="32"/>
      <c r="C8" s="32" t="s">
        <v>10</v>
      </c>
      <c r="D8" s="32" t="s">
        <v>11</v>
      </c>
      <c r="E8" s="32" t="s">
        <v>10</v>
      </c>
      <c r="F8" s="32" t="s">
        <v>11</v>
      </c>
      <c r="G8" s="66" t="s">
        <v>10</v>
      </c>
      <c r="H8" s="66" t="s">
        <v>11</v>
      </c>
      <c r="I8" s="32" t="s">
        <v>12</v>
      </c>
      <c r="J8" s="72" t="s">
        <v>10</v>
      </c>
      <c r="K8" s="72" t="s">
        <v>11</v>
      </c>
      <c r="L8" s="32" t="s">
        <v>12</v>
      </c>
      <c r="M8" s="58"/>
    </row>
    <row r="9" spans="1:18" s="30" customFormat="1">
      <c r="A9" s="51" t="s">
        <v>13</v>
      </c>
      <c r="B9" s="52" t="s">
        <v>14</v>
      </c>
      <c r="C9" s="45">
        <v>70</v>
      </c>
      <c r="D9" s="45">
        <v>85</v>
      </c>
      <c r="E9" s="53">
        <v>70</v>
      </c>
      <c r="F9" s="53">
        <v>85</v>
      </c>
      <c r="G9" s="67">
        <v>70</v>
      </c>
      <c r="H9" s="67">
        <v>85</v>
      </c>
      <c r="I9" s="54">
        <f>((C9+D9)/2-(G9+H9)/2)/((G9+H9)/2)*100</f>
        <v>0</v>
      </c>
      <c r="J9" s="67">
        <v>72</v>
      </c>
      <c r="K9" s="67">
        <v>80</v>
      </c>
      <c r="L9" s="55">
        <f>((C9+D9)/2-(J9+K9)/2)/((J9+K9)/2)*100</f>
        <v>1.9736842105263157</v>
      </c>
      <c r="M9" s="58">
        <f>((C9+D9)/2-(E9+F9)/2)/((E9+F9)/2)*100</f>
        <v>0</v>
      </c>
    </row>
    <row r="10" spans="1:18" s="30" customFormat="1">
      <c r="A10" s="51" t="s">
        <v>93</v>
      </c>
      <c r="B10" s="52" t="s">
        <v>14</v>
      </c>
      <c r="C10" s="45">
        <v>54</v>
      </c>
      <c r="D10" s="45">
        <v>68</v>
      </c>
      <c r="E10" s="53">
        <v>52</v>
      </c>
      <c r="F10" s="53">
        <v>68</v>
      </c>
      <c r="G10" s="67">
        <v>60</v>
      </c>
      <c r="H10" s="67">
        <v>68</v>
      </c>
      <c r="I10" s="54">
        <f>((C10+D10)/2-(G10+H10)/2)/((G10+H10)/2)*100</f>
        <v>-4.6875</v>
      </c>
      <c r="J10" s="67">
        <v>53</v>
      </c>
      <c r="K10" s="67">
        <v>62</v>
      </c>
      <c r="L10" s="55">
        <f>((C10+D10)/2-(J10+K10)/2)/((J10+K10)/2)*100</f>
        <v>6.0869565217391308</v>
      </c>
      <c r="M10" s="58">
        <f t="shared" ref="M10:M73" si="0">((C10+D10)/2-(E10+F10)/2)/((E10+F10)/2)*100</f>
        <v>1.6666666666666667</v>
      </c>
    </row>
    <row r="11" spans="1:18" s="30" customFormat="1">
      <c r="A11" s="51" t="s">
        <v>15</v>
      </c>
      <c r="B11" s="52" t="s">
        <v>14</v>
      </c>
      <c r="C11" s="45">
        <v>50</v>
      </c>
      <c r="D11" s="45">
        <v>60</v>
      </c>
      <c r="E11" s="53">
        <v>48</v>
      </c>
      <c r="F11" s="53">
        <v>60</v>
      </c>
      <c r="G11" s="67">
        <v>55</v>
      </c>
      <c r="H11" s="67">
        <v>60</v>
      </c>
      <c r="I11" s="54">
        <f>((C11+D11)/2-(G11+H11)/2)/((G11+H11)/2)*100</f>
        <v>-4.3478260869565215</v>
      </c>
      <c r="J11" s="67">
        <v>50</v>
      </c>
      <c r="K11" s="67">
        <v>55</v>
      </c>
      <c r="L11" s="55">
        <f>((C11+D11)/2-(J11+K11)/2)/((J11+K11)/2)*100</f>
        <v>4.7619047619047619</v>
      </c>
      <c r="M11" s="58">
        <f t="shared" si="0"/>
        <v>1.8518518518518516</v>
      </c>
    </row>
    <row r="12" spans="1:18" s="30" customFormat="1" ht="18" customHeight="1">
      <c r="A12" s="34" t="s">
        <v>16</v>
      </c>
      <c r="B12" s="32"/>
      <c r="C12" s="46"/>
      <c r="D12" s="46"/>
      <c r="E12" s="35"/>
      <c r="F12" s="35"/>
      <c r="G12" s="68"/>
      <c r="H12" s="68"/>
      <c r="I12" s="32" t="s">
        <v>0</v>
      </c>
      <c r="J12" s="68"/>
      <c r="K12" s="68"/>
      <c r="L12" s="36"/>
      <c r="M12" s="58"/>
    </row>
    <row r="13" spans="1:18" s="30" customFormat="1">
      <c r="A13" s="51" t="s">
        <v>17</v>
      </c>
      <c r="B13" s="52" t="s">
        <v>14</v>
      </c>
      <c r="C13" s="45">
        <v>40</v>
      </c>
      <c r="D13" s="45">
        <v>46</v>
      </c>
      <c r="E13" s="53">
        <v>40</v>
      </c>
      <c r="F13" s="53">
        <v>46</v>
      </c>
      <c r="G13" s="67">
        <v>40</v>
      </c>
      <c r="H13" s="67">
        <v>46</v>
      </c>
      <c r="I13" s="54">
        <f>((C13+D13)/2-(G13+H13)/2)/((G13+H13)/2)*100</f>
        <v>0</v>
      </c>
      <c r="J13" s="67">
        <v>40</v>
      </c>
      <c r="K13" s="67">
        <v>45</v>
      </c>
      <c r="L13" s="55">
        <f>((C13+D13)/2-(J13+K13)/2)/((J13+K13)/2)*100</f>
        <v>1.1764705882352942</v>
      </c>
      <c r="M13" s="58">
        <f t="shared" si="0"/>
        <v>0</v>
      </c>
    </row>
    <row r="14" spans="1:18" s="30" customFormat="1">
      <c r="A14" s="51" t="s">
        <v>18</v>
      </c>
      <c r="B14" s="52" t="s">
        <v>19</v>
      </c>
      <c r="C14" s="45">
        <v>55</v>
      </c>
      <c r="D14" s="45">
        <v>60</v>
      </c>
      <c r="E14" s="53">
        <v>55</v>
      </c>
      <c r="F14" s="53">
        <v>60</v>
      </c>
      <c r="G14" s="67">
        <v>55</v>
      </c>
      <c r="H14" s="67">
        <v>60</v>
      </c>
      <c r="I14" s="54">
        <f>((C14+D14)/2-(G14+H14)/2)/((G14+H14)/2)*100</f>
        <v>0</v>
      </c>
      <c r="J14" s="67">
        <v>50</v>
      </c>
      <c r="K14" s="67">
        <v>55</v>
      </c>
      <c r="L14" s="55">
        <f>((C14+D14)/2-(J14+K14)/2)/((J14+K14)/2)*100</f>
        <v>9.5238095238095237</v>
      </c>
      <c r="M14" s="58">
        <f t="shared" si="0"/>
        <v>0</v>
      </c>
    </row>
    <row r="15" spans="1:18" s="30" customFormat="1">
      <c r="A15" s="51" t="s">
        <v>20</v>
      </c>
      <c r="B15" s="52" t="s">
        <v>14</v>
      </c>
      <c r="C15" s="45">
        <v>55</v>
      </c>
      <c r="D15" s="45">
        <v>60</v>
      </c>
      <c r="E15" s="53">
        <v>55</v>
      </c>
      <c r="F15" s="53">
        <v>60</v>
      </c>
      <c r="G15" s="67">
        <v>55</v>
      </c>
      <c r="H15" s="67">
        <v>60</v>
      </c>
      <c r="I15" s="54">
        <f>((C15+D15)/2-(G15+H15)/2)/((G15+H15)/2)*100</f>
        <v>0</v>
      </c>
      <c r="J15" s="67">
        <v>50</v>
      </c>
      <c r="K15" s="67">
        <v>60</v>
      </c>
      <c r="L15" s="55">
        <f>((C15+D15)/2-(J15+K15)/2)/((J15+K15)/2)*100</f>
        <v>4.5454545454545459</v>
      </c>
      <c r="M15" s="58">
        <f t="shared" si="0"/>
        <v>0</v>
      </c>
    </row>
    <row r="16" spans="1:18" s="30" customFormat="1">
      <c r="A16" s="51" t="s">
        <v>21</v>
      </c>
      <c r="B16" s="52" t="s">
        <v>19</v>
      </c>
      <c r="C16" s="45">
        <v>60</v>
      </c>
      <c r="D16" s="45">
        <v>75</v>
      </c>
      <c r="E16" s="53">
        <v>60</v>
      </c>
      <c r="F16" s="53">
        <v>75</v>
      </c>
      <c r="G16" s="67">
        <v>60</v>
      </c>
      <c r="H16" s="67">
        <v>72</v>
      </c>
      <c r="I16" s="54">
        <f>((C16+D16)/2-(G16+H16)/2)/((G16+H16)/2)*100</f>
        <v>2.2727272727272729</v>
      </c>
      <c r="J16" s="67">
        <v>65</v>
      </c>
      <c r="K16" s="67">
        <v>70</v>
      </c>
      <c r="L16" s="55">
        <f>((C16+D16)/2-(J16+K16)/2)/((J16+K16)/2)*100</f>
        <v>0</v>
      </c>
      <c r="M16" s="58">
        <f t="shared" si="0"/>
        <v>0</v>
      </c>
    </row>
    <row r="17" spans="1:13" s="30" customFormat="1" ht="18" customHeight="1">
      <c r="A17" s="34" t="s">
        <v>22</v>
      </c>
      <c r="B17" s="32"/>
      <c r="C17" s="46" t="s">
        <v>0</v>
      </c>
      <c r="D17" s="46"/>
      <c r="E17" s="35" t="s">
        <v>0</v>
      </c>
      <c r="F17" s="35"/>
      <c r="G17" s="68" t="s">
        <v>0</v>
      </c>
      <c r="H17" s="68"/>
      <c r="I17" s="36"/>
      <c r="J17" s="68" t="s">
        <v>0</v>
      </c>
      <c r="K17" s="68"/>
      <c r="L17" s="32"/>
      <c r="M17" s="58"/>
    </row>
    <row r="18" spans="1:13" s="30" customFormat="1">
      <c r="A18" s="51" t="s">
        <v>23</v>
      </c>
      <c r="B18" s="52" t="s">
        <v>24</v>
      </c>
      <c r="C18" s="47">
        <v>185</v>
      </c>
      <c r="D18" s="45">
        <v>195</v>
      </c>
      <c r="E18" s="56">
        <v>185</v>
      </c>
      <c r="F18" s="53">
        <v>195</v>
      </c>
      <c r="G18" s="67">
        <v>186</v>
      </c>
      <c r="H18" s="67">
        <v>195</v>
      </c>
      <c r="I18" s="54">
        <f t="shared" ref="I18:I24" si="1">((C18+D18)/2-(G18+H18)/2)/((G18+H18)/2)*100</f>
        <v>-0.26246719160104987</v>
      </c>
      <c r="J18" s="67">
        <v>160</v>
      </c>
      <c r="K18" s="67">
        <v>170</v>
      </c>
      <c r="L18" s="55">
        <f t="shared" ref="L18:L24" si="2">((C18+D18)/2-(J18+K18)/2)/((J18+K18)/2)*100</f>
        <v>15.151515151515152</v>
      </c>
      <c r="M18" s="58">
        <f t="shared" si="0"/>
        <v>0</v>
      </c>
    </row>
    <row r="19" spans="1:13" s="30" customFormat="1">
      <c r="A19" s="51" t="s">
        <v>25</v>
      </c>
      <c r="B19" s="52" t="s">
        <v>26</v>
      </c>
      <c r="C19" s="45">
        <v>975</v>
      </c>
      <c r="D19" s="45">
        <v>975</v>
      </c>
      <c r="E19" s="53">
        <v>975</v>
      </c>
      <c r="F19" s="53">
        <v>975</v>
      </c>
      <c r="G19" s="67">
        <v>950</v>
      </c>
      <c r="H19" s="67">
        <v>975</v>
      </c>
      <c r="I19" s="54">
        <f t="shared" si="1"/>
        <v>1.2987012987012987</v>
      </c>
      <c r="J19" s="67">
        <v>890</v>
      </c>
      <c r="K19" s="67">
        <v>920</v>
      </c>
      <c r="L19" s="55">
        <f t="shared" si="2"/>
        <v>7.7348066298342539</v>
      </c>
      <c r="M19" s="58">
        <f t="shared" si="0"/>
        <v>0</v>
      </c>
    </row>
    <row r="20" spans="1:13" s="30" customFormat="1">
      <c r="A20" s="51" t="s">
        <v>25</v>
      </c>
      <c r="B20" s="52" t="s">
        <v>27</v>
      </c>
      <c r="C20" s="45">
        <v>398</v>
      </c>
      <c r="D20" s="45">
        <v>398</v>
      </c>
      <c r="E20" s="53">
        <v>398</v>
      </c>
      <c r="F20" s="53">
        <v>398</v>
      </c>
      <c r="G20" s="67">
        <v>390</v>
      </c>
      <c r="H20" s="67">
        <v>398</v>
      </c>
      <c r="I20" s="54">
        <f t="shared" si="1"/>
        <v>1.015228426395939</v>
      </c>
      <c r="J20" s="67">
        <v>375</v>
      </c>
      <c r="K20" s="67">
        <v>378</v>
      </c>
      <c r="L20" s="55">
        <f t="shared" si="2"/>
        <v>5.7104913678618852</v>
      </c>
      <c r="M20" s="58">
        <f t="shared" si="0"/>
        <v>0</v>
      </c>
    </row>
    <row r="21" spans="1:13" s="30" customFormat="1">
      <c r="A21" s="51" t="s">
        <v>25</v>
      </c>
      <c r="B21" s="52" t="s">
        <v>28</v>
      </c>
      <c r="C21" s="45">
        <v>199</v>
      </c>
      <c r="D21" s="45">
        <v>199</v>
      </c>
      <c r="E21" s="53">
        <v>199</v>
      </c>
      <c r="F21" s="53">
        <v>199</v>
      </c>
      <c r="G21" s="67">
        <v>195</v>
      </c>
      <c r="H21" s="67">
        <v>199</v>
      </c>
      <c r="I21" s="54">
        <f t="shared" si="1"/>
        <v>1.015228426395939</v>
      </c>
      <c r="J21" s="67">
        <v>188</v>
      </c>
      <c r="K21" s="67">
        <v>190</v>
      </c>
      <c r="L21" s="55">
        <f t="shared" si="2"/>
        <v>5.2910052910052912</v>
      </c>
      <c r="M21" s="58">
        <f t="shared" si="0"/>
        <v>0</v>
      </c>
    </row>
    <row r="22" spans="1:13" s="30" customFormat="1">
      <c r="A22" s="51" t="s">
        <v>29</v>
      </c>
      <c r="B22" s="52" t="s">
        <v>24</v>
      </c>
      <c r="C22" s="45">
        <v>165</v>
      </c>
      <c r="D22" s="45">
        <v>170</v>
      </c>
      <c r="E22" s="53">
        <v>165</v>
      </c>
      <c r="F22" s="53">
        <v>170</v>
      </c>
      <c r="G22" s="67">
        <v>162</v>
      </c>
      <c r="H22" s="67">
        <v>168</v>
      </c>
      <c r="I22" s="54">
        <f t="shared" si="1"/>
        <v>1.5151515151515151</v>
      </c>
      <c r="J22" s="67">
        <v>145</v>
      </c>
      <c r="K22" s="67">
        <v>155</v>
      </c>
      <c r="L22" s="55">
        <f t="shared" si="2"/>
        <v>11.666666666666666</v>
      </c>
      <c r="M22" s="58">
        <f t="shared" si="0"/>
        <v>0</v>
      </c>
    </row>
    <row r="23" spans="1:13" s="30" customFormat="1">
      <c r="A23" s="51" t="s">
        <v>94</v>
      </c>
      <c r="B23" s="52" t="s">
        <v>24</v>
      </c>
      <c r="C23" s="45">
        <v>170</v>
      </c>
      <c r="D23" s="45">
        <v>175</v>
      </c>
      <c r="E23" s="53">
        <v>170</v>
      </c>
      <c r="F23" s="53">
        <v>175</v>
      </c>
      <c r="G23" s="67">
        <v>168</v>
      </c>
      <c r="H23" s="67">
        <v>172</v>
      </c>
      <c r="I23" s="54">
        <f t="shared" si="1"/>
        <v>1.4705882352941175</v>
      </c>
      <c r="J23" s="67">
        <v>150</v>
      </c>
      <c r="K23" s="67">
        <v>162</v>
      </c>
      <c r="L23" s="55">
        <f t="shared" si="2"/>
        <v>10.576923076923077</v>
      </c>
      <c r="M23" s="58">
        <f t="shared" si="0"/>
        <v>0</v>
      </c>
    </row>
    <row r="24" spans="1:13" s="30" customFormat="1">
      <c r="A24" s="51" t="s">
        <v>30</v>
      </c>
      <c r="B24" s="52" t="s">
        <v>26</v>
      </c>
      <c r="C24" s="45">
        <v>1030</v>
      </c>
      <c r="D24" s="45">
        <v>1140</v>
      </c>
      <c r="E24" s="53">
        <v>1030</v>
      </c>
      <c r="F24" s="53">
        <v>1140</v>
      </c>
      <c r="G24" s="67">
        <v>1030</v>
      </c>
      <c r="H24" s="67">
        <v>1080</v>
      </c>
      <c r="I24" s="54">
        <f t="shared" si="1"/>
        <v>2.8436018957345972</v>
      </c>
      <c r="J24" s="67">
        <v>1030</v>
      </c>
      <c r="K24" s="67">
        <v>1070</v>
      </c>
      <c r="L24" s="55">
        <f t="shared" si="2"/>
        <v>3.3333333333333335</v>
      </c>
      <c r="M24" s="58">
        <f t="shared" si="0"/>
        <v>0</v>
      </c>
    </row>
    <row r="25" spans="1:13" s="30" customFormat="1">
      <c r="A25" s="34" t="s">
        <v>31</v>
      </c>
      <c r="B25" s="32"/>
      <c r="C25" s="48"/>
      <c r="D25" s="48" t="s">
        <v>32</v>
      </c>
      <c r="E25" s="37"/>
      <c r="F25" s="37" t="s">
        <v>32</v>
      </c>
      <c r="G25" s="69"/>
      <c r="H25" s="69" t="s">
        <v>32</v>
      </c>
      <c r="I25" s="36"/>
      <c r="J25" s="69"/>
      <c r="K25" s="69" t="s">
        <v>32</v>
      </c>
      <c r="L25" s="36"/>
      <c r="M25" s="58"/>
    </row>
    <row r="26" spans="1:13" s="57" customFormat="1">
      <c r="A26" s="51" t="s">
        <v>33</v>
      </c>
      <c r="B26" s="52" t="s">
        <v>14</v>
      </c>
      <c r="C26" s="45">
        <v>90</v>
      </c>
      <c r="D26" s="45">
        <v>105</v>
      </c>
      <c r="E26" s="53">
        <v>90</v>
      </c>
      <c r="F26" s="53">
        <v>105</v>
      </c>
      <c r="G26" s="67">
        <v>90</v>
      </c>
      <c r="H26" s="67">
        <v>105</v>
      </c>
      <c r="I26" s="54">
        <f t="shared" ref="I26:I32" si="3">((C26+D26)/2-(G26+H26)/2)/((G26+H26)/2)*100</f>
        <v>0</v>
      </c>
      <c r="J26" s="67">
        <v>95</v>
      </c>
      <c r="K26" s="67">
        <v>110</v>
      </c>
      <c r="L26" s="55">
        <f t="shared" ref="L26:L32" si="4">((C26+D26)/2-(J26+K26)/2)/((J26+K26)/2)*100</f>
        <v>-4.8780487804878048</v>
      </c>
      <c r="M26" s="58">
        <f t="shared" si="0"/>
        <v>0</v>
      </c>
    </row>
    <row r="27" spans="1:13" s="57" customFormat="1">
      <c r="A27" s="51" t="s">
        <v>98</v>
      </c>
      <c r="B27" s="52" t="s">
        <v>14</v>
      </c>
      <c r="C27" s="45">
        <v>115</v>
      </c>
      <c r="D27" s="45">
        <v>120</v>
      </c>
      <c r="E27" s="53">
        <v>115</v>
      </c>
      <c r="F27" s="53">
        <v>120</v>
      </c>
      <c r="G27" s="67">
        <v>115</v>
      </c>
      <c r="H27" s="67">
        <v>120</v>
      </c>
      <c r="I27" s="54">
        <f t="shared" si="3"/>
        <v>0</v>
      </c>
      <c r="J27" s="67">
        <v>105</v>
      </c>
      <c r="K27" s="67">
        <v>120</v>
      </c>
      <c r="L27" s="55">
        <f t="shared" si="4"/>
        <v>4.4444444444444446</v>
      </c>
      <c r="M27" s="58">
        <f t="shared" si="0"/>
        <v>0</v>
      </c>
    </row>
    <row r="28" spans="1:13" s="57" customFormat="1">
      <c r="A28" s="51" t="s">
        <v>34</v>
      </c>
      <c r="B28" s="52" t="s">
        <v>14</v>
      </c>
      <c r="C28" s="45">
        <v>150</v>
      </c>
      <c r="D28" s="45">
        <v>160</v>
      </c>
      <c r="E28" s="53">
        <v>150</v>
      </c>
      <c r="F28" s="53">
        <v>160</v>
      </c>
      <c r="G28" s="67">
        <v>140</v>
      </c>
      <c r="H28" s="67">
        <v>150</v>
      </c>
      <c r="I28" s="54">
        <f t="shared" si="3"/>
        <v>6.8965517241379306</v>
      </c>
      <c r="J28" s="67">
        <v>125</v>
      </c>
      <c r="K28" s="67">
        <v>135</v>
      </c>
      <c r="L28" s="55">
        <f t="shared" si="4"/>
        <v>19.230769230769234</v>
      </c>
      <c r="M28" s="58">
        <f t="shared" si="0"/>
        <v>0</v>
      </c>
    </row>
    <row r="29" spans="1:13" s="57" customFormat="1">
      <c r="A29" s="51" t="s">
        <v>35</v>
      </c>
      <c r="B29" s="52" t="s">
        <v>14</v>
      </c>
      <c r="C29" s="45">
        <v>130</v>
      </c>
      <c r="D29" s="45">
        <v>170</v>
      </c>
      <c r="E29" s="53">
        <v>130</v>
      </c>
      <c r="F29" s="53">
        <v>170</v>
      </c>
      <c r="G29" s="67">
        <v>120</v>
      </c>
      <c r="H29" s="67">
        <v>170</v>
      </c>
      <c r="I29" s="54">
        <f t="shared" si="3"/>
        <v>3.4482758620689653</v>
      </c>
      <c r="J29" s="67">
        <v>125</v>
      </c>
      <c r="K29" s="67">
        <v>180</v>
      </c>
      <c r="L29" s="55">
        <f t="shared" si="4"/>
        <v>-1.639344262295082</v>
      </c>
      <c r="M29" s="58">
        <f t="shared" si="0"/>
        <v>0</v>
      </c>
    </row>
    <row r="30" spans="1:13" s="57" customFormat="1">
      <c r="A30" s="51" t="s">
        <v>36</v>
      </c>
      <c r="B30" s="52" t="s">
        <v>14</v>
      </c>
      <c r="C30" s="45">
        <v>60</v>
      </c>
      <c r="D30" s="45">
        <v>75</v>
      </c>
      <c r="E30" s="53">
        <v>60</v>
      </c>
      <c r="F30" s="53">
        <v>75</v>
      </c>
      <c r="G30" s="67">
        <v>60</v>
      </c>
      <c r="H30" s="67">
        <v>70</v>
      </c>
      <c r="I30" s="54">
        <f t="shared" si="3"/>
        <v>3.8461538461538463</v>
      </c>
      <c r="J30" s="67">
        <v>60</v>
      </c>
      <c r="K30" s="67">
        <v>80</v>
      </c>
      <c r="L30" s="55">
        <f t="shared" si="4"/>
        <v>-3.5714285714285712</v>
      </c>
      <c r="M30" s="58">
        <f t="shared" si="0"/>
        <v>0</v>
      </c>
    </row>
    <row r="31" spans="1:13" s="57" customFormat="1">
      <c r="A31" s="51" t="s">
        <v>37</v>
      </c>
      <c r="B31" s="52" t="s">
        <v>14</v>
      </c>
      <c r="C31" s="45">
        <v>85</v>
      </c>
      <c r="D31" s="45">
        <v>100</v>
      </c>
      <c r="E31" s="53">
        <v>85</v>
      </c>
      <c r="F31" s="53">
        <v>100</v>
      </c>
      <c r="G31" s="67">
        <v>85</v>
      </c>
      <c r="H31" s="67">
        <v>100</v>
      </c>
      <c r="I31" s="54">
        <f t="shared" si="3"/>
        <v>0</v>
      </c>
      <c r="J31" s="67">
        <v>90</v>
      </c>
      <c r="K31" s="67">
        <v>105</v>
      </c>
      <c r="L31" s="55">
        <f t="shared" si="4"/>
        <v>-5.1282051282051277</v>
      </c>
      <c r="M31" s="58">
        <f t="shared" si="0"/>
        <v>0</v>
      </c>
    </row>
    <row r="32" spans="1:13" s="57" customFormat="1">
      <c r="A32" s="51" t="s">
        <v>100</v>
      </c>
      <c r="B32" s="52" t="s">
        <v>14</v>
      </c>
      <c r="C32" s="45">
        <v>20</v>
      </c>
      <c r="D32" s="45">
        <v>25</v>
      </c>
      <c r="E32" s="53">
        <v>20</v>
      </c>
      <c r="F32" s="53">
        <v>25</v>
      </c>
      <c r="G32" s="67">
        <v>20</v>
      </c>
      <c r="H32" s="67">
        <v>25</v>
      </c>
      <c r="I32" s="54">
        <f t="shared" si="3"/>
        <v>0</v>
      </c>
      <c r="J32" s="67">
        <v>20</v>
      </c>
      <c r="K32" s="67">
        <v>25</v>
      </c>
      <c r="L32" s="55">
        <f t="shared" si="4"/>
        <v>0</v>
      </c>
      <c r="M32" s="58">
        <f t="shared" si="0"/>
        <v>0</v>
      </c>
    </row>
    <row r="33" spans="1:13" s="30" customFormat="1">
      <c r="A33" s="34" t="s">
        <v>38</v>
      </c>
      <c r="B33" s="32"/>
      <c r="C33" s="48"/>
      <c r="D33" s="48"/>
      <c r="E33" s="37"/>
      <c r="F33" s="37"/>
      <c r="G33" s="69"/>
      <c r="H33" s="69"/>
      <c r="I33" s="36"/>
      <c r="J33" s="69"/>
      <c r="K33" s="69"/>
      <c r="L33" s="36"/>
      <c r="M33" s="58"/>
    </row>
    <row r="34" spans="1:13" s="57" customFormat="1">
      <c r="A34" s="51" t="s">
        <v>101</v>
      </c>
      <c r="B34" s="52" t="s">
        <v>14</v>
      </c>
      <c r="C34" s="47">
        <v>40</v>
      </c>
      <c r="D34" s="47">
        <v>45</v>
      </c>
      <c r="E34" s="56">
        <v>40</v>
      </c>
      <c r="F34" s="56">
        <v>50</v>
      </c>
      <c r="G34" s="67">
        <v>35</v>
      </c>
      <c r="H34" s="67">
        <v>40</v>
      </c>
      <c r="I34" s="54">
        <f t="shared" ref="I34:I49" si="5">((C34+D34)/2-(G34+H34)/2)/((G34+H34)/2)*100</f>
        <v>13.333333333333334</v>
      </c>
      <c r="J34" s="67">
        <v>50</v>
      </c>
      <c r="K34" s="67">
        <v>60</v>
      </c>
      <c r="L34" s="55">
        <f t="shared" ref="L34:L49" si="6">((C34+D34)/2-(J34+K34)/2)/((J34+K34)/2)*100</f>
        <v>-22.727272727272727</v>
      </c>
      <c r="M34" s="58">
        <f>((C34+D34)/2-(E34+F34)/2)/((E34+F34)/2)*100</f>
        <v>-5.5555555555555554</v>
      </c>
    </row>
    <row r="35" spans="1:13" s="57" customFormat="1">
      <c r="A35" s="51" t="s">
        <v>39</v>
      </c>
      <c r="B35" s="52" t="s">
        <v>14</v>
      </c>
      <c r="C35" s="45">
        <v>0</v>
      </c>
      <c r="D35" s="45">
        <v>0</v>
      </c>
      <c r="E35" s="53">
        <v>0</v>
      </c>
      <c r="F35" s="53">
        <v>0</v>
      </c>
      <c r="G35" s="67">
        <v>0</v>
      </c>
      <c r="H35" s="67">
        <v>0</v>
      </c>
      <c r="I35" s="54" t="e">
        <f t="shared" si="5"/>
        <v>#DIV/0!</v>
      </c>
      <c r="J35" s="67">
        <v>0</v>
      </c>
      <c r="K35" s="67">
        <v>0</v>
      </c>
      <c r="L35" s="55" t="e">
        <f t="shared" si="6"/>
        <v>#DIV/0!</v>
      </c>
      <c r="M35" s="58"/>
    </row>
    <row r="36" spans="1:13" s="57" customFormat="1">
      <c r="A36" s="51" t="s">
        <v>40</v>
      </c>
      <c r="B36" s="52" t="s">
        <v>14</v>
      </c>
      <c r="C36" s="45">
        <v>70</v>
      </c>
      <c r="D36" s="45">
        <v>140</v>
      </c>
      <c r="E36" s="53">
        <v>60</v>
      </c>
      <c r="F36" s="53">
        <v>140</v>
      </c>
      <c r="G36" s="67">
        <v>70</v>
      </c>
      <c r="H36" s="67">
        <v>140</v>
      </c>
      <c r="I36" s="54">
        <f t="shared" si="5"/>
        <v>0</v>
      </c>
      <c r="J36" s="67">
        <v>100</v>
      </c>
      <c r="K36" s="67">
        <v>160</v>
      </c>
      <c r="L36" s="55">
        <f t="shared" si="6"/>
        <v>-19.230769230769234</v>
      </c>
      <c r="M36" s="58">
        <f t="shared" si="0"/>
        <v>5</v>
      </c>
    </row>
    <row r="37" spans="1:13" s="57" customFormat="1">
      <c r="A37" s="51" t="s">
        <v>41</v>
      </c>
      <c r="B37" s="52" t="s">
        <v>14</v>
      </c>
      <c r="C37" s="47">
        <v>140</v>
      </c>
      <c r="D37" s="45">
        <v>220</v>
      </c>
      <c r="E37" s="56">
        <v>130</v>
      </c>
      <c r="F37" s="53">
        <v>220</v>
      </c>
      <c r="G37" s="67">
        <v>140</v>
      </c>
      <c r="H37" s="67">
        <v>220</v>
      </c>
      <c r="I37" s="54">
        <f t="shared" si="5"/>
        <v>0</v>
      </c>
      <c r="J37" s="67">
        <v>150</v>
      </c>
      <c r="K37" s="67">
        <v>230</v>
      </c>
      <c r="L37" s="55">
        <f t="shared" si="6"/>
        <v>-5.2631578947368416</v>
      </c>
      <c r="M37" s="58">
        <f t="shared" si="0"/>
        <v>2.8571428571428572</v>
      </c>
    </row>
    <row r="38" spans="1:13" s="57" customFormat="1">
      <c r="A38" s="51" t="s">
        <v>42</v>
      </c>
      <c r="B38" s="52" t="s">
        <v>14</v>
      </c>
      <c r="C38" s="45">
        <v>340</v>
      </c>
      <c r="D38" s="45">
        <v>380</v>
      </c>
      <c r="E38" s="53">
        <v>360</v>
      </c>
      <c r="F38" s="53">
        <v>380</v>
      </c>
      <c r="G38" s="67">
        <v>360</v>
      </c>
      <c r="H38" s="67">
        <v>380</v>
      </c>
      <c r="I38" s="54">
        <f t="shared" si="5"/>
        <v>-2.7027027027027026</v>
      </c>
      <c r="J38" s="67">
        <v>180</v>
      </c>
      <c r="K38" s="67">
        <v>350</v>
      </c>
      <c r="L38" s="55">
        <f t="shared" si="6"/>
        <v>35.849056603773583</v>
      </c>
      <c r="M38" s="58">
        <f t="shared" si="0"/>
        <v>-2.7027027027027026</v>
      </c>
    </row>
    <row r="39" spans="1:13" s="57" customFormat="1">
      <c r="A39" s="51" t="s">
        <v>43</v>
      </c>
      <c r="B39" s="52" t="s">
        <v>14</v>
      </c>
      <c r="C39" s="47">
        <v>420</v>
      </c>
      <c r="D39" s="47">
        <v>450</v>
      </c>
      <c r="E39" s="56">
        <v>440</v>
      </c>
      <c r="F39" s="56">
        <v>460</v>
      </c>
      <c r="G39" s="67">
        <v>460</v>
      </c>
      <c r="H39" s="67">
        <v>480</v>
      </c>
      <c r="I39" s="54">
        <f t="shared" si="5"/>
        <v>-7.4468085106382977</v>
      </c>
      <c r="J39" s="67">
        <v>280</v>
      </c>
      <c r="K39" s="67">
        <v>450</v>
      </c>
      <c r="L39" s="55">
        <f t="shared" si="6"/>
        <v>19.17808219178082</v>
      </c>
      <c r="M39" s="58">
        <f t="shared" si="0"/>
        <v>-3.3333333333333335</v>
      </c>
    </row>
    <row r="40" spans="1:13" s="57" customFormat="1">
      <c r="A40" s="51" t="s">
        <v>44</v>
      </c>
      <c r="B40" s="52" t="s">
        <v>14</v>
      </c>
      <c r="C40" s="45">
        <v>280</v>
      </c>
      <c r="D40" s="45">
        <v>350</v>
      </c>
      <c r="E40" s="53">
        <v>300</v>
      </c>
      <c r="F40" s="53">
        <v>350</v>
      </c>
      <c r="G40" s="67">
        <v>300</v>
      </c>
      <c r="H40" s="67">
        <v>350</v>
      </c>
      <c r="I40" s="54">
        <f t="shared" si="5"/>
        <v>-3.0769230769230771</v>
      </c>
      <c r="J40" s="67">
        <v>250</v>
      </c>
      <c r="K40" s="67">
        <v>400</v>
      </c>
      <c r="L40" s="55">
        <f t="shared" si="6"/>
        <v>-3.0769230769230771</v>
      </c>
      <c r="M40" s="58">
        <f t="shared" si="0"/>
        <v>-3.0769230769230771</v>
      </c>
    </row>
    <row r="41" spans="1:13" s="57" customFormat="1">
      <c r="A41" s="51" t="s">
        <v>45</v>
      </c>
      <c r="B41" s="52" t="s">
        <v>14</v>
      </c>
      <c r="C41" s="45">
        <v>250</v>
      </c>
      <c r="D41" s="45">
        <v>400</v>
      </c>
      <c r="E41" s="53">
        <v>250</v>
      </c>
      <c r="F41" s="53">
        <v>400</v>
      </c>
      <c r="G41" s="67">
        <v>250</v>
      </c>
      <c r="H41" s="67">
        <v>400</v>
      </c>
      <c r="I41" s="54">
        <f t="shared" si="5"/>
        <v>0</v>
      </c>
      <c r="J41" s="67">
        <v>250</v>
      </c>
      <c r="K41" s="67">
        <v>420</v>
      </c>
      <c r="L41" s="55">
        <f t="shared" si="6"/>
        <v>-2.9850746268656714</v>
      </c>
      <c r="M41" s="58">
        <f t="shared" si="0"/>
        <v>0</v>
      </c>
    </row>
    <row r="42" spans="1:13" s="57" customFormat="1">
      <c r="A42" s="51" t="s">
        <v>46</v>
      </c>
      <c r="B42" s="52" t="s">
        <v>14</v>
      </c>
      <c r="C42" s="45">
        <v>140</v>
      </c>
      <c r="D42" s="45">
        <v>150</v>
      </c>
      <c r="E42" s="53">
        <v>140</v>
      </c>
      <c r="F42" s="53">
        <v>160</v>
      </c>
      <c r="G42" s="67">
        <v>140</v>
      </c>
      <c r="H42" s="67">
        <v>160</v>
      </c>
      <c r="I42" s="54">
        <f t="shared" si="5"/>
        <v>-3.3333333333333335</v>
      </c>
      <c r="J42" s="67">
        <v>0</v>
      </c>
      <c r="K42" s="67">
        <v>0</v>
      </c>
      <c r="L42" s="55" t="e">
        <f t="shared" si="6"/>
        <v>#DIV/0!</v>
      </c>
      <c r="M42" s="58">
        <f t="shared" si="0"/>
        <v>-3.3333333333333335</v>
      </c>
    </row>
    <row r="43" spans="1:13" s="57" customFormat="1">
      <c r="A43" s="51" t="s">
        <v>47</v>
      </c>
      <c r="B43" s="52" t="s">
        <v>14</v>
      </c>
      <c r="C43" s="45">
        <v>150</v>
      </c>
      <c r="D43" s="45">
        <v>250</v>
      </c>
      <c r="E43" s="53">
        <v>150</v>
      </c>
      <c r="F43" s="53">
        <v>250</v>
      </c>
      <c r="G43" s="67">
        <v>120</v>
      </c>
      <c r="H43" s="67">
        <v>200</v>
      </c>
      <c r="I43" s="54">
        <f t="shared" si="5"/>
        <v>25</v>
      </c>
      <c r="J43" s="67">
        <v>110</v>
      </c>
      <c r="K43" s="67">
        <v>220</v>
      </c>
      <c r="L43" s="55">
        <f t="shared" si="6"/>
        <v>21.212121212121211</v>
      </c>
      <c r="M43" s="58">
        <f t="shared" si="0"/>
        <v>0</v>
      </c>
    </row>
    <row r="44" spans="1:13" s="57" customFormat="1">
      <c r="A44" s="51" t="s">
        <v>48</v>
      </c>
      <c r="B44" s="52" t="s">
        <v>14</v>
      </c>
      <c r="C44" s="47">
        <v>600</v>
      </c>
      <c r="D44" s="45">
        <v>700</v>
      </c>
      <c r="E44" s="56">
        <v>600</v>
      </c>
      <c r="F44" s="53">
        <v>700</v>
      </c>
      <c r="G44" s="67">
        <v>600</v>
      </c>
      <c r="H44" s="67">
        <v>700</v>
      </c>
      <c r="I44" s="54">
        <f t="shared" si="5"/>
        <v>0</v>
      </c>
      <c r="J44" s="67">
        <v>620</v>
      </c>
      <c r="K44" s="67">
        <v>750</v>
      </c>
      <c r="L44" s="55">
        <f t="shared" si="6"/>
        <v>-5.1094890510948909</v>
      </c>
      <c r="M44" s="58">
        <f t="shared" si="0"/>
        <v>0</v>
      </c>
    </row>
    <row r="45" spans="1:13" s="57" customFormat="1">
      <c r="A45" s="51" t="s">
        <v>49</v>
      </c>
      <c r="B45" s="52" t="s">
        <v>14</v>
      </c>
      <c r="C45" s="45">
        <v>500</v>
      </c>
      <c r="D45" s="45">
        <v>600</v>
      </c>
      <c r="E45" s="53">
        <v>500</v>
      </c>
      <c r="F45" s="53">
        <v>600</v>
      </c>
      <c r="G45" s="67">
        <v>500</v>
      </c>
      <c r="H45" s="67">
        <v>600</v>
      </c>
      <c r="I45" s="54">
        <f t="shared" si="5"/>
        <v>0</v>
      </c>
      <c r="J45" s="67">
        <v>480</v>
      </c>
      <c r="K45" s="67">
        <v>580</v>
      </c>
      <c r="L45" s="55">
        <f t="shared" si="6"/>
        <v>3.7735849056603774</v>
      </c>
      <c r="M45" s="58">
        <f t="shared" si="0"/>
        <v>0</v>
      </c>
    </row>
    <row r="46" spans="1:13" s="57" customFormat="1">
      <c r="A46" s="51" t="s">
        <v>50</v>
      </c>
      <c r="B46" s="52" t="s">
        <v>14</v>
      </c>
      <c r="C46" s="45">
        <v>1400</v>
      </c>
      <c r="D46" s="45">
        <v>1600</v>
      </c>
      <c r="E46" s="53">
        <v>1400</v>
      </c>
      <c r="F46" s="53">
        <v>1600</v>
      </c>
      <c r="G46" s="67">
        <v>1400</v>
      </c>
      <c r="H46" s="67">
        <v>1600</v>
      </c>
      <c r="I46" s="54">
        <f t="shared" si="5"/>
        <v>0</v>
      </c>
      <c r="J46" s="67">
        <v>1350</v>
      </c>
      <c r="K46" s="67">
        <v>1550</v>
      </c>
      <c r="L46" s="55">
        <f t="shared" si="6"/>
        <v>3.4482758620689653</v>
      </c>
      <c r="M46" s="58">
        <f t="shared" si="0"/>
        <v>0</v>
      </c>
    </row>
    <row r="47" spans="1:13" s="57" customFormat="1">
      <c r="A47" s="51" t="s">
        <v>51</v>
      </c>
      <c r="B47" s="52" t="s">
        <v>14</v>
      </c>
      <c r="C47" s="47">
        <v>4600</v>
      </c>
      <c r="D47" s="45">
        <v>5500</v>
      </c>
      <c r="E47" s="56">
        <v>4600</v>
      </c>
      <c r="F47" s="53">
        <v>5500</v>
      </c>
      <c r="G47" s="67">
        <v>4600</v>
      </c>
      <c r="H47" s="67">
        <v>5500</v>
      </c>
      <c r="I47" s="54">
        <f t="shared" si="5"/>
        <v>0</v>
      </c>
      <c r="J47" s="67">
        <v>4400</v>
      </c>
      <c r="K47" s="67">
        <v>5200</v>
      </c>
      <c r="L47" s="55">
        <f t="shared" si="6"/>
        <v>5.2083333333333339</v>
      </c>
      <c r="M47" s="58">
        <f t="shared" si="0"/>
        <v>0</v>
      </c>
    </row>
    <row r="48" spans="1:13" s="57" customFormat="1">
      <c r="A48" s="51" t="s">
        <v>52</v>
      </c>
      <c r="B48" s="52" t="s">
        <v>14</v>
      </c>
      <c r="C48" s="45">
        <v>180</v>
      </c>
      <c r="D48" s="45">
        <v>280</v>
      </c>
      <c r="E48" s="53">
        <v>180</v>
      </c>
      <c r="F48" s="53">
        <v>280</v>
      </c>
      <c r="G48" s="67">
        <v>200</v>
      </c>
      <c r="H48" s="67">
        <v>280</v>
      </c>
      <c r="I48" s="54">
        <f t="shared" si="5"/>
        <v>-4.1666666666666661</v>
      </c>
      <c r="J48" s="67">
        <v>190</v>
      </c>
      <c r="K48" s="67">
        <v>280</v>
      </c>
      <c r="L48" s="55">
        <f t="shared" si="6"/>
        <v>-2.1276595744680851</v>
      </c>
      <c r="M48" s="58">
        <f t="shared" si="0"/>
        <v>0</v>
      </c>
    </row>
    <row r="49" spans="1:13" s="57" customFormat="1">
      <c r="A49" s="51" t="s">
        <v>53</v>
      </c>
      <c r="B49" s="52" t="s">
        <v>14</v>
      </c>
      <c r="C49" s="45">
        <v>180</v>
      </c>
      <c r="D49" s="45">
        <v>220</v>
      </c>
      <c r="E49" s="53">
        <v>180</v>
      </c>
      <c r="F49" s="53">
        <v>220</v>
      </c>
      <c r="G49" s="67">
        <v>180</v>
      </c>
      <c r="H49" s="67">
        <v>220</v>
      </c>
      <c r="I49" s="54">
        <f t="shared" si="5"/>
        <v>0</v>
      </c>
      <c r="J49" s="67">
        <v>140</v>
      </c>
      <c r="K49" s="67">
        <v>220</v>
      </c>
      <c r="L49" s="55">
        <f t="shared" si="6"/>
        <v>11.111111111111111</v>
      </c>
      <c r="M49" s="58">
        <f t="shared" si="0"/>
        <v>0</v>
      </c>
    </row>
    <row r="50" spans="1:13" s="30" customFormat="1">
      <c r="A50" s="31" t="s">
        <v>54</v>
      </c>
      <c r="B50" s="32"/>
      <c r="C50" s="48"/>
      <c r="D50" s="48"/>
      <c r="E50" s="37"/>
      <c r="F50" s="37"/>
      <c r="G50" s="69"/>
      <c r="H50" s="69"/>
      <c r="I50" s="36"/>
      <c r="J50" s="69"/>
      <c r="K50" s="69"/>
      <c r="L50" s="36"/>
      <c r="M50" s="58"/>
    </row>
    <row r="51" spans="1:13" s="57" customFormat="1">
      <c r="A51" s="51" t="s">
        <v>55</v>
      </c>
      <c r="B51" s="52" t="s">
        <v>14</v>
      </c>
      <c r="C51" s="45">
        <v>300</v>
      </c>
      <c r="D51" s="45">
        <v>450</v>
      </c>
      <c r="E51" s="53">
        <v>300</v>
      </c>
      <c r="F51" s="53">
        <v>450</v>
      </c>
      <c r="G51" s="67">
        <v>280</v>
      </c>
      <c r="H51" s="67">
        <v>450</v>
      </c>
      <c r="I51" s="54">
        <f t="shared" ref="I51:I56" si="7">((C51+D51)/2-(G51+H51)/2)/((G51+H51)/2)*100</f>
        <v>2.7397260273972601</v>
      </c>
      <c r="J51" s="67">
        <v>280</v>
      </c>
      <c r="K51" s="67">
        <v>450</v>
      </c>
      <c r="L51" s="55">
        <f t="shared" ref="L51:L56" si="8">((C51+D51)/2-(J51+K51)/2)/((J51+K51)/2)*100</f>
        <v>2.7397260273972601</v>
      </c>
      <c r="M51" s="58">
        <f t="shared" si="0"/>
        <v>0</v>
      </c>
    </row>
    <row r="52" spans="1:13" s="57" customFormat="1">
      <c r="A52" s="51" t="s">
        <v>56</v>
      </c>
      <c r="B52" s="52" t="s">
        <v>14</v>
      </c>
      <c r="C52" s="45">
        <v>800</v>
      </c>
      <c r="D52" s="45">
        <v>1800</v>
      </c>
      <c r="E52" s="53">
        <v>800</v>
      </c>
      <c r="F52" s="53">
        <v>1800</v>
      </c>
      <c r="G52" s="67">
        <v>800</v>
      </c>
      <c r="H52" s="67">
        <v>1800</v>
      </c>
      <c r="I52" s="54">
        <f t="shared" si="7"/>
        <v>0</v>
      </c>
      <c r="J52" s="67">
        <v>600</v>
      </c>
      <c r="K52" s="67">
        <v>2200</v>
      </c>
      <c r="L52" s="55">
        <f t="shared" si="8"/>
        <v>-7.1428571428571423</v>
      </c>
      <c r="M52" s="58">
        <f t="shared" si="0"/>
        <v>0</v>
      </c>
    </row>
    <row r="53" spans="1:13" s="57" customFormat="1">
      <c r="A53" s="51" t="s">
        <v>84</v>
      </c>
      <c r="B53" s="52" t="s">
        <v>14</v>
      </c>
      <c r="C53" s="45">
        <v>780</v>
      </c>
      <c r="D53" s="45">
        <v>850</v>
      </c>
      <c r="E53" s="53">
        <v>780</v>
      </c>
      <c r="F53" s="53">
        <v>850</v>
      </c>
      <c r="G53" s="67">
        <v>780</v>
      </c>
      <c r="H53" s="67">
        <v>800</v>
      </c>
      <c r="I53" s="54">
        <f t="shared" si="7"/>
        <v>3.1645569620253164</v>
      </c>
      <c r="J53" s="67">
        <v>750</v>
      </c>
      <c r="K53" s="67">
        <v>800</v>
      </c>
      <c r="L53" s="55">
        <f t="shared" si="8"/>
        <v>5.161290322580645</v>
      </c>
      <c r="M53" s="58">
        <f t="shared" si="0"/>
        <v>0</v>
      </c>
    </row>
    <row r="54" spans="1:13" s="57" customFormat="1">
      <c r="A54" s="51" t="s">
        <v>85</v>
      </c>
      <c r="B54" s="52" t="s">
        <v>14</v>
      </c>
      <c r="C54" s="45">
        <v>1200</v>
      </c>
      <c r="D54" s="45">
        <v>1300</v>
      </c>
      <c r="E54" s="53">
        <v>1200</v>
      </c>
      <c r="F54" s="53">
        <v>1300</v>
      </c>
      <c r="G54" s="67">
        <v>1100</v>
      </c>
      <c r="H54" s="67">
        <v>1300</v>
      </c>
      <c r="I54" s="54">
        <f t="shared" si="7"/>
        <v>4.1666666666666661</v>
      </c>
      <c r="J54" s="67">
        <v>1100</v>
      </c>
      <c r="K54" s="67">
        <v>1250</v>
      </c>
      <c r="L54" s="55">
        <f t="shared" si="8"/>
        <v>6.3829787234042552</v>
      </c>
      <c r="M54" s="58">
        <f t="shared" si="0"/>
        <v>0</v>
      </c>
    </row>
    <row r="55" spans="1:13" s="57" customFormat="1">
      <c r="A55" s="51" t="s">
        <v>57</v>
      </c>
      <c r="B55" s="52" t="s">
        <v>14</v>
      </c>
      <c r="C55" s="45">
        <v>180</v>
      </c>
      <c r="D55" s="45">
        <v>200</v>
      </c>
      <c r="E55" s="53">
        <v>170</v>
      </c>
      <c r="F55" s="53">
        <v>200</v>
      </c>
      <c r="G55" s="67">
        <v>180</v>
      </c>
      <c r="H55" s="67">
        <v>200</v>
      </c>
      <c r="I55" s="54">
        <f t="shared" si="7"/>
        <v>0</v>
      </c>
      <c r="J55" s="67">
        <v>150</v>
      </c>
      <c r="K55" s="67">
        <v>190</v>
      </c>
      <c r="L55" s="55">
        <f t="shared" si="8"/>
        <v>11.76470588235294</v>
      </c>
      <c r="M55" s="58">
        <f t="shared" si="0"/>
        <v>2.7027027027027026</v>
      </c>
    </row>
    <row r="56" spans="1:13" s="57" customFormat="1">
      <c r="A56" s="51" t="s">
        <v>58</v>
      </c>
      <c r="B56" s="52" t="s">
        <v>14</v>
      </c>
      <c r="C56" s="45">
        <v>600</v>
      </c>
      <c r="D56" s="45">
        <v>750</v>
      </c>
      <c r="E56" s="53">
        <v>600</v>
      </c>
      <c r="F56" s="53">
        <v>750</v>
      </c>
      <c r="G56" s="67">
        <v>600</v>
      </c>
      <c r="H56" s="67">
        <v>750</v>
      </c>
      <c r="I56" s="54">
        <f t="shared" si="7"/>
        <v>0</v>
      </c>
      <c r="J56" s="67">
        <v>620</v>
      </c>
      <c r="K56" s="67">
        <v>700</v>
      </c>
      <c r="L56" s="55">
        <f t="shared" si="8"/>
        <v>2.2727272727272729</v>
      </c>
      <c r="M56" s="58">
        <f t="shared" si="0"/>
        <v>0</v>
      </c>
    </row>
    <row r="57" spans="1:13" s="30" customFormat="1">
      <c r="A57" s="38" t="s">
        <v>59</v>
      </c>
      <c r="B57" s="39"/>
      <c r="C57" s="49"/>
      <c r="D57" s="49"/>
      <c r="E57" s="40"/>
      <c r="F57" s="40"/>
      <c r="G57" s="70"/>
      <c r="H57" s="70"/>
      <c r="I57" s="39"/>
      <c r="J57" s="70"/>
      <c r="K57" s="70"/>
      <c r="L57" s="39"/>
      <c r="M57" s="58"/>
    </row>
    <row r="58" spans="1:13" s="57" customFormat="1" ht="23.25" customHeight="1">
      <c r="A58" s="51" t="s">
        <v>60</v>
      </c>
      <c r="B58" s="52" t="s">
        <v>61</v>
      </c>
      <c r="C58" s="45">
        <v>720</v>
      </c>
      <c r="D58" s="45">
        <v>860</v>
      </c>
      <c r="E58" s="53">
        <v>720</v>
      </c>
      <c r="F58" s="53">
        <v>860</v>
      </c>
      <c r="G58" s="67">
        <v>720</v>
      </c>
      <c r="H58" s="67">
        <v>860</v>
      </c>
      <c r="I58" s="54">
        <f>((C58+D58)/2-(G59+H59)/2)/((G59+H59)/2)*100</f>
        <v>-10.734463276836157</v>
      </c>
      <c r="J58" s="67">
        <v>720</v>
      </c>
      <c r="K58" s="67">
        <v>860</v>
      </c>
      <c r="L58" s="55">
        <f>((C58+D58)/2-(J59+K59)/2)/((J59+K59)/2)*100</f>
        <v>-9.7142857142857135</v>
      </c>
      <c r="M58" s="58">
        <f t="shared" si="0"/>
        <v>0</v>
      </c>
    </row>
    <row r="59" spans="1:13" s="57" customFormat="1" ht="20.25" customHeight="1">
      <c r="A59" s="51" t="s">
        <v>62</v>
      </c>
      <c r="B59" s="52" t="s">
        <v>61</v>
      </c>
      <c r="C59" s="45">
        <v>850</v>
      </c>
      <c r="D59" s="45">
        <v>920</v>
      </c>
      <c r="E59" s="53">
        <v>850</v>
      </c>
      <c r="F59" s="53">
        <v>920</v>
      </c>
      <c r="G59" s="67">
        <v>850</v>
      </c>
      <c r="H59" s="67">
        <v>920</v>
      </c>
      <c r="I59" s="54">
        <f>((C59+D59)/2-(G60+H60)/2)/((G60+H60)/2)*100</f>
        <v>2.9069767441860463</v>
      </c>
      <c r="J59" s="67">
        <v>840</v>
      </c>
      <c r="K59" s="67">
        <v>910</v>
      </c>
      <c r="L59" s="55">
        <f>((C59+D59)/2-(J60+K60)/2)/((J60+K60)/2)*100</f>
        <v>2.9069767441860463</v>
      </c>
      <c r="M59" s="58">
        <f t="shared" si="0"/>
        <v>0</v>
      </c>
    </row>
    <row r="60" spans="1:13" s="57" customFormat="1" ht="22.5" customHeight="1">
      <c r="A60" s="51" t="s">
        <v>63</v>
      </c>
      <c r="B60" s="52" t="s">
        <v>61</v>
      </c>
      <c r="C60" s="45">
        <v>830</v>
      </c>
      <c r="D60" s="45">
        <v>890</v>
      </c>
      <c r="E60" s="53">
        <v>830</v>
      </c>
      <c r="F60" s="53">
        <v>890</v>
      </c>
      <c r="G60" s="67">
        <v>830</v>
      </c>
      <c r="H60" s="67">
        <v>890</v>
      </c>
      <c r="I60" s="54">
        <f>((C60+D60)/2-(G61+H61)/2)/((G61+H61)/2)*100</f>
        <v>-0.57803468208092479</v>
      </c>
      <c r="J60" s="67">
        <v>830</v>
      </c>
      <c r="K60" s="67">
        <v>890</v>
      </c>
      <c r="L60" s="55">
        <f>((C60+D60)/2-(J61+K61)/2)/((J61+K61)/2)*100</f>
        <v>-0.57803468208092479</v>
      </c>
      <c r="M60" s="58">
        <f t="shared" si="0"/>
        <v>0</v>
      </c>
    </row>
    <row r="61" spans="1:13" s="57" customFormat="1" ht="25.5" customHeight="1">
      <c r="A61" s="51" t="s">
        <v>64</v>
      </c>
      <c r="B61" s="52" t="s">
        <v>61</v>
      </c>
      <c r="C61" s="45">
        <v>830</v>
      </c>
      <c r="D61" s="45">
        <v>900</v>
      </c>
      <c r="E61" s="53">
        <v>830</v>
      </c>
      <c r="F61" s="53">
        <v>900</v>
      </c>
      <c r="G61" s="67">
        <v>830</v>
      </c>
      <c r="H61" s="67">
        <v>900</v>
      </c>
      <c r="I61" s="54" t="e">
        <f>((C61+D61)/2-(#REF!+#REF!)/2)/((#REF!+#REF!)/2)*100</f>
        <v>#REF!</v>
      </c>
      <c r="J61" s="67">
        <v>830</v>
      </c>
      <c r="K61" s="67">
        <v>900</v>
      </c>
      <c r="L61" s="55" t="e">
        <f>((C61+D61)/2-(#REF!+#REF!)/2)/((#REF!+#REF!)/2)*100</f>
        <v>#REF!</v>
      </c>
      <c r="M61" s="58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87"/>
      <c r="H64" s="87"/>
      <c r="I64" s="4"/>
      <c r="J64" s="3"/>
      <c r="K64" s="3"/>
      <c r="L64" s="5"/>
    </row>
    <row r="65" spans="1:13" ht="25.5" customHeight="1">
      <c r="A65" s="7"/>
      <c r="B65" s="1"/>
      <c r="C65" s="3"/>
      <c r="D65" s="3"/>
      <c r="E65" s="3"/>
      <c r="F65" s="3"/>
      <c r="G65" s="61"/>
      <c r="H65" s="61"/>
      <c r="I65" s="4"/>
      <c r="J65" s="3"/>
      <c r="K65" s="3"/>
      <c r="L65" s="5"/>
    </row>
    <row r="66" spans="1:13" ht="25.5" customHeight="1">
      <c r="A66" s="7"/>
      <c r="B66" s="1"/>
      <c r="C66" s="3"/>
      <c r="D66" s="3"/>
      <c r="E66" s="3"/>
      <c r="F66" s="3"/>
      <c r="G66" s="61"/>
      <c r="H66" s="61"/>
      <c r="I66" s="4"/>
      <c r="J66" s="3"/>
      <c r="K66" s="3"/>
      <c r="L66" s="5"/>
    </row>
    <row r="67" spans="1:13" ht="25.5" customHeight="1">
      <c r="A67" s="7"/>
      <c r="B67" s="1"/>
      <c r="C67" s="3"/>
      <c r="D67" s="3"/>
      <c r="E67" s="3"/>
      <c r="F67" s="3"/>
      <c r="G67" s="25"/>
      <c r="H67" s="25"/>
      <c r="I67" s="4"/>
      <c r="J67" s="3"/>
      <c r="K67" s="3"/>
      <c r="L67" s="5"/>
    </row>
    <row r="68" spans="1:13">
      <c r="A68" s="81" t="s">
        <v>1</v>
      </c>
      <c r="B68" s="81" t="s">
        <v>2</v>
      </c>
      <c r="C68" s="73" t="s">
        <v>3</v>
      </c>
      <c r="D68" s="75"/>
      <c r="E68" s="73" t="s">
        <v>4</v>
      </c>
      <c r="F68" s="75"/>
      <c r="G68" s="73" t="s">
        <v>5</v>
      </c>
      <c r="H68" s="75"/>
      <c r="I68" s="27" t="s">
        <v>6</v>
      </c>
      <c r="J68" s="73" t="s">
        <v>7</v>
      </c>
      <c r="K68" s="75"/>
      <c r="L68" s="27" t="s">
        <v>8</v>
      </c>
    </row>
    <row r="69" spans="1:13" ht="18" customHeight="1">
      <c r="A69" s="82"/>
      <c r="B69" s="82"/>
      <c r="C69" s="85">
        <v>46180</v>
      </c>
      <c r="D69" s="86"/>
      <c r="E69" s="85">
        <v>46166</v>
      </c>
      <c r="F69" s="86"/>
      <c r="G69" s="83">
        <v>46149</v>
      </c>
      <c r="H69" s="84"/>
      <c r="I69" s="27" t="s">
        <v>9</v>
      </c>
      <c r="J69" s="83">
        <v>45812</v>
      </c>
      <c r="K69" s="84"/>
      <c r="L69" s="27" t="s">
        <v>9</v>
      </c>
    </row>
    <row r="70" spans="1:13">
      <c r="A70" s="41" t="s">
        <v>65</v>
      </c>
      <c r="B70" s="42"/>
      <c r="C70" s="32" t="s">
        <v>10</v>
      </c>
      <c r="D70" s="32" t="s">
        <v>11</v>
      </c>
      <c r="E70" s="32" t="s">
        <v>10</v>
      </c>
      <c r="F70" s="32" t="s">
        <v>11</v>
      </c>
      <c r="G70" s="66" t="s">
        <v>10</v>
      </c>
      <c r="H70" s="66" t="s">
        <v>11</v>
      </c>
      <c r="I70" s="32" t="s">
        <v>12</v>
      </c>
      <c r="J70" s="66" t="s">
        <v>10</v>
      </c>
      <c r="K70" s="66" t="s">
        <v>11</v>
      </c>
      <c r="L70" s="32" t="s">
        <v>12</v>
      </c>
    </row>
    <row r="71" spans="1:13" s="58" customFormat="1" ht="18.75" customHeight="1">
      <c r="A71" s="51" t="s">
        <v>66</v>
      </c>
      <c r="B71" s="52" t="s">
        <v>14</v>
      </c>
      <c r="C71" s="45">
        <v>105</v>
      </c>
      <c r="D71" s="45">
        <v>110</v>
      </c>
      <c r="E71" s="53">
        <v>105</v>
      </c>
      <c r="F71" s="53">
        <v>110</v>
      </c>
      <c r="G71" s="67">
        <v>105</v>
      </c>
      <c r="H71" s="67">
        <v>110</v>
      </c>
      <c r="I71" s="54">
        <f>((C71+D71)/2-(G71+H71)/2)/((G71+H71)/2)*100</f>
        <v>0</v>
      </c>
      <c r="J71" s="67">
        <v>110</v>
      </c>
      <c r="K71" s="67">
        <v>120</v>
      </c>
      <c r="L71" s="55">
        <f t="shared" ref="L71:L81" si="9">((C71+D71)/2-(J71+K71)/2)/((J71+K71)/2)*100</f>
        <v>-6.5217391304347823</v>
      </c>
      <c r="M71" s="58">
        <f t="shared" si="0"/>
        <v>0</v>
      </c>
    </row>
    <row r="72" spans="1:13" s="58" customFormat="1">
      <c r="A72" s="51" t="s">
        <v>67</v>
      </c>
      <c r="B72" s="59" t="s">
        <v>14</v>
      </c>
      <c r="C72" s="45">
        <v>350</v>
      </c>
      <c r="D72" s="45">
        <v>550</v>
      </c>
      <c r="E72" s="53">
        <v>350</v>
      </c>
      <c r="F72" s="53">
        <v>550</v>
      </c>
      <c r="G72" s="67">
        <v>300</v>
      </c>
      <c r="H72" s="67">
        <v>500</v>
      </c>
      <c r="I72" s="54">
        <f>((C72+D72)/2-(G72+H72)/2)/((G72+H72)/2)*100</f>
        <v>12.5</v>
      </c>
      <c r="J72" s="67">
        <v>200</v>
      </c>
      <c r="K72" s="67">
        <v>550</v>
      </c>
      <c r="L72" s="55">
        <f t="shared" si="9"/>
        <v>20</v>
      </c>
      <c r="M72" s="58">
        <f t="shared" si="0"/>
        <v>0</v>
      </c>
    </row>
    <row r="73" spans="1:13" s="58" customFormat="1">
      <c r="A73" s="51" t="s">
        <v>96</v>
      </c>
      <c r="B73" s="59" t="s">
        <v>14</v>
      </c>
      <c r="C73" s="45">
        <v>38</v>
      </c>
      <c r="D73" s="45">
        <v>42</v>
      </c>
      <c r="E73" s="53">
        <v>38</v>
      </c>
      <c r="F73" s="53">
        <v>42</v>
      </c>
      <c r="G73" s="67">
        <v>38</v>
      </c>
      <c r="H73" s="67">
        <v>42</v>
      </c>
      <c r="I73" s="54">
        <f t="shared" ref="I73" si="10">((C73+D73)/2-(G75+H75)/2)/((G75+H75)/2)*100</f>
        <v>-66.666666666666657</v>
      </c>
      <c r="J73" s="67">
        <v>37</v>
      </c>
      <c r="K73" s="67">
        <v>42</v>
      </c>
      <c r="L73" s="55">
        <f t="shared" si="9"/>
        <v>1.2658227848101267</v>
      </c>
      <c r="M73" s="58">
        <f t="shared" si="0"/>
        <v>0</v>
      </c>
    </row>
    <row r="74" spans="1:13" s="58" customFormat="1">
      <c r="A74" s="51" t="s">
        <v>104</v>
      </c>
      <c r="B74" s="59" t="s">
        <v>69</v>
      </c>
      <c r="C74" s="45">
        <v>20</v>
      </c>
      <c r="D74" s="45">
        <v>40</v>
      </c>
      <c r="E74" s="53">
        <v>20</v>
      </c>
      <c r="F74" s="53">
        <v>40</v>
      </c>
      <c r="G74" s="67">
        <v>15</v>
      </c>
      <c r="H74" s="67">
        <v>40</v>
      </c>
      <c r="I74" s="54">
        <f t="shared" ref="I74:I81" si="11">((C74+D74)/2-(G74+H74)/2)/((G74+H74)/2)*100</f>
        <v>9.0909090909090917</v>
      </c>
      <c r="J74" s="53">
        <v>0</v>
      </c>
      <c r="K74" s="53">
        <v>0</v>
      </c>
      <c r="L74" s="55" t="e">
        <f>((C74+D74)/2-(J74+K74)/2)/((J74+K74)/2)*100</f>
        <v>#DIV/0!</v>
      </c>
      <c r="M74" s="58">
        <f t="shared" ref="M74:M81" si="12">((C74+D74)/2-(E74+F74)/2)/((E74+F74)/2)*100</f>
        <v>0</v>
      </c>
    </row>
    <row r="75" spans="1:13" s="58" customFormat="1">
      <c r="A75" s="51" t="s">
        <v>105</v>
      </c>
      <c r="B75" s="59" t="s">
        <v>14</v>
      </c>
      <c r="C75" s="45">
        <v>80</v>
      </c>
      <c r="D75" s="45">
        <v>120</v>
      </c>
      <c r="E75" s="53">
        <v>80</v>
      </c>
      <c r="F75" s="53">
        <v>150</v>
      </c>
      <c r="G75" s="67">
        <v>80</v>
      </c>
      <c r="H75" s="67">
        <v>160</v>
      </c>
      <c r="I75" s="54">
        <f t="shared" si="11"/>
        <v>-16.666666666666664</v>
      </c>
      <c r="J75" s="53">
        <v>60</v>
      </c>
      <c r="K75" s="53">
        <v>120</v>
      </c>
      <c r="L75" s="55">
        <f t="shared" si="9"/>
        <v>11.111111111111111</v>
      </c>
      <c r="M75" s="58">
        <f t="shared" si="12"/>
        <v>-13.043478260869565</v>
      </c>
    </row>
    <row r="76" spans="1:13" s="58" customFormat="1">
      <c r="A76" s="51" t="s">
        <v>106</v>
      </c>
      <c r="B76" s="59" t="s">
        <v>14</v>
      </c>
      <c r="C76" s="45">
        <v>80</v>
      </c>
      <c r="D76" s="45">
        <v>110</v>
      </c>
      <c r="E76" s="53">
        <v>80</v>
      </c>
      <c r="F76" s="53">
        <v>120</v>
      </c>
      <c r="G76" s="67">
        <v>80</v>
      </c>
      <c r="H76" s="67">
        <v>120</v>
      </c>
      <c r="I76" s="54">
        <f t="shared" si="11"/>
        <v>-5</v>
      </c>
      <c r="J76" s="53">
        <v>60</v>
      </c>
      <c r="K76" s="53">
        <v>100</v>
      </c>
      <c r="L76" s="55">
        <f t="shared" si="9"/>
        <v>18.75</v>
      </c>
      <c r="M76" s="58">
        <f t="shared" si="12"/>
        <v>-5</v>
      </c>
    </row>
    <row r="77" spans="1:13" s="58" customFormat="1">
      <c r="A77" s="51" t="s">
        <v>107</v>
      </c>
      <c r="B77" s="59" t="s">
        <v>14</v>
      </c>
      <c r="C77" s="45">
        <v>50</v>
      </c>
      <c r="D77" s="45">
        <v>80</v>
      </c>
      <c r="E77" s="53">
        <v>60</v>
      </c>
      <c r="F77" s="53">
        <v>100</v>
      </c>
      <c r="G77" s="67">
        <v>50</v>
      </c>
      <c r="H77" s="67">
        <v>80</v>
      </c>
      <c r="I77" s="54">
        <f t="shared" si="11"/>
        <v>0</v>
      </c>
      <c r="J77" s="53">
        <v>50</v>
      </c>
      <c r="K77" s="53">
        <v>80</v>
      </c>
      <c r="L77" s="55">
        <f t="shared" si="9"/>
        <v>0</v>
      </c>
      <c r="M77" s="58">
        <f t="shared" si="12"/>
        <v>-18.75</v>
      </c>
    </row>
    <row r="78" spans="1:13" s="58" customFormat="1" ht="18.75" customHeight="1">
      <c r="A78" s="51" t="s">
        <v>68</v>
      </c>
      <c r="B78" s="52" t="s">
        <v>69</v>
      </c>
      <c r="C78" s="50">
        <v>45</v>
      </c>
      <c r="D78" s="50">
        <v>50</v>
      </c>
      <c r="E78" s="60">
        <v>45</v>
      </c>
      <c r="F78" s="60">
        <v>55</v>
      </c>
      <c r="G78" s="71">
        <v>40</v>
      </c>
      <c r="H78" s="71">
        <v>50</v>
      </c>
      <c r="I78" s="54">
        <f t="shared" si="11"/>
        <v>5.5555555555555554</v>
      </c>
      <c r="J78" s="71">
        <v>39</v>
      </c>
      <c r="K78" s="71">
        <v>46</v>
      </c>
      <c r="L78" s="55">
        <f t="shared" si="9"/>
        <v>11.76470588235294</v>
      </c>
      <c r="M78" s="58">
        <f t="shared" si="12"/>
        <v>-5</v>
      </c>
    </row>
    <row r="79" spans="1:13" s="58" customFormat="1">
      <c r="A79" s="51" t="s">
        <v>70</v>
      </c>
      <c r="B79" s="52" t="s">
        <v>71</v>
      </c>
      <c r="C79" s="50">
        <v>34</v>
      </c>
      <c r="D79" s="50">
        <v>40</v>
      </c>
      <c r="E79" s="60">
        <v>34</v>
      </c>
      <c r="F79" s="60">
        <v>40</v>
      </c>
      <c r="G79" s="71">
        <v>34</v>
      </c>
      <c r="H79" s="71">
        <v>40</v>
      </c>
      <c r="I79" s="54">
        <f t="shared" si="11"/>
        <v>0</v>
      </c>
      <c r="J79" s="71">
        <v>30</v>
      </c>
      <c r="K79" s="71">
        <v>40</v>
      </c>
      <c r="L79" s="55">
        <f t="shared" si="9"/>
        <v>5.7142857142857144</v>
      </c>
      <c r="M79" s="58">
        <f t="shared" si="12"/>
        <v>0</v>
      </c>
    </row>
    <row r="80" spans="1:13" s="58" customFormat="1">
      <c r="A80" s="51" t="s">
        <v>72</v>
      </c>
      <c r="B80" s="52" t="s">
        <v>73</v>
      </c>
      <c r="C80" s="45">
        <v>85000</v>
      </c>
      <c r="D80" s="45">
        <v>90000</v>
      </c>
      <c r="E80" s="53">
        <v>85000</v>
      </c>
      <c r="F80" s="53">
        <v>90000</v>
      </c>
      <c r="G80" s="67">
        <v>85000</v>
      </c>
      <c r="H80" s="67">
        <v>90000</v>
      </c>
      <c r="I80" s="54">
        <f t="shared" si="11"/>
        <v>0</v>
      </c>
      <c r="J80" s="67">
        <v>87500</v>
      </c>
      <c r="K80" s="67">
        <v>91000</v>
      </c>
      <c r="L80" s="55">
        <f t="shared" si="9"/>
        <v>-1.9607843137254901</v>
      </c>
      <c r="M80" s="58">
        <f t="shared" si="12"/>
        <v>0</v>
      </c>
    </row>
    <row r="81" spans="1:13" s="58" customFormat="1">
      <c r="A81" s="51" t="s">
        <v>74</v>
      </c>
      <c r="B81" s="52" t="s">
        <v>73</v>
      </c>
      <c r="C81" s="45">
        <v>81000</v>
      </c>
      <c r="D81" s="50">
        <v>83000</v>
      </c>
      <c r="E81" s="53">
        <v>81000</v>
      </c>
      <c r="F81" s="60">
        <v>83000</v>
      </c>
      <c r="G81" s="67">
        <v>81000</v>
      </c>
      <c r="H81" s="71">
        <v>83000</v>
      </c>
      <c r="I81" s="54">
        <f t="shared" si="11"/>
        <v>0</v>
      </c>
      <c r="J81" s="67">
        <v>75000</v>
      </c>
      <c r="K81" s="71">
        <v>80000</v>
      </c>
      <c r="L81" s="55">
        <f t="shared" si="9"/>
        <v>5.806451612903226</v>
      </c>
      <c r="M81" s="58">
        <f t="shared" si="12"/>
        <v>0</v>
      </c>
    </row>
    <row r="82" spans="1:13" ht="23.25" customHeight="1">
      <c r="A82" s="43" t="s">
        <v>111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</row>
    <row r="83" spans="1:13">
      <c r="A83" s="8"/>
      <c r="B83" s="9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7"/>
      <c r="B84" s="88" t="s">
        <v>136</v>
      </c>
      <c r="C84" s="88"/>
      <c r="D84" s="88"/>
      <c r="E84" s="88"/>
      <c r="F84" s="88"/>
      <c r="G84" s="88"/>
      <c r="H84" s="88"/>
      <c r="I84" s="88"/>
      <c r="J84" s="88"/>
      <c r="K84" s="88"/>
      <c r="L84" s="88"/>
    </row>
    <row r="85" spans="1:13">
      <c r="A85" s="7"/>
      <c r="B85" s="7" t="s">
        <v>135</v>
      </c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1:13">
      <c r="A86" s="7"/>
      <c r="B86" s="88" t="s">
        <v>134</v>
      </c>
      <c r="C86" s="88"/>
      <c r="D86" s="88"/>
      <c r="E86" s="88"/>
      <c r="F86" s="88"/>
      <c r="G86" s="88"/>
      <c r="H86" s="88"/>
      <c r="I86" s="88"/>
      <c r="J86" s="88"/>
      <c r="K86" s="88"/>
      <c r="L86" s="88"/>
    </row>
    <row r="87" spans="1:13">
      <c r="A87" s="7"/>
      <c r="B87" s="7" t="s">
        <v>133</v>
      </c>
      <c r="C87" s="2"/>
      <c r="D87" s="2"/>
      <c r="E87" s="2"/>
      <c r="F87" s="2"/>
      <c r="G87" s="1"/>
      <c r="H87" s="1"/>
      <c r="I87" s="1"/>
      <c r="J87" s="1"/>
      <c r="K87" s="2"/>
      <c r="L87" s="1"/>
    </row>
    <row r="88" spans="1:13">
      <c r="A88" s="7" t="s">
        <v>75</v>
      </c>
      <c r="B88" s="2"/>
      <c r="C88" s="1"/>
      <c r="D88" s="1"/>
      <c r="E88" s="1"/>
      <c r="F88" s="1"/>
      <c r="G88" s="9"/>
      <c r="H88" s="9"/>
      <c r="I88" s="1"/>
      <c r="J88" s="1"/>
      <c r="K88" s="1"/>
      <c r="L88" s="1"/>
    </row>
    <row r="89" spans="1:13">
      <c r="A89" s="7"/>
      <c r="B89" s="2"/>
      <c r="C89" s="1"/>
      <c r="D89" s="1"/>
      <c r="E89" s="1"/>
      <c r="F89" s="1"/>
      <c r="G89" s="9"/>
      <c r="H89" s="9"/>
      <c r="I89" s="1"/>
      <c r="J89" s="1"/>
      <c r="K89" s="1"/>
      <c r="L89" s="1"/>
    </row>
    <row r="90" spans="1:13">
      <c r="A90" s="26" t="s">
        <v>76</v>
      </c>
      <c r="B90" s="27" t="s">
        <v>77</v>
      </c>
      <c r="C90" s="73" t="s">
        <v>3</v>
      </c>
      <c r="D90" s="75"/>
      <c r="E90" s="89" t="s">
        <v>78</v>
      </c>
      <c r="F90" s="90"/>
      <c r="G90" s="28" t="s">
        <v>9</v>
      </c>
      <c r="H90" s="73" t="s">
        <v>79</v>
      </c>
      <c r="I90" s="74"/>
      <c r="J90" s="75"/>
      <c r="K90" s="10"/>
      <c r="L90" s="2"/>
    </row>
    <row r="91" spans="1:13">
      <c r="A91" s="51" t="s">
        <v>93</v>
      </c>
      <c r="B91" s="52" t="s">
        <v>14</v>
      </c>
      <c r="C91" s="45">
        <v>54</v>
      </c>
      <c r="D91" s="45">
        <v>68</v>
      </c>
      <c r="E91" s="53">
        <v>52</v>
      </c>
      <c r="F91" s="53">
        <v>68</v>
      </c>
      <c r="G91" s="33">
        <f t="shared" ref="G91:G104" si="13">((C91+D91)/2-(E91+F91)/2)/((E91+F91)/2)*100</f>
        <v>1.6666666666666667</v>
      </c>
      <c r="H91" s="73" t="s">
        <v>131</v>
      </c>
      <c r="I91" s="74"/>
      <c r="J91" s="75"/>
      <c r="K91" s="10"/>
      <c r="L91" s="2"/>
    </row>
    <row r="92" spans="1:13">
      <c r="A92" s="51" t="s">
        <v>15</v>
      </c>
      <c r="B92" s="52" t="s">
        <v>14</v>
      </c>
      <c r="C92" s="45">
        <v>50</v>
      </c>
      <c r="D92" s="45">
        <v>60</v>
      </c>
      <c r="E92" s="53">
        <v>48</v>
      </c>
      <c r="F92" s="53">
        <v>60</v>
      </c>
      <c r="G92" s="33">
        <f t="shared" si="13"/>
        <v>1.8518518518518516</v>
      </c>
      <c r="H92" s="73" t="s">
        <v>131</v>
      </c>
      <c r="I92" s="74"/>
      <c r="J92" s="75"/>
      <c r="K92" s="10"/>
      <c r="L92" s="2"/>
    </row>
    <row r="93" spans="1:13">
      <c r="A93" s="51" t="s">
        <v>101</v>
      </c>
      <c r="B93" s="52" t="s">
        <v>14</v>
      </c>
      <c r="C93" s="47">
        <v>40</v>
      </c>
      <c r="D93" s="47">
        <v>45</v>
      </c>
      <c r="E93" s="56">
        <v>40</v>
      </c>
      <c r="F93" s="56">
        <v>50</v>
      </c>
      <c r="G93" s="33">
        <f t="shared" si="13"/>
        <v>-5.5555555555555554</v>
      </c>
      <c r="H93" s="73" t="s">
        <v>122</v>
      </c>
      <c r="I93" s="74"/>
      <c r="J93" s="75"/>
      <c r="K93" s="10"/>
      <c r="L93" s="2"/>
    </row>
    <row r="94" spans="1:13">
      <c r="A94" s="51" t="s">
        <v>40</v>
      </c>
      <c r="B94" s="52" t="s">
        <v>14</v>
      </c>
      <c r="C94" s="45">
        <v>70</v>
      </c>
      <c r="D94" s="45">
        <v>140</v>
      </c>
      <c r="E94" s="53">
        <v>60</v>
      </c>
      <c r="F94" s="53">
        <v>140</v>
      </c>
      <c r="G94" s="33">
        <f t="shared" si="13"/>
        <v>5</v>
      </c>
      <c r="H94" s="73" t="s">
        <v>131</v>
      </c>
      <c r="I94" s="74"/>
      <c r="J94" s="75"/>
      <c r="K94" s="10"/>
      <c r="L94" s="2"/>
    </row>
    <row r="95" spans="1:13">
      <c r="A95" s="51" t="s">
        <v>41</v>
      </c>
      <c r="B95" s="52" t="s">
        <v>14</v>
      </c>
      <c r="C95" s="47">
        <v>140</v>
      </c>
      <c r="D95" s="45">
        <v>220</v>
      </c>
      <c r="E95" s="56">
        <v>130</v>
      </c>
      <c r="F95" s="53">
        <v>220</v>
      </c>
      <c r="G95" s="33">
        <f t="shared" si="13"/>
        <v>2.8571428571428572</v>
      </c>
      <c r="H95" s="73" t="s">
        <v>131</v>
      </c>
      <c r="I95" s="74"/>
      <c r="J95" s="75"/>
      <c r="K95" s="10"/>
      <c r="L95" s="2"/>
    </row>
    <row r="96" spans="1:13">
      <c r="A96" s="51" t="s">
        <v>42</v>
      </c>
      <c r="B96" s="52" t="s">
        <v>14</v>
      </c>
      <c r="C96" s="45">
        <v>340</v>
      </c>
      <c r="D96" s="45">
        <v>380</v>
      </c>
      <c r="E96" s="53">
        <v>360</v>
      </c>
      <c r="F96" s="53">
        <v>380</v>
      </c>
      <c r="G96" s="33">
        <f t="shared" si="13"/>
        <v>-2.7027027027027026</v>
      </c>
      <c r="H96" s="73" t="s">
        <v>123</v>
      </c>
      <c r="I96" s="74"/>
      <c r="J96" s="75"/>
      <c r="K96" s="10"/>
      <c r="L96" s="62"/>
    </row>
    <row r="97" spans="1:12">
      <c r="A97" s="51" t="s">
        <v>43</v>
      </c>
      <c r="B97" s="52" t="s">
        <v>14</v>
      </c>
      <c r="C97" s="47">
        <v>420</v>
      </c>
      <c r="D97" s="47">
        <v>450</v>
      </c>
      <c r="E97" s="56">
        <v>440</v>
      </c>
      <c r="F97" s="56">
        <v>460</v>
      </c>
      <c r="G97" s="33">
        <f t="shared" si="13"/>
        <v>-3.3333333333333335</v>
      </c>
      <c r="H97" s="73" t="s">
        <v>123</v>
      </c>
      <c r="I97" s="74"/>
      <c r="J97" s="75"/>
      <c r="K97" s="10"/>
      <c r="L97" s="62"/>
    </row>
    <row r="98" spans="1:12">
      <c r="A98" s="51" t="s">
        <v>44</v>
      </c>
      <c r="B98" s="52" t="s">
        <v>14</v>
      </c>
      <c r="C98" s="45">
        <v>280</v>
      </c>
      <c r="D98" s="45">
        <v>350</v>
      </c>
      <c r="E98" s="53">
        <v>300</v>
      </c>
      <c r="F98" s="53">
        <v>350</v>
      </c>
      <c r="G98" s="33">
        <f t="shared" si="13"/>
        <v>-3.0769230769230771</v>
      </c>
      <c r="H98" s="73" t="s">
        <v>124</v>
      </c>
      <c r="I98" s="74"/>
      <c r="J98" s="75"/>
      <c r="K98" s="10"/>
      <c r="L98" s="62"/>
    </row>
    <row r="99" spans="1:12">
      <c r="A99" s="51" t="s">
        <v>46</v>
      </c>
      <c r="B99" s="52" t="s">
        <v>14</v>
      </c>
      <c r="C99" s="45">
        <v>140</v>
      </c>
      <c r="D99" s="45">
        <v>150</v>
      </c>
      <c r="E99" s="53">
        <v>140</v>
      </c>
      <c r="F99" s="53">
        <v>160</v>
      </c>
      <c r="G99" s="33">
        <f t="shared" si="13"/>
        <v>-3.3333333333333335</v>
      </c>
      <c r="H99" s="73" t="s">
        <v>124</v>
      </c>
      <c r="I99" s="74"/>
      <c r="J99" s="75"/>
      <c r="K99" s="10"/>
      <c r="L99" s="62"/>
    </row>
    <row r="100" spans="1:12">
      <c r="A100" s="51" t="s">
        <v>57</v>
      </c>
      <c r="B100" s="52" t="s">
        <v>14</v>
      </c>
      <c r="C100" s="45">
        <v>180</v>
      </c>
      <c r="D100" s="45">
        <v>200</v>
      </c>
      <c r="E100" s="53">
        <v>170</v>
      </c>
      <c r="F100" s="53">
        <v>200</v>
      </c>
      <c r="G100" s="33">
        <f t="shared" si="13"/>
        <v>2.7027027027027026</v>
      </c>
      <c r="H100" s="73" t="s">
        <v>130</v>
      </c>
      <c r="I100" s="74"/>
      <c r="J100" s="75"/>
      <c r="K100" s="10"/>
      <c r="L100" s="62"/>
    </row>
    <row r="101" spans="1:12">
      <c r="A101" s="51" t="s">
        <v>105</v>
      </c>
      <c r="B101" s="59" t="s">
        <v>14</v>
      </c>
      <c r="C101" s="45">
        <v>80</v>
      </c>
      <c r="D101" s="45">
        <v>120</v>
      </c>
      <c r="E101" s="53">
        <v>80</v>
      </c>
      <c r="F101" s="53">
        <v>150</v>
      </c>
      <c r="G101" s="33">
        <f t="shared" si="13"/>
        <v>-13.043478260869565</v>
      </c>
      <c r="H101" s="73" t="s">
        <v>132</v>
      </c>
      <c r="I101" s="74"/>
      <c r="J101" s="75"/>
      <c r="K101" s="10"/>
      <c r="L101" s="62"/>
    </row>
    <row r="102" spans="1:12">
      <c r="A102" s="51" t="s">
        <v>106</v>
      </c>
      <c r="B102" s="59" t="s">
        <v>14</v>
      </c>
      <c r="C102" s="45">
        <v>80</v>
      </c>
      <c r="D102" s="45">
        <v>110</v>
      </c>
      <c r="E102" s="53">
        <v>80</v>
      </c>
      <c r="F102" s="53">
        <v>120</v>
      </c>
      <c r="G102" s="33">
        <f t="shared" si="13"/>
        <v>-5</v>
      </c>
      <c r="H102" s="73" t="s">
        <v>132</v>
      </c>
      <c r="I102" s="74"/>
      <c r="J102" s="75"/>
      <c r="K102" s="10"/>
      <c r="L102" s="62"/>
    </row>
    <row r="103" spans="1:12">
      <c r="A103" s="51" t="s">
        <v>107</v>
      </c>
      <c r="B103" s="59" t="s">
        <v>14</v>
      </c>
      <c r="C103" s="45">
        <v>50</v>
      </c>
      <c r="D103" s="45">
        <v>80</v>
      </c>
      <c r="E103" s="53">
        <v>60</v>
      </c>
      <c r="F103" s="53">
        <v>100</v>
      </c>
      <c r="G103" s="33">
        <f t="shared" si="13"/>
        <v>-18.75</v>
      </c>
      <c r="H103" s="73" t="s">
        <v>132</v>
      </c>
      <c r="I103" s="74"/>
      <c r="J103" s="75"/>
      <c r="K103" s="10"/>
      <c r="L103" s="62"/>
    </row>
    <row r="104" spans="1:12">
      <c r="A104" s="51" t="s">
        <v>68</v>
      </c>
      <c r="B104" s="52" t="s">
        <v>69</v>
      </c>
      <c r="C104" s="50">
        <v>45</v>
      </c>
      <c r="D104" s="50">
        <v>50</v>
      </c>
      <c r="E104" s="60">
        <v>45</v>
      </c>
      <c r="F104" s="60">
        <v>55</v>
      </c>
      <c r="G104" s="33">
        <f t="shared" si="13"/>
        <v>-5</v>
      </c>
      <c r="H104" s="73" t="s">
        <v>121</v>
      </c>
      <c r="I104" s="74"/>
      <c r="J104" s="75"/>
      <c r="K104" s="10"/>
      <c r="L104" s="62"/>
    </row>
    <row r="105" spans="1:12">
      <c r="A105" s="7"/>
      <c r="B105" s="1"/>
      <c r="C105" s="6"/>
      <c r="D105" s="6"/>
      <c r="E105" s="6"/>
      <c r="F105" s="6"/>
      <c r="G105" s="4"/>
      <c r="H105" s="7"/>
      <c r="I105" s="1"/>
      <c r="J105" s="1"/>
      <c r="K105" s="10"/>
      <c r="L105" s="12"/>
    </row>
    <row r="106" spans="1:12">
      <c r="A106" s="7"/>
      <c r="B106" s="1"/>
      <c r="C106" s="6"/>
      <c r="D106" s="6"/>
      <c r="E106" s="6"/>
      <c r="F106" s="6"/>
      <c r="G106" s="4"/>
      <c r="H106" s="7"/>
      <c r="I106" s="1"/>
      <c r="J106" s="1"/>
      <c r="K106" s="10"/>
      <c r="L106" s="12"/>
    </row>
    <row r="107" spans="1:12">
      <c r="A107" s="7"/>
      <c r="B107" s="13"/>
      <c r="C107" s="3"/>
      <c r="D107" s="3"/>
      <c r="E107" s="3"/>
      <c r="F107" s="3"/>
      <c r="G107" s="4"/>
      <c r="H107" s="7"/>
      <c r="I107" s="1"/>
      <c r="J107" s="1"/>
      <c r="K107" s="12"/>
      <c r="L107" s="12"/>
    </row>
    <row r="108" spans="1:12">
      <c r="A108" s="7"/>
      <c r="B108" s="14" t="s">
        <v>114</v>
      </c>
      <c r="C108" s="2"/>
      <c r="E108" s="7"/>
      <c r="F108" s="14" t="s">
        <v>102</v>
      </c>
      <c r="G108" s="2"/>
      <c r="I108" s="15"/>
      <c r="J108" s="1" t="s">
        <v>125</v>
      </c>
      <c r="K108" s="2"/>
      <c r="L108" s="12"/>
    </row>
    <row r="109" spans="1:12">
      <c r="A109" s="16"/>
      <c r="B109" s="14" t="s">
        <v>113</v>
      </c>
      <c r="C109" s="1"/>
      <c r="E109" s="16"/>
      <c r="F109" s="14" t="s">
        <v>103</v>
      </c>
      <c r="G109" s="1"/>
      <c r="I109" s="17"/>
      <c r="J109" s="1" t="s">
        <v>126</v>
      </c>
      <c r="L109" s="12"/>
    </row>
    <row r="110" spans="1:12">
      <c r="A110" s="7"/>
      <c r="B110" s="13"/>
      <c r="C110" s="3"/>
      <c r="D110" s="3"/>
      <c r="E110" s="3"/>
      <c r="F110" s="3"/>
      <c r="G110" s="4"/>
      <c r="H110" s="7"/>
      <c r="I110" s="1"/>
      <c r="J110" s="1"/>
      <c r="K110" s="12"/>
      <c r="L110" s="12"/>
    </row>
    <row r="111" spans="1:12">
      <c r="A111" s="7"/>
      <c r="B111" s="1"/>
      <c r="C111" s="3"/>
      <c r="D111" s="3"/>
      <c r="E111" s="3"/>
      <c r="F111" s="3"/>
      <c r="G111" s="4"/>
      <c r="H111" s="18"/>
      <c r="I111" s="12"/>
      <c r="J111" s="12"/>
      <c r="K111" s="12"/>
      <c r="L111" s="12"/>
    </row>
    <row r="112" spans="1:12">
      <c r="A112" s="7"/>
      <c r="C112" s="6"/>
      <c r="D112" s="6"/>
      <c r="E112" s="1"/>
      <c r="F112" s="6"/>
      <c r="G112" s="4"/>
      <c r="H112" s="18"/>
      <c r="I112" s="12"/>
      <c r="J112" s="12"/>
      <c r="K112" s="12"/>
      <c r="L112" s="12"/>
    </row>
    <row r="113" spans="1:12">
      <c r="A113" s="19" t="s">
        <v>86</v>
      </c>
      <c r="B113" s="20"/>
      <c r="C113" s="21"/>
      <c r="D113" s="20"/>
      <c r="E113" s="21"/>
      <c r="F113" s="21"/>
      <c r="G113" s="21"/>
      <c r="H113" s="22"/>
      <c r="I113" s="2"/>
      <c r="J113" s="2"/>
      <c r="K113" s="2"/>
      <c r="L113" s="2"/>
    </row>
    <row r="114" spans="1:12">
      <c r="A114" s="23" t="s">
        <v>115</v>
      </c>
      <c r="B114" s="20"/>
      <c r="C114" s="21"/>
      <c r="D114" s="20"/>
      <c r="E114" s="21"/>
      <c r="F114" s="21"/>
      <c r="G114" s="20"/>
      <c r="H114" s="22"/>
      <c r="I114" s="2"/>
      <c r="J114" s="2"/>
      <c r="K114" s="2"/>
      <c r="L114" s="2"/>
    </row>
    <row r="115" spans="1:12">
      <c r="A115" s="23" t="s">
        <v>108</v>
      </c>
      <c r="B115" s="20"/>
      <c r="C115" s="20"/>
      <c r="D115" s="20"/>
      <c r="E115" s="20"/>
      <c r="F115" s="21"/>
      <c r="G115" s="20"/>
      <c r="H115" s="22"/>
      <c r="I115" s="2"/>
      <c r="J115" s="2"/>
      <c r="K115" s="2"/>
      <c r="L115" s="2"/>
    </row>
    <row r="116" spans="1:12">
      <c r="A116" s="23" t="s">
        <v>80</v>
      </c>
      <c r="B116" s="20"/>
      <c r="C116" s="20"/>
      <c r="D116" s="20"/>
      <c r="E116" s="20"/>
      <c r="F116" s="22"/>
      <c r="G116" s="22"/>
      <c r="H116" s="22"/>
      <c r="I116" s="2"/>
      <c r="J116" s="2"/>
      <c r="K116" s="2"/>
      <c r="L116" s="2"/>
    </row>
    <row r="117" spans="1:12">
      <c r="A117" s="23" t="s">
        <v>109</v>
      </c>
      <c r="B117" s="20"/>
      <c r="C117" s="20"/>
      <c r="D117" s="20"/>
      <c r="E117" s="20"/>
      <c r="F117" s="20"/>
      <c r="G117" s="22"/>
      <c r="H117" s="22"/>
      <c r="I117" s="2"/>
      <c r="J117" s="2"/>
      <c r="K117" s="2"/>
      <c r="L117" s="2"/>
    </row>
    <row r="118" spans="1:12">
      <c r="A118" s="23" t="s">
        <v>89</v>
      </c>
      <c r="B118" s="20"/>
      <c r="C118" s="20"/>
      <c r="D118" s="20"/>
      <c r="E118" s="20"/>
      <c r="F118" s="20"/>
      <c r="G118" s="20"/>
      <c r="H118" s="22"/>
      <c r="I118" s="2"/>
      <c r="J118" s="2"/>
      <c r="K118" s="2"/>
      <c r="L118" s="2"/>
    </row>
    <row r="119" spans="1:12">
      <c r="A119" s="23" t="s">
        <v>95</v>
      </c>
      <c r="B119" s="20"/>
      <c r="C119" s="20"/>
      <c r="D119" s="20"/>
      <c r="E119" s="20"/>
      <c r="F119" s="20"/>
      <c r="G119" s="20"/>
      <c r="H119" s="22"/>
      <c r="I119" s="2"/>
      <c r="J119" s="2"/>
      <c r="K119" s="2"/>
      <c r="L119" s="2"/>
    </row>
    <row r="120" spans="1:12">
      <c r="A120" s="23" t="s">
        <v>88</v>
      </c>
      <c r="B120" s="20"/>
      <c r="C120" s="20"/>
      <c r="D120" s="20"/>
      <c r="E120" s="20"/>
      <c r="F120" s="20"/>
      <c r="G120" s="20"/>
      <c r="H120" s="22"/>
      <c r="I120" s="2"/>
      <c r="J120" s="2"/>
      <c r="K120" s="2"/>
      <c r="L120" s="2"/>
    </row>
    <row r="121" spans="1:12">
      <c r="A121" s="23" t="s">
        <v>87</v>
      </c>
      <c r="B121" s="20"/>
      <c r="C121" s="20"/>
      <c r="D121" s="20"/>
      <c r="E121" s="20"/>
      <c r="F121" s="20"/>
      <c r="G121" s="20"/>
      <c r="H121" s="22"/>
      <c r="I121" s="2"/>
      <c r="J121" s="2"/>
      <c r="K121" s="2"/>
      <c r="L121" s="2"/>
    </row>
    <row r="122" spans="1:12">
      <c r="A122" s="23" t="s">
        <v>81</v>
      </c>
      <c r="B122" s="20"/>
      <c r="C122" s="20"/>
      <c r="D122" s="20"/>
      <c r="E122" s="20"/>
      <c r="F122" s="20"/>
      <c r="G122" s="20"/>
      <c r="H122" s="22"/>
      <c r="I122" s="2"/>
      <c r="J122" s="2"/>
      <c r="K122" s="2"/>
      <c r="L122" s="2"/>
    </row>
    <row r="123" spans="1:12">
      <c r="A123" s="23" t="s">
        <v>90</v>
      </c>
      <c r="B123" s="20"/>
      <c r="C123" s="20"/>
      <c r="D123" s="20"/>
      <c r="E123" s="20"/>
      <c r="F123" s="20"/>
      <c r="G123" s="20"/>
      <c r="H123" s="22"/>
      <c r="I123" s="2"/>
      <c r="J123" s="2"/>
      <c r="K123" s="2"/>
      <c r="L123" s="2"/>
    </row>
    <row r="124" spans="1:12">
      <c r="A124" s="23" t="s">
        <v>116</v>
      </c>
      <c r="B124" s="20"/>
      <c r="C124" s="20"/>
      <c r="D124" s="20"/>
      <c r="E124" s="20"/>
      <c r="F124" s="20"/>
      <c r="G124" s="20"/>
      <c r="H124" s="22"/>
      <c r="I124" s="2"/>
      <c r="J124" s="2"/>
      <c r="K124" s="2"/>
      <c r="L124" s="2"/>
    </row>
    <row r="125" spans="1:12">
      <c r="A125" s="23" t="s">
        <v>91</v>
      </c>
      <c r="B125" s="20"/>
      <c r="C125" s="20"/>
      <c r="D125" s="20"/>
      <c r="E125" s="20"/>
      <c r="F125" s="20"/>
      <c r="G125" s="20"/>
      <c r="H125" s="22"/>
      <c r="I125" s="2"/>
      <c r="J125" s="2"/>
      <c r="K125" s="2"/>
      <c r="L125" s="2"/>
    </row>
    <row r="126" spans="1:12">
      <c r="A126" s="23" t="s">
        <v>92</v>
      </c>
      <c r="B126" s="20"/>
      <c r="C126" s="20"/>
      <c r="D126" s="20"/>
      <c r="E126" s="20"/>
      <c r="F126" s="20"/>
      <c r="G126" s="20"/>
      <c r="H126" s="22"/>
      <c r="I126" s="2"/>
      <c r="J126" s="2"/>
      <c r="K126" s="2"/>
      <c r="L126" s="2"/>
    </row>
    <row r="127" spans="1:12">
      <c r="A127" s="23" t="s">
        <v>110</v>
      </c>
      <c r="B127" s="20"/>
      <c r="C127" s="20"/>
      <c r="D127" s="20"/>
      <c r="E127" s="20"/>
      <c r="F127" s="20"/>
      <c r="G127" s="20"/>
      <c r="H127" s="24"/>
      <c r="I127" s="12"/>
      <c r="J127" s="12"/>
      <c r="K127" s="12"/>
      <c r="L127" s="12"/>
    </row>
    <row r="128" spans="1:12">
      <c r="A128" s="23"/>
      <c r="B128" s="20"/>
      <c r="C128" s="20"/>
      <c r="D128" s="20"/>
      <c r="E128" s="20"/>
      <c r="F128" s="20"/>
      <c r="G128" s="20"/>
      <c r="H128" s="24"/>
      <c r="I128" s="12"/>
      <c r="J128" s="12"/>
      <c r="K128" s="12"/>
      <c r="L128" s="12"/>
    </row>
    <row r="129" spans="1:12">
      <c r="A129" s="19" t="s">
        <v>82</v>
      </c>
      <c r="B129" s="20"/>
      <c r="C129" s="20"/>
      <c r="D129" s="20"/>
      <c r="E129" s="20"/>
      <c r="F129" s="20"/>
      <c r="G129" s="20"/>
      <c r="H129" s="24"/>
      <c r="I129" s="12"/>
      <c r="J129" s="12"/>
      <c r="K129" s="12"/>
      <c r="L129" s="12"/>
    </row>
    <row r="130" spans="1:12">
      <c r="A130" s="23" t="s">
        <v>83</v>
      </c>
      <c r="B130" s="20"/>
      <c r="C130" s="20"/>
      <c r="D130" s="20"/>
      <c r="E130" s="20"/>
      <c r="F130" s="20"/>
      <c r="G130" s="20"/>
      <c r="H130" s="24"/>
      <c r="I130" s="12"/>
      <c r="J130" s="12"/>
      <c r="K130" s="12"/>
      <c r="L130" s="12"/>
    </row>
    <row r="131" spans="1:12">
      <c r="A131" s="23" t="s">
        <v>117</v>
      </c>
      <c r="B131" s="20"/>
      <c r="C131" s="20"/>
      <c r="D131" s="20"/>
      <c r="E131" s="20"/>
      <c r="F131" s="20"/>
      <c r="G131" s="20"/>
      <c r="H131" s="24"/>
      <c r="I131" s="12"/>
      <c r="J131" s="12"/>
      <c r="K131" s="12"/>
      <c r="L131" s="12"/>
    </row>
    <row r="132" spans="1:12">
      <c r="A132" s="23" t="s">
        <v>118</v>
      </c>
      <c r="B132" s="20"/>
      <c r="C132" s="20"/>
      <c r="D132" s="20"/>
      <c r="E132" s="20"/>
      <c r="F132" s="20"/>
      <c r="G132" s="20"/>
      <c r="H132" s="24"/>
      <c r="I132" s="12"/>
      <c r="J132" s="12"/>
      <c r="K132" s="12"/>
      <c r="L132" s="12"/>
    </row>
    <row r="133" spans="1:12">
      <c r="A133" s="23" t="s">
        <v>99</v>
      </c>
      <c r="B133" s="20"/>
      <c r="C133" s="20"/>
      <c r="D133" s="20"/>
      <c r="E133" s="20"/>
      <c r="F133" s="20"/>
      <c r="G133" s="20"/>
      <c r="H133" s="24"/>
      <c r="I133" s="12"/>
      <c r="J133" s="12"/>
      <c r="K133" s="12"/>
      <c r="L133" s="12"/>
    </row>
    <row r="449" spans="2:2">
      <c r="B449" s="11" t="s">
        <v>112</v>
      </c>
    </row>
  </sheetData>
  <mergeCells count="45">
    <mergeCell ref="H103:J103"/>
    <mergeCell ref="H101:J101"/>
    <mergeCell ref="H102:J102"/>
    <mergeCell ref="B86:L86"/>
    <mergeCell ref="H99:J99"/>
    <mergeCell ref="H104:J104"/>
    <mergeCell ref="A68:A69"/>
    <mergeCell ref="B68:B69"/>
    <mergeCell ref="J68:K68"/>
    <mergeCell ref="C69:D69"/>
    <mergeCell ref="J69:K69"/>
    <mergeCell ref="E69:F69"/>
    <mergeCell ref="G69:H69"/>
    <mergeCell ref="H97:J97"/>
    <mergeCell ref="B84:L84"/>
    <mergeCell ref="C90:D90"/>
    <mergeCell ref="E90:F90"/>
    <mergeCell ref="H90:J90"/>
    <mergeCell ref="H96:J96"/>
    <mergeCell ref="H100:J100"/>
    <mergeCell ref="G64:H64"/>
    <mergeCell ref="C68:D68"/>
    <mergeCell ref="E68:F68"/>
    <mergeCell ref="G68:H68"/>
    <mergeCell ref="H98:J98"/>
    <mergeCell ref="H94:J94"/>
    <mergeCell ref="H95:J95"/>
    <mergeCell ref="H91:J91"/>
    <mergeCell ref="H92:J92"/>
    <mergeCell ref="H93:J93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2026-06-07T08:36:00Z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