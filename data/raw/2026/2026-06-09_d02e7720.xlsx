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3D11B939-C844-4ED2-A7DD-765EC617C98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9"/>
</workbook>
</file>

<file path=xl/calcChain.xml><?xml version="1.0" encoding="utf-8"?>
<calcChain xmlns="http://schemas.openxmlformats.org/spreadsheetml/2006/main">
  <c r="G89" i="4" l="1"/>
  <c r="G88" i="4"/>
  <c r="G92" i="4"/>
  <c r="G97" i="4"/>
  <c r="G96" i="4"/>
  <c r="G95" i="4"/>
  <c r="G94" i="4"/>
  <c r="G90" i="4"/>
  <c r="G87" i="4"/>
  <c r="G86" i="4"/>
  <c r="G91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 l="1"/>
  <c r="I78" i="4"/>
  <c r="I77" i="4"/>
  <c r="I76" i="4"/>
  <c r="I74" i="4"/>
  <c r="I71" i="4"/>
  <c r="I72" i="4"/>
  <c r="I73" i="4"/>
  <c r="I69" i="4"/>
  <c r="I68" i="4"/>
  <c r="M9" i="4"/>
  <c r="I9" i="4"/>
  <c r="G93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<sst xmlns="http://schemas.openxmlformats.org/spreadsheetml/2006/main" count="252" uniqueCount="134">
  <si>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</si>
  <si>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</si>
  <si>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</si>
  <si>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</si>
  <si>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</si>
  <si>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</si>
  <si>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</si>
  <si>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</si>
  <si>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</si>
  <si>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</si>
  <si>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</si>
  <si>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</si>
  <si>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</si>
  <si>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</si>
  <si>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</si>
  <si>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</si>
  <si>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</si>
  <si>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</si>
  <si>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</si>
  <si>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</si>
  <si>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</si>
  <si>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</si>
  <si>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</si>
  <si>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</si>
  <si>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</si>
  <si>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</si>
  <si>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</si>
  <si>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</si>
  <si>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</si>
  <si>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</si>
  <si>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</si>
  <si>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</si>
  <si>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</si>
  <si>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</si>
  <si>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</si>
  <si>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</si>
  <si>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</si>
  <si>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</si>
  <si>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</si>
  <si>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</si>
  <si>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</si>
  <si>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</si>
  <si>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</si>
  <si>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</si>
  <si>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</si>
  <si>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</si>
  <si>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</si>
  <si>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</si>
  <si>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</si>
  <si>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</si>
  <si>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</si>
  <si>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</si>
  <si>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</si>
  <si>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</si>
  <si>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</si>
  <si>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</si>
  <si>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</si>
  <si>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</si>
  <si>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</si>
  <si>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</si>
  <si>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</si>
  <si>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</si>
  <si>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</si>
  <si>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</si>
  <si>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</si>
  <si>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</si>
  <si>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</si>
  <si>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</si>
  <si>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</si>
  <si>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</si>
  <si>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</si>
  <si>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</si>
  <si>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</si>
  <si>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</si>
  <si>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</si>
  <si>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</si>
  <si>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</si>
  <si>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</si>
  <si>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</si>
  <si>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</si>
  <si>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</si>
  <si>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</si>
  <si>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</si>
  <si>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</si>
  <si>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</si>
  <si>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</si>
  <si>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</si>
  <si>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</si>
  <si>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</si>
  <si>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</si>
  <si>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</si>
  <si>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</si>
  <si>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</si>
  <si>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</si>
  <si>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</si>
  <si>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</si>
  <si>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</si>
  <si>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</si>
  <si>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</si>
  <si>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</si>
  <si>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</si>
  <si>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</si>
  <si>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</si>
  <si>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</si>
  <si>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</si>
  <si>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</si>
  <si>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</si>
  <si>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</si>
  <si>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</si>
  <si>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</si>
  <si>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</si>
  <si>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</si>
  <si>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</si>
  <si>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</si>
  <si>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</si>
  <si>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</si>
  <si>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</si>
  <si>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</si>
  <si>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</si>
  <si>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</si>
  <si>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</si>
  <si>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 (মোঃ গোলাম খোরশেদ)   </t>
  </si>
  <si>
    <t xml:space="preserve"> অতিরিক্ত পরিচালক (বাণিজ্যিক)</t>
  </si>
  <si>
    <t>০৫-০৬-২০২৬ তারিখে মূল্য বৃদ্ধি পেয়েছে।</t>
  </si>
  <si>
    <t>০৬-০৬-২০২৬ তারিখে মূল্য হ্রাস পেয়েছে।</t>
  </si>
  <si>
    <t>(৩)  অন্যান্য পণ্যের মূল্য অপরিবর্তীত রয়েছে।</t>
  </si>
  <si>
    <t>০৮-০৬-২০২৬ তারিখে মূল্য হ্রাস পেয়েছে।</t>
  </si>
  <si>
    <t xml:space="preserve">নং-২৬.০৫.০০০০.০১৭.৩১.০১.২৬-৪৪৯                                                                                                           তারিখঃ ০৯-০৬-২০২৬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</si>
  <si>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১৩৭</t>
  </si>
  <si>
    <t xml:space="preserve">মঙ্গলবার ০৯ জুন ২০২৬ খ্রিঃ, ২৬ জৈষ্ঠ ১৪৩৩ বাংলা, ২২ জিলহজ ১৪৪৭ হিজরি </t>
  </si>
  <si>
    <t>০৯-০৬-২০২৬ তারিখে মূল্য বৃদ্ধি পেয়েছে।</t>
  </si>
  <si>
    <t>০৯-০৬-২০২৬ তারিখে মূল্য হ্রাস পেয়েছে।</t>
  </si>
  <si>
    <t>(২)   চাল (মাঝারী, মোটা), আটা (খোলা), হলুদ (দেশী, আম), আদা (আম) এর মূল্য বৃদ্ধি পেয়েছে।</t>
  </si>
  <si>
    <t>(১)   পেঁয়াজ (দেশী), শুকনা মরিচ (দেশী), মুরগী ব্রয়লার, কাঁচামরিচ, বেগুন,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</si>
</sst>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zoomScale="90" zoomScaleNormal="90" workbookViewId="0">
      <selection activeCell="J125" sqref="J125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66" t="s">
        <v>119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8">
      <c r="A2" s="67" t="s">
        <v>120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8">
      <c r="A3" s="68" t="s">
        <v>128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8">
      <c r="A4" s="69" t="s">
        <v>129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P4" s="56"/>
      <c r="Q4" s="56"/>
      <c r="R4" s="56"/>
    </row>
    <row r="5" spans="1:18">
      <c r="A5" s="72" t="s">
        <v>127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P5" s="57"/>
      <c r="Q5" s="58"/>
    </row>
    <row r="6" spans="1:18" s="29" customFormat="1">
      <c r="A6" s="73" t="s">
        <v>1</v>
      </c>
      <c r="B6" s="73" t="s">
        <v>2</v>
      </c>
      <c r="C6" s="70" t="s">
        <v>3</v>
      </c>
      <c r="D6" s="71"/>
      <c r="E6" s="70" t="s">
        <v>4</v>
      </c>
      <c r="F6" s="71"/>
      <c r="G6" s="70" t="s">
        <v>5</v>
      </c>
      <c r="H6" s="71"/>
      <c r="I6" s="26" t="s">
        <v>6</v>
      </c>
      <c r="J6" s="70" t="s">
        <v>7</v>
      </c>
      <c r="K6" s="71"/>
      <c r="L6" s="28" t="s">
        <v>8</v>
      </c>
      <c r="M6" s="53"/>
    </row>
    <row r="7" spans="1:18" s="29" customFormat="1">
      <c r="A7" s="74"/>
      <c r="B7" s="74"/>
      <c r="C7" s="77">
        <v>46182</v>
      </c>
      <c r="D7" s="78"/>
      <c r="E7" s="77">
        <v>46175</v>
      </c>
      <c r="F7" s="78"/>
      <c r="G7" s="75">
        <v>46151</v>
      </c>
      <c r="H7" s="76"/>
      <c r="I7" s="26" t="s">
        <v>9</v>
      </c>
      <c r="J7" s="75">
        <v>45812</v>
      </c>
      <c r="K7" s="76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70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0</v>
      </c>
      <c r="J9" s="60">
        <v>72</v>
      </c>
      <c r="K9" s="60">
        <v>80</v>
      </c>
      <c r="L9" s="51">
        <f>((C9+D9)/2-(J9+K9)/2)/((J9+K9)/2)*100</f>
        <v>1.9736842105263157</v>
      </c>
      <c r="M9" s="53">
        <f>((C9+D9)/2-(E9+F9)/2)/((E9+F9)/2)*100</f>
        <v>0</v>
      </c>
    </row>
    <row r="10" spans="1:18" s="29" customFormat="1">
      <c r="A10" s="47" t="s">
        <v>93</v>
      </c>
      <c r="B10" s="48" t="s">
        <v>14</v>
      </c>
      <c r="C10" s="41">
        <v>54</v>
      </c>
      <c r="D10" s="41">
        <v>68</v>
      </c>
      <c r="E10" s="41">
        <v>52</v>
      </c>
      <c r="F10" s="41">
        <v>68</v>
      </c>
      <c r="G10" s="60">
        <v>60</v>
      </c>
      <c r="H10" s="60">
        <v>68</v>
      </c>
      <c r="I10" s="50">
        <f>((C10+D10)/2-(G10+H10)/2)/((G10+H10)/2)*100</f>
        <v>-4.6875</v>
      </c>
      <c r="J10" s="60">
        <v>53</v>
      </c>
      <c r="K10" s="60">
        <v>62</v>
      </c>
      <c r="L10" s="51">
        <f>((C10+D10)/2-(J10+K10)/2)/((J10+K10)/2)*100</f>
        <v>6.0869565217391308</v>
      </c>
      <c r="M10" s="53">
        <f t="shared" ref="M10:M70" si="0">((C10+D10)/2-(E10+F10)/2)/((E10+F10)/2)*100</f>
        <v>1.6666666666666667</v>
      </c>
    </row>
    <row r="11" spans="1:18" s="29" customFormat="1">
      <c r="A11" s="47" t="s">
        <v>15</v>
      </c>
      <c r="B11" s="48" t="s">
        <v>14</v>
      </c>
      <c r="C11" s="41">
        <v>50</v>
      </c>
      <c r="D11" s="41">
        <v>60</v>
      </c>
      <c r="E11" s="41">
        <v>48</v>
      </c>
      <c r="F11" s="41">
        <v>60</v>
      </c>
      <c r="G11" s="60">
        <v>55</v>
      </c>
      <c r="H11" s="60">
        <v>60</v>
      </c>
      <c r="I11" s="50">
        <f>((C11+D11)/2-(G11+H11)/2)/((G11+H11)/2)*100</f>
        <v>-4.3478260869565215</v>
      </c>
      <c r="J11" s="60">
        <v>50</v>
      </c>
      <c r="K11" s="60">
        <v>55</v>
      </c>
      <c r="L11" s="51">
        <f>((C11+D11)/2-(J11+K11)/2)/((J11+K11)/2)*100</f>
        <v>4.7619047619047619</v>
      </c>
      <c r="M11" s="53">
        <f t="shared" si="0"/>
        <v>1.8518518518518516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40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5.8139534883720927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72</v>
      </c>
      <c r="I16" s="50">
        <f>((C16+D16)/2-(G16+H16)/2)/((G16+H16)/2)*100</f>
        <v>2.2727272727272729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185</v>
      </c>
      <c r="D18" s="41">
        <v>195</v>
      </c>
      <c r="E18" s="43">
        <v>185</v>
      </c>
      <c r="F18" s="41">
        <v>195</v>
      </c>
      <c r="G18" s="60">
        <v>189</v>
      </c>
      <c r="H18" s="60">
        <v>195</v>
      </c>
      <c r="I18" s="50">
        <f t="shared" ref="I18:I24" si="1">((C18+D18)/2-(G18+H18)/2)/((G18+H18)/2)*100</f>
        <v>-1.0416666666666665</v>
      </c>
      <c r="J18" s="60">
        <v>160</v>
      </c>
      <c r="K18" s="60">
        <v>170</v>
      </c>
      <c r="L18" s="51">
        <f t="shared" ref="L18:L24" si="2">((C18+D18)/2-(J18+K18)/2)/((J18+K18)/2)*100</f>
        <v>15.151515151515152</v>
      </c>
      <c r="M18" s="53">
        <f t="shared" si="0"/>
        <v>0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890</v>
      </c>
      <c r="K19" s="60">
        <v>920</v>
      </c>
      <c r="L19" s="51">
        <f t="shared" si="2"/>
        <v>7.7348066298342539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168</v>
      </c>
      <c r="I22" s="50">
        <f t="shared" si="1"/>
        <v>1.5151515151515151</v>
      </c>
      <c r="J22" s="60">
        <v>145</v>
      </c>
      <c r="K22" s="60">
        <v>155</v>
      </c>
      <c r="L22" s="51">
        <f t="shared" si="2"/>
        <v>11.666666666666666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168</v>
      </c>
      <c r="H23" s="60">
        <v>172</v>
      </c>
      <c r="I23" s="50">
        <f t="shared" si="1"/>
        <v>1.4705882352941175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1080</v>
      </c>
      <c r="I24" s="50">
        <f t="shared" si="1"/>
        <v>2.8436018957345972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95</v>
      </c>
      <c r="K26" s="60">
        <v>110</v>
      </c>
      <c r="L26" s="51">
        <f t="shared" ref="L26:L32" si="4">((C26+D26)/2-(J26+K26)/2)/((J26+K26)/2)*100</f>
        <v>-4.8780487804878048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140</v>
      </c>
      <c r="H28" s="60">
        <v>150</v>
      </c>
      <c r="I28" s="50">
        <f t="shared" si="3"/>
        <v>6.8965517241379306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120</v>
      </c>
      <c r="H29" s="60">
        <v>170</v>
      </c>
      <c r="I29" s="50">
        <f t="shared" si="3"/>
        <v>3.4482758620689653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70</v>
      </c>
      <c r="I30" s="50">
        <f t="shared" si="3"/>
        <v>3.8461538461538463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85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0</v>
      </c>
      <c r="J31" s="60">
        <v>90</v>
      </c>
      <c r="K31" s="60">
        <v>105</v>
      </c>
      <c r="L31" s="51">
        <f t="shared" si="4"/>
        <v>-5.1282051282051277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40</v>
      </c>
      <c r="D34" s="43">
        <v>45</v>
      </c>
      <c r="E34" s="43">
        <v>40</v>
      </c>
      <c r="F34" s="43">
        <v>50</v>
      </c>
      <c r="G34" s="60">
        <v>35</v>
      </c>
      <c r="H34" s="60">
        <v>40</v>
      </c>
      <c r="I34" s="50">
        <f t="shared" ref="I34:I49" si="5">((C34+D34)/2-(G34+H34)/2)/((G34+H34)/2)*100</f>
        <v>13.333333333333334</v>
      </c>
      <c r="J34" s="60">
        <v>50</v>
      </c>
      <c r="K34" s="60">
        <v>60</v>
      </c>
      <c r="L34" s="51">
        <f t="shared" ref="L34:L49" si="6">((C34+D34)/2-(J34+K34)/2)/((J34+K34)/2)*100</f>
        <v>-22.727272727272727</v>
      </c>
      <c r="M34" s="53">
        <f>((C34+D34)/2-(E34+F34)/2)/((E34+F34)/2)*100</f>
        <v>-5.5555555555555554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60</v>
      </c>
      <c r="H36" s="60">
        <v>140</v>
      </c>
      <c r="I36" s="50">
        <f t="shared" si="5"/>
        <v>0</v>
      </c>
      <c r="J36" s="60">
        <v>100</v>
      </c>
      <c r="K36" s="60">
        <v>160</v>
      </c>
      <c r="L36" s="51">
        <f t="shared" si="6"/>
        <v>-23.076923076923077</v>
      </c>
      <c r="M36" s="53">
        <f t="shared" si="0"/>
        <v>0</v>
      </c>
    </row>
    <row r="37" spans="1:13" s="52" customFormat="1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0">
        <v>140</v>
      </c>
      <c r="H37" s="60">
        <v>220</v>
      </c>
      <c r="I37" s="50">
        <f t="shared" si="5"/>
        <v>-2.7777777777777777</v>
      </c>
      <c r="J37" s="60">
        <v>150</v>
      </c>
      <c r="K37" s="60">
        <v>230</v>
      </c>
      <c r="L37" s="51">
        <f t="shared" si="6"/>
        <v>-7.8947368421052628</v>
      </c>
      <c r="M37" s="53">
        <f t="shared" si="0"/>
        <v>0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340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180</v>
      </c>
      <c r="K38" s="60">
        <v>350</v>
      </c>
      <c r="L38" s="51">
        <f t="shared" si="6"/>
        <v>28.30188679245283</v>
      </c>
      <c r="M38" s="53">
        <f t="shared" si="0"/>
        <v>-5.5555555555555554</v>
      </c>
    </row>
    <row r="39" spans="1:13" s="52" customFormat="1">
      <c r="A39" s="47" t="s">
        <v>43</v>
      </c>
      <c r="B39" s="48" t="s">
        <v>14</v>
      </c>
      <c r="C39" s="43">
        <v>420</v>
      </c>
      <c r="D39" s="43">
        <v>450</v>
      </c>
      <c r="E39" s="43">
        <v>420</v>
      </c>
      <c r="F39" s="43">
        <v>450</v>
      </c>
      <c r="G39" s="60">
        <v>460</v>
      </c>
      <c r="H39" s="60">
        <v>480</v>
      </c>
      <c r="I39" s="50">
        <f t="shared" si="5"/>
        <v>-7.4468085106382977</v>
      </c>
      <c r="J39" s="60">
        <v>280</v>
      </c>
      <c r="K39" s="60">
        <v>450</v>
      </c>
      <c r="L39" s="51">
        <f t="shared" si="6"/>
        <v>19.17808219178082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280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6.3492063492063489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400</v>
      </c>
      <c r="E41" s="41">
        <v>250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7.6923076923076925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150</v>
      </c>
      <c r="E42" s="41">
        <v>140</v>
      </c>
      <c r="F42" s="41">
        <v>150</v>
      </c>
      <c r="G42" s="60">
        <v>140</v>
      </c>
      <c r="H42" s="60">
        <v>160</v>
      </c>
      <c r="I42" s="50">
        <f t="shared" si="5"/>
        <v>-3.3333333333333335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>
      <c r="A43" s="47" t="s">
        <v>47</v>
      </c>
      <c r="B43" s="48" t="s">
        <v>14</v>
      </c>
      <c r="C43" s="41">
        <v>130</v>
      </c>
      <c r="D43" s="41">
        <v>250</v>
      </c>
      <c r="E43" s="41">
        <v>150</v>
      </c>
      <c r="F43" s="41">
        <v>220</v>
      </c>
      <c r="G43" s="60">
        <v>120</v>
      </c>
      <c r="H43" s="60">
        <v>210</v>
      </c>
      <c r="I43" s="50">
        <f t="shared" si="5"/>
        <v>15.151515151515152</v>
      </c>
      <c r="J43" s="60">
        <v>110</v>
      </c>
      <c r="K43" s="60">
        <v>220</v>
      </c>
      <c r="L43" s="51">
        <f t="shared" si="6"/>
        <v>15.151515151515152</v>
      </c>
      <c r="M43" s="53">
        <f t="shared" si="0"/>
        <v>2.7027027027027026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0">
        <v>600</v>
      </c>
      <c r="H44" s="60">
        <v>700</v>
      </c>
      <c r="I44" s="50">
        <f t="shared" si="5"/>
        <v>0</v>
      </c>
      <c r="J44" s="60">
        <v>620</v>
      </c>
      <c r="K44" s="60">
        <v>750</v>
      </c>
      <c r="L44" s="51">
        <f t="shared" si="6"/>
        <v>-5.1094890510948909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580</v>
      </c>
      <c r="L45" s="51">
        <f t="shared" si="6"/>
        <v>3.7735849056603774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0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190</v>
      </c>
      <c r="K48" s="60">
        <v>280</v>
      </c>
      <c r="L48" s="51">
        <f t="shared" si="6"/>
        <v>-2.1276595744680851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820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1.875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1300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4.1666666666666661</v>
      </c>
      <c r="J54" s="60">
        <v>1100</v>
      </c>
      <c r="K54" s="60">
        <v>1250</v>
      </c>
      <c r="L54" s="51">
        <f t="shared" si="8"/>
        <v>6.3829787234042552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160</v>
      </c>
      <c r="D55" s="41">
        <v>200</v>
      </c>
      <c r="E55" s="41">
        <v>170</v>
      </c>
      <c r="F55" s="41">
        <v>200</v>
      </c>
      <c r="G55" s="60">
        <v>180</v>
      </c>
      <c r="H55" s="60">
        <v>200</v>
      </c>
      <c r="I55" s="50">
        <f t="shared" si="7"/>
        <v>-5.2631578947368416</v>
      </c>
      <c r="J55" s="60">
        <v>150</v>
      </c>
      <c r="K55" s="60">
        <v>190</v>
      </c>
      <c r="L55" s="51">
        <f t="shared" si="8"/>
        <v>5.8823529411764701</v>
      </c>
      <c r="M55" s="53">
        <f t="shared" si="0"/>
        <v>-2.7027027027027026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79"/>
      <c r="H64" s="79"/>
      <c r="I64" s="4"/>
      <c r="J64" s="3"/>
      <c r="K64" s="3"/>
      <c r="L64" s="5"/>
    </row>
    <row r="65" spans="1:13">
      <c r="A65" s="73" t="s">
        <v>1</v>
      </c>
      <c r="B65" s="73" t="s">
        <v>2</v>
      </c>
      <c r="C65" s="70" t="s">
        <v>3</v>
      </c>
      <c r="D65" s="71"/>
      <c r="E65" s="70" t="s">
        <v>4</v>
      </c>
      <c r="F65" s="71"/>
      <c r="G65" s="70" t="s">
        <v>5</v>
      </c>
      <c r="H65" s="71"/>
      <c r="I65" s="26" t="s">
        <v>6</v>
      </c>
      <c r="J65" s="70" t="s">
        <v>7</v>
      </c>
      <c r="K65" s="71"/>
      <c r="L65" s="26" t="s">
        <v>8</v>
      </c>
    </row>
    <row r="66" spans="1:13" ht="18" customHeight="1">
      <c r="A66" s="74"/>
      <c r="B66" s="74"/>
      <c r="C66" s="77">
        <v>46182</v>
      </c>
      <c r="D66" s="78"/>
      <c r="E66" s="77">
        <v>46175</v>
      </c>
      <c r="F66" s="78"/>
      <c r="G66" s="75">
        <v>46151</v>
      </c>
      <c r="H66" s="76"/>
      <c r="I66" s="26" t="s">
        <v>9</v>
      </c>
      <c r="J66" s="75">
        <v>45812</v>
      </c>
      <c r="K66" s="76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-66.666666666666657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40</v>
      </c>
      <c r="E71" s="41">
        <v>20</v>
      </c>
      <c r="F71" s="41">
        <v>40</v>
      </c>
      <c r="G71" s="60">
        <v>15</v>
      </c>
      <c r="H71" s="60">
        <v>40</v>
      </c>
      <c r="I71" s="50">
        <f t="shared" ref="I71:I78" si="11">((C71+D71)/2-(G71+H71)/2)/((G71+H71)/2)*100</f>
        <v>9.0909090909090917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>
      <c r="A72" s="47" t="s">
        <v>105</v>
      </c>
      <c r="B72" s="54" t="s">
        <v>14</v>
      </c>
      <c r="C72" s="41">
        <v>70</v>
      </c>
      <c r="D72" s="41">
        <v>120</v>
      </c>
      <c r="E72" s="41">
        <v>80</v>
      </c>
      <c r="F72" s="41">
        <v>150</v>
      </c>
      <c r="G72" s="60">
        <v>80</v>
      </c>
      <c r="H72" s="60">
        <v>160</v>
      </c>
      <c r="I72" s="50">
        <f t="shared" si="11"/>
        <v>-20.833333333333336</v>
      </c>
      <c r="J72" s="49">
        <v>60</v>
      </c>
      <c r="K72" s="49">
        <v>120</v>
      </c>
      <c r="L72" s="51">
        <f t="shared" si="9"/>
        <v>5.5555555555555554</v>
      </c>
      <c r="M72" s="53">
        <f t="shared" si="12"/>
        <v>-17.391304347826086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110</v>
      </c>
      <c r="E73" s="41">
        <v>80</v>
      </c>
      <c r="F73" s="41">
        <v>120</v>
      </c>
      <c r="G73" s="60">
        <v>80</v>
      </c>
      <c r="H73" s="60">
        <v>100</v>
      </c>
      <c r="I73" s="50">
        <f t="shared" si="11"/>
        <v>0</v>
      </c>
      <c r="J73" s="49">
        <v>60</v>
      </c>
      <c r="K73" s="49">
        <v>100</v>
      </c>
      <c r="L73" s="51">
        <f t="shared" si="9"/>
        <v>12.5</v>
      </c>
      <c r="M73" s="53">
        <f t="shared" si="12"/>
        <v>-10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60</v>
      </c>
      <c r="F74" s="41">
        <v>100</v>
      </c>
      <c r="G74" s="60">
        <v>50</v>
      </c>
      <c r="H74" s="60">
        <v>80</v>
      </c>
      <c r="I74" s="50">
        <f t="shared" si="11"/>
        <v>0</v>
      </c>
      <c r="J74" s="49">
        <v>50</v>
      </c>
      <c r="K74" s="49">
        <v>80</v>
      </c>
      <c r="L74" s="51">
        <f t="shared" si="9"/>
        <v>0</v>
      </c>
      <c r="M74" s="53">
        <f t="shared" si="12"/>
        <v>-18.75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39</v>
      </c>
      <c r="K75" s="64">
        <v>46</v>
      </c>
      <c r="L75" s="51">
        <f t="shared" si="9"/>
        <v>11.76470588235294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1" t="s">
        <v>133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2">
      <c r="A82" s="7"/>
      <c r="B82" s="81" t="s">
        <v>132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2">
      <c r="A83" s="7"/>
      <c r="B83" s="7" t="s">
        <v>125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0" t="s">
        <v>3</v>
      </c>
      <c r="D85" s="71"/>
      <c r="E85" s="82" t="s">
        <v>78</v>
      </c>
      <c r="F85" s="83"/>
      <c r="G85" s="27" t="s">
        <v>9</v>
      </c>
      <c r="H85" s="70" t="s">
        <v>79</v>
      </c>
      <c r="I85" s="80"/>
      <c r="J85" s="71"/>
      <c r="K85" s="10"/>
      <c r="L85" s="2"/>
    </row>
    <row r="86" spans="1:12">
      <c r="A86" s="47" t="s">
        <v>93</v>
      </c>
      <c r="B86" s="48" t="s">
        <v>14</v>
      </c>
      <c r="C86" s="41">
        <v>54</v>
      </c>
      <c r="D86" s="41">
        <v>68</v>
      </c>
      <c r="E86" s="41">
        <v>52</v>
      </c>
      <c r="F86" s="41">
        <v>68</v>
      </c>
      <c r="G86" s="32">
        <f t="shared" ref="G86:G97" si="13">((C86+D86)/2-(E86+F86)/2)/((E86+F86)/2)*100</f>
        <v>1.6666666666666667</v>
      </c>
      <c r="H86" s="70" t="s">
        <v>123</v>
      </c>
      <c r="I86" s="80"/>
      <c r="J86" s="71"/>
      <c r="K86" s="10"/>
      <c r="L86" s="2"/>
    </row>
    <row r="87" spans="1:12">
      <c r="A87" s="47" t="s">
        <v>15</v>
      </c>
      <c r="B87" s="48" t="s">
        <v>14</v>
      </c>
      <c r="C87" s="41">
        <v>50</v>
      </c>
      <c r="D87" s="41">
        <v>60</v>
      </c>
      <c r="E87" s="41">
        <v>48</v>
      </c>
      <c r="F87" s="41">
        <v>60</v>
      </c>
      <c r="G87" s="32">
        <f t="shared" si="13"/>
        <v>1.8518518518518516</v>
      </c>
      <c r="H87" s="70" t="s">
        <v>123</v>
      </c>
      <c r="I87" s="80"/>
      <c r="J87" s="71"/>
      <c r="K87" s="10"/>
      <c r="L87" s="2"/>
    </row>
    <row r="88" spans="1:12">
      <c r="A88" s="47" t="s">
        <v>17</v>
      </c>
      <c r="B88" s="48" t="s">
        <v>14</v>
      </c>
      <c r="C88" s="41">
        <v>45</v>
      </c>
      <c r="D88" s="41">
        <v>46</v>
      </c>
      <c r="E88" s="41">
        <v>40</v>
      </c>
      <c r="F88" s="41">
        <v>46</v>
      </c>
      <c r="G88" s="32">
        <f t="shared" si="13"/>
        <v>5.8139534883720927</v>
      </c>
      <c r="H88" s="70" t="s">
        <v>130</v>
      </c>
      <c r="I88" s="80"/>
      <c r="J88" s="71"/>
      <c r="K88" s="10"/>
      <c r="L88" s="2"/>
    </row>
    <row r="89" spans="1:12">
      <c r="A89" s="47" t="s">
        <v>101</v>
      </c>
      <c r="B89" s="48" t="s">
        <v>14</v>
      </c>
      <c r="C89" s="43">
        <v>40</v>
      </c>
      <c r="D89" s="43">
        <v>45</v>
      </c>
      <c r="E89" s="43">
        <v>40</v>
      </c>
      <c r="F89" s="43">
        <v>50</v>
      </c>
      <c r="G89" s="32">
        <f t="shared" si="13"/>
        <v>-5.5555555555555554</v>
      </c>
      <c r="H89" s="70" t="s">
        <v>126</v>
      </c>
      <c r="I89" s="80"/>
      <c r="J89" s="71"/>
      <c r="K89" s="10"/>
      <c r="L89" s="2"/>
    </row>
    <row r="90" spans="1:12">
      <c r="A90" s="47" t="s">
        <v>42</v>
      </c>
      <c r="B90" s="48" t="s">
        <v>14</v>
      </c>
      <c r="C90" s="41">
        <v>300</v>
      </c>
      <c r="D90" s="41">
        <v>380</v>
      </c>
      <c r="E90" s="41">
        <v>340</v>
      </c>
      <c r="F90" s="41">
        <v>380</v>
      </c>
      <c r="G90" s="32">
        <f t="shared" si="13"/>
        <v>-5.5555555555555554</v>
      </c>
      <c r="H90" s="70" t="s">
        <v>131</v>
      </c>
      <c r="I90" s="80"/>
      <c r="J90" s="71"/>
      <c r="K90" s="10"/>
      <c r="L90" s="2"/>
    </row>
    <row r="91" spans="1:12">
      <c r="A91" s="47" t="s">
        <v>44</v>
      </c>
      <c r="B91" s="48" t="s">
        <v>14</v>
      </c>
      <c r="C91" s="41">
        <v>320</v>
      </c>
      <c r="D91" s="41">
        <v>350</v>
      </c>
      <c r="E91" s="41">
        <v>280</v>
      </c>
      <c r="F91" s="41">
        <v>350</v>
      </c>
      <c r="G91" s="32">
        <f t="shared" si="13"/>
        <v>6.3492063492063489</v>
      </c>
      <c r="H91" s="70" t="s">
        <v>130</v>
      </c>
      <c r="I91" s="80"/>
      <c r="J91" s="71"/>
      <c r="K91" s="10"/>
      <c r="L91" s="55"/>
    </row>
    <row r="92" spans="1:12">
      <c r="A92" s="47" t="s">
        <v>45</v>
      </c>
      <c r="B92" s="48" t="s">
        <v>14</v>
      </c>
      <c r="C92" s="41">
        <v>300</v>
      </c>
      <c r="D92" s="41">
        <v>400</v>
      </c>
      <c r="E92" s="41">
        <v>250</v>
      </c>
      <c r="F92" s="41">
        <v>400</v>
      </c>
      <c r="G92" s="32">
        <f t="shared" si="13"/>
        <v>7.6923076923076925</v>
      </c>
      <c r="H92" s="70" t="s">
        <v>130</v>
      </c>
      <c r="I92" s="80"/>
      <c r="J92" s="71"/>
      <c r="K92" s="10"/>
      <c r="L92" s="55"/>
    </row>
    <row r="93" spans="1:12">
      <c r="A93" s="47" t="s">
        <v>47</v>
      </c>
      <c r="B93" s="48" t="s">
        <v>14</v>
      </c>
      <c r="C93" s="41">
        <v>130</v>
      </c>
      <c r="D93" s="41">
        <v>250</v>
      </c>
      <c r="E93" s="41">
        <v>150</v>
      </c>
      <c r="F93" s="41">
        <v>220</v>
      </c>
      <c r="G93" s="32">
        <f t="shared" si="13"/>
        <v>2.7027027027027026</v>
      </c>
      <c r="H93" s="70" t="s">
        <v>130</v>
      </c>
      <c r="I93" s="80"/>
      <c r="J93" s="71"/>
      <c r="K93" s="10"/>
      <c r="L93" s="55"/>
    </row>
    <row r="94" spans="1:12">
      <c r="A94" s="47" t="s">
        <v>57</v>
      </c>
      <c r="B94" s="48" t="s">
        <v>14</v>
      </c>
      <c r="C94" s="41">
        <v>160</v>
      </c>
      <c r="D94" s="41">
        <v>200</v>
      </c>
      <c r="E94" s="41">
        <v>170</v>
      </c>
      <c r="F94" s="41">
        <v>200</v>
      </c>
      <c r="G94" s="32">
        <f t="shared" si="13"/>
        <v>-2.7027027027027026</v>
      </c>
      <c r="H94" s="70" t="s">
        <v>126</v>
      </c>
      <c r="I94" s="80"/>
      <c r="J94" s="71"/>
      <c r="K94" s="10"/>
      <c r="L94" s="55"/>
    </row>
    <row r="95" spans="1:12">
      <c r="A95" s="47" t="s">
        <v>105</v>
      </c>
      <c r="B95" s="54" t="s">
        <v>14</v>
      </c>
      <c r="C95" s="41">
        <v>70</v>
      </c>
      <c r="D95" s="41">
        <v>120</v>
      </c>
      <c r="E95" s="41">
        <v>80</v>
      </c>
      <c r="F95" s="41">
        <v>150</v>
      </c>
      <c r="G95" s="32">
        <f t="shared" si="13"/>
        <v>-17.391304347826086</v>
      </c>
      <c r="H95" s="70" t="s">
        <v>126</v>
      </c>
      <c r="I95" s="80"/>
      <c r="J95" s="71"/>
      <c r="K95" s="10"/>
      <c r="L95" s="55"/>
    </row>
    <row r="96" spans="1:12">
      <c r="A96" s="47" t="s">
        <v>106</v>
      </c>
      <c r="B96" s="54" t="s">
        <v>14</v>
      </c>
      <c r="C96" s="41">
        <v>70</v>
      </c>
      <c r="D96" s="41">
        <v>110</v>
      </c>
      <c r="E96" s="41">
        <v>80</v>
      </c>
      <c r="F96" s="41">
        <v>120</v>
      </c>
      <c r="G96" s="32">
        <f t="shared" si="13"/>
        <v>-10</v>
      </c>
      <c r="H96" s="70" t="s">
        <v>126</v>
      </c>
      <c r="I96" s="80"/>
      <c r="J96" s="71"/>
      <c r="K96" s="10"/>
      <c r="L96" s="55"/>
    </row>
    <row r="97" spans="1:12">
      <c r="A97" s="47" t="s">
        <v>107</v>
      </c>
      <c r="B97" s="54" t="s">
        <v>14</v>
      </c>
      <c r="C97" s="41">
        <v>50</v>
      </c>
      <c r="D97" s="41">
        <v>80</v>
      </c>
      <c r="E97" s="41">
        <v>60</v>
      </c>
      <c r="F97" s="41">
        <v>100</v>
      </c>
      <c r="G97" s="32">
        <f t="shared" si="13"/>
        <v>-18.75</v>
      </c>
      <c r="H97" s="70" t="s">
        <v>124</v>
      </c>
      <c r="I97" s="80"/>
      <c r="J97" s="71"/>
      <c r="K97" s="10"/>
      <c r="L97" s="55"/>
    </row>
    <row r="98" spans="1:12">
      <c r="A98" s="7"/>
      <c r="B98" s="1"/>
      <c r="C98" s="6"/>
      <c r="D98" s="6"/>
      <c r="E98" s="6"/>
      <c r="F98" s="6"/>
      <c r="G98" s="4"/>
      <c r="H98" s="7"/>
      <c r="I98" s="1"/>
      <c r="J98" s="1"/>
      <c r="K98" s="10"/>
      <c r="L98" s="12"/>
    </row>
    <row r="99" spans="1:12">
      <c r="A99" s="7"/>
      <c r="B99" s="1"/>
      <c r="C99" s="6"/>
      <c r="D99" s="6"/>
      <c r="E99" s="6"/>
      <c r="F99" s="6"/>
      <c r="G99" s="4"/>
      <c r="H99" s="7"/>
      <c r="I99" s="1"/>
      <c r="J99" s="1"/>
      <c r="K99" s="10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4" t="s">
        <v>114</v>
      </c>
      <c r="C101" s="2"/>
      <c r="E101" s="7"/>
      <c r="F101" s="14" t="s">
        <v>102</v>
      </c>
      <c r="G101" s="2"/>
      <c r="I101" s="15"/>
      <c r="J101" s="1" t="s">
        <v>121</v>
      </c>
      <c r="K101" s="2"/>
      <c r="L101" s="12"/>
    </row>
    <row r="102" spans="1:12">
      <c r="A102" s="16"/>
      <c r="B102" s="14" t="s">
        <v>113</v>
      </c>
      <c r="C102" s="1"/>
      <c r="E102" s="16"/>
      <c r="F102" s="14" t="s">
        <v>103</v>
      </c>
      <c r="G102" s="1"/>
      <c r="I102" s="17"/>
      <c r="J102" s="1" t="s">
        <v>122</v>
      </c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"/>
      <c r="C104" s="3"/>
      <c r="D104" s="3"/>
      <c r="E104" s="3"/>
      <c r="F104" s="3"/>
      <c r="G104" s="4"/>
      <c r="H104" s="18"/>
      <c r="I104" s="12"/>
      <c r="J104" s="12"/>
      <c r="K104" s="12"/>
      <c r="L104" s="12"/>
    </row>
    <row r="105" spans="1:12">
      <c r="A105" s="7"/>
      <c r="C105" s="6"/>
      <c r="D105" s="6"/>
      <c r="E105" s="1"/>
      <c r="F105" s="6"/>
      <c r="G105" s="4"/>
      <c r="H105" s="18"/>
      <c r="I105" s="12"/>
      <c r="J105" s="12"/>
      <c r="K105" s="12"/>
      <c r="L105" s="12"/>
    </row>
    <row r="106" spans="1:12">
      <c r="A106" s="19" t="s">
        <v>86</v>
      </c>
      <c r="B106" s="20"/>
      <c r="C106" s="21"/>
      <c r="D106" s="20"/>
      <c r="E106" s="21"/>
      <c r="F106" s="21"/>
      <c r="G106" s="21"/>
      <c r="H106" s="22"/>
      <c r="I106" s="2"/>
      <c r="J106" s="2"/>
      <c r="K106" s="2"/>
      <c r="L106" s="2"/>
    </row>
    <row r="107" spans="1:12">
      <c r="A107" s="23" t="s">
        <v>115</v>
      </c>
      <c r="B107" s="20"/>
      <c r="C107" s="21"/>
      <c r="D107" s="20"/>
      <c r="E107" s="21"/>
      <c r="F107" s="21"/>
      <c r="G107" s="20"/>
      <c r="H107" s="22"/>
      <c r="I107" s="2"/>
      <c r="J107" s="2"/>
      <c r="K107" s="2"/>
      <c r="L107" s="2"/>
    </row>
    <row r="108" spans="1:12">
      <c r="A108" s="23" t="s">
        <v>108</v>
      </c>
      <c r="B108" s="20"/>
      <c r="C108" s="20"/>
      <c r="D108" s="20"/>
      <c r="E108" s="20"/>
      <c r="F108" s="21"/>
      <c r="G108" s="20"/>
      <c r="H108" s="22"/>
      <c r="I108" s="2"/>
      <c r="J108" s="2"/>
      <c r="K108" s="2"/>
      <c r="L108" s="2"/>
    </row>
    <row r="109" spans="1:12">
      <c r="A109" s="23" t="s">
        <v>80</v>
      </c>
      <c r="B109" s="20"/>
      <c r="C109" s="20"/>
      <c r="D109" s="20"/>
      <c r="E109" s="20"/>
      <c r="F109" s="22"/>
      <c r="G109" s="22"/>
      <c r="H109" s="22"/>
      <c r="I109" s="2"/>
      <c r="J109" s="2"/>
      <c r="K109" s="2"/>
      <c r="L109" s="2"/>
    </row>
    <row r="110" spans="1:12">
      <c r="A110" s="23" t="s">
        <v>109</v>
      </c>
      <c r="B110" s="20"/>
      <c r="C110" s="20"/>
      <c r="D110" s="20"/>
      <c r="E110" s="20"/>
      <c r="F110" s="20"/>
      <c r="G110" s="22"/>
      <c r="H110" s="22"/>
      <c r="I110" s="2"/>
      <c r="J110" s="2"/>
      <c r="K110" s="2"/>
      <c r="L110" s="2"/>
    </row>
    <row r="111" spans="1:12">
      <c r="A111" s="23" t="s">
        <v>89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95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88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87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81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90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116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91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>
      <c r="A119" s="23" t="s">
        <v>92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>
      <c r="A120" s="23" t="s">
        <v>110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/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19" t="s">
        <v>82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83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23" t="s">
        <v>117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>
      <c r="A125" s="23" t="s">
        <v>118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>
      <c r="A126" s="23" t="s">
        <v>99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442" spans="2:2">
      <c r="B442" s="11" t="s">
        <v>112</v>
      </c>
    </row>
  </sheetData>
  <mergeCells count="43">
    <mergeCell ref="H95:J95"/>
    <mergeCell ref="H96:J96"/>
    <mergeCell ref="B82:L82"/>
    <mergeCell ref="H93:J93"/>
    <mergeCell ref="H91:J91"/>
    <mergeCell ref="H94:J94"/>
    <mergeCell ref="H97:J97"/>
    <mergeCell ref="H88:J88"/>
    <mergeCell ref="H92:J92"/>
    <mergeCell ref="H89:J89"/>
    <mergeCell ref="H90:J90"/>
    <mergeCell ref="A65:A66"/>
    <mergeCell ref="B65:B66"/>
    <mergeCell ref="J65:K65"/>
    <mergeCell ref="C66:D66"/>
    <mergeCell ref="J66:K66"/>
    <mergeCell ref="E66:F66"/>
    <mergeCell ref="G66:H66"/>
    <mergeCell ref="G64:H64"/>
    <mergeCell ref="C65:D65"/>
    <mergeCell ref="E65:F65"/>
    <mergeCell ref="G65:H65"/>
    <mergeCell ref="H86:J86"/>
    <mergeCell ref="H87:J87"/>
    <mergeCell ref="B81:L81"/>
    <mergeCell ref="C85:D85"/>
    <mergeCell ref="E85:F85"/>
    <mergeCell ref="H85:J8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2026-06-09T07:51:54Z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