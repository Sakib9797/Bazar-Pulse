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5FE20089-F04B-4508-8339-222544945D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6" i="4" l="1"/>
  <c r="G89" i="4"/>
  <c r="G95" i="4"/>
  <c r="G94" i="4"/>
  <c r="G97" i="4"/>
  <c r="G98" i="4"/>
  <c r="G92" i="4"/>
  <c r="G91" i="4"/>
  <c r="G90" i="4"/>
  <c r="G93" i="4" l="1"/>
  <c r="G87" i="4"/>
  <c r="G99" i="4"/>
  <c r="G88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<sst xmlns="http://schemas.openxmlformats.org/spreadsheetml/2006/main" count="260" uniqueCount="139">
  <si>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</si>
  <si>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</si>
  <si>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</si>
  <si>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</si>
  <si>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</si>
  <si>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</si>
  <si>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</si>
  <si>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</si>
  <si>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</si>
  <si>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</si>
  <si>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</si>
  <si>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</si>
  <si>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</si>
  <si>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</si>
  <si>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</si>
  <si>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</si>
  <si>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</si>
  <si>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</si>
  <si>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</si>
  <si>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</si>
  <si>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</si>
  <si>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</si>
  <si>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</si>
  <si>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</si>
  <si>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</si>
  <si>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</si>
  <si>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</si>
  <si>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</si>
  <si>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</si>
  <si>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</si>
  <si>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</si>
  <si>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</si>
  <si>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</si>
  <si>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</si>
  <si>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</si>
  <si>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</si>
  <si>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</si>
  <si>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</si>
  <si>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</si>
  <si>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</si>
  <si>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</si>
  <si>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</si>
  <si>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</si>
  <si>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</si>
  <si>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</si>
  <si>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</si>
  <si>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</si>
  <si>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</si>
  <si>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</si>
  <si>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</si>
  <si>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</si>
  <si>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</si>
  <si>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</si>
  <si>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</si>
  <si>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</si>
  <si>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</si>
  <si>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</si>
  <si>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</si>
  <si>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</si>
  <si>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</si>
  <si>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</si>
  <si>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</si>
  <si>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</si>
  <si>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</si>
  <si>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</si>
  <si>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</si>
  <si>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</si>
  <si>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</si>
  <si>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</si>
  <si>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</si>
  <si>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</si>
  <si>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</si>
  <si>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</si>
  <si>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</si>
  <si>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</si>
  <si>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</si>
  <si>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</si>
  <si>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</si>
  <si>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</si>
  <si>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</si>
  <si>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</si>
  <si>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</si>
  <si>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</si>
  <si>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</si>
  <si>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</si>
  <si>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</si>
  <si>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</si>
  <si>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</si>
  <si>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</si>
  <si>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</si>
  <si>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</si>
  <si>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</si>
  <si>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</si>
  <si>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</si>
  <si>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</si>
  <si>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</si>
  <si>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</si>
  <si>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</si>
  <si>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</si>
  <si>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</si>
  <si>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</si>
  <si>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</si>
  <si>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</si>
  <si>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</si>
  <si>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</si>
  <si>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</si>
  <si>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</si>
  <si>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</si>
  <si>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</si>
  <si>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</si>
  <si>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</si>
  <si>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</si>
  <si>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</si>
  <si>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</si>
  <si>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</si>
  <si>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</si>
  <si>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</si>
  <si>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</si>
  <si>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</si>
  <si>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</si>
  <si>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</si>
  <si>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</si>
  <si>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২০-০৪-২০২৬ তারিখে মূল্য বৃদ্ধি পেয়েছে।</t>
  </si>
  <si>
    <t>২৫-০৪-২০২৬ তারিখে মূল্য বৃদ্ধি পেয়েছে।</t>
  </si>
  <si>
    <t>২৫-০৪-২০২৬ তারিখে মূল্য হ্রাস পেয়েছে।</t>
  </si>
  <si>
    <t>২৬-০৪-২০২৬ তারিখে মূল্য বৃদ্ধি পেয়েছে।</t>
  </si>
  <si>
    <t>২৬-০৪-২০২৬ তারিখে মূল্য হ্রাস পেয়েছে।</t>
  </si>
  <si>
    <t>সহকারী পরিচালক (বাজার তথ্য)</t>
  </si>
  <si>
    <t>(শতদল মন্ডল)</t>
  </si>
  <si>
    <t xml:space="preserve"> (মোঃ আনিছুর রহমান)   </t>
  </si>
  <si>
    <t xml:space="preserve"> অতিরিক্ত পরিচালক (বাণিজ্যিক)(প্রতিকল্প)</t>
  </si>
  <si>
    <t>২৮-০৪-২০২৬ তারিখে মূল্য হ্রাস পেয়েছে।</t>
  </si>
  <si>
    <t>স্মারক নং-২৬.০৫.০০০০.০১৭.৩১.০১.২৬-৩৩২</t>
  </si>
  <si>
    <t xml:space="preserve">   সিরিয়াল নংঃ     ১০৪</t>
  </si>
  <si>
    <t xml:space="preserve">বুধবার ২৯ এপ্রিল ২০২৬ খ্রিঃ, ১৬ বৈশাখ ১৪৩৩ বাংলা, ১১ জিলকদ ১৪৪৭ হিজরি </t>
  </si>
  <si>
    <t>২৯-০৪-২০২৬ তারিখে মূল্য হ্রাস পেয়েছে।</t>
  </si>
  <si>
    <t>২৯-০৪-২০২৬ তারিখে মূল্য বৃদ্ধি পেয়েছে।</t>
  </si>
  <si>
    <t>(১)   আটা (খোলা), ময়দা (প্যাঃ), পাম অয়েল লুজ, পেঁয়াজ (দেশী), আদা (দেশী, আম), কাঁচামরিচ   এর মূল্য হ্রাস পেয়েছে।</t>
  </si>
  <si>
    <t>(২)   মসুর ডাল (মাঝারী), রশুন (দেশী), মুরগী ব্রয়লার, চিনি,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</si>
</sst>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5"/>
  <sheetViews>
    <sheetView tabSelected="1" topLeftCell="A7" zoomScale="95" zoomScaleNormal="95" workbookViewId="0">
      <selection activeCell="C17" activeCellId="1" sqref="C9:D15 C17:D18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133</v>
      </c>
      <c r="L5" s="75"/>
    </row>
    <row r="6" spans="1:12" ht="21.75">
      <c r="A6" s="10"/>
      <c r="B6" s="8"/>
      <c r="C6" s="8"/>
      <c r="D6" s="10"/>
      <c r="E6" s="8"/>
      <c r="F6" s="8" t="s">
        <v>134</v>
      </c>
      <c r="G6" s="8"/>
      <c r="H6" s="8"/>
      <c r="I6" s="8"/>
      <c r="J6" s="8"/>
      <c r="K6" s="8"/>
      <c r="L6" s="30"/>
    </row>
    <row r="7" spans="1:12" ht="21.75">
      <c r="A7" s="13" t="s">
        <v>132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46141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46141</v>
      </c>
      <c r="D9" s="75"/>
      <c r="E9" s="74">
        <v>46134</v>
      </c>
      <c r="F9" s="75"/>
      <c r="G9" s="74">
        <v>46110</v>
      </c>
      <c r="H9" s="75"/>
      <c r="I9" s="18" t="s">
        <v>12</v>
      </c>
      <c r="J9" s="74">
        <v>45776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57</v>
      </c>
      <c r="K12" s="20">
        <v>65</v>
      </c>
      <c r="L12" s="22">
        <f>((C12+D12)/2-(J12+K12)/2)/((J12+K12)/2)*100</f>
        <v>4.918032786885246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42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180</v>
      </c>
      <c r="D20" s="20">
        <v>195</v>
      </c>
      <c r="E20" s="20">
        <v>185</v>
      </c>
      <c r="F20" s="20">
        <v>195</v>
      </c>
      <c r="G20" s="20">
        <v>185</v>
      </c>
      <c r="H20" s="20">
        <v>195</v>
      </c>
      <c r="I20" s="21">
        <f t="shared" ref="I20:I26" si="0">((C20+D20)/2-(G20+H20)/2)/((G20+H20)/2)*100</f>
        <v>-1.3157894736842104</v>
      </c>
      <c r="J20" s="20">
        <v>165</v>
      </c>
      <c r="K20" s="20">
        <v>172</v>
      </c>
      <c r="L20" s="22">
        <f t="shared" ref="L20:L26" si="1">((C20+D20)/2-(J20+K20)/2)/((J20+K20)/2)*100</f>
        <v>11.275964391691394</v>
      </c>
    </row>
    <row r="21" spans="1:12" ht="21.75">
      <c r="A21" s="56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900</v>
      </c>
      <c r="K21" s="20">
        <v>920</v>
      </c>
      <c r="L21" s="22">
        <f t="shared" si="1"/>
        <v>4.6703296703296706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370</v>
      </c>
      <c r="K22" s="20">
        <v>378</v>
      </c>
      <c r="L22" s="22">
        <f t="shared" si="1"/>
        <v>4.9465240641711237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194</v>
      </c>
      <c r="H23" s="20">
        <v>195</v>
      </c>
      <c r="I23" s="21">
        <f t="shared" si="0"/>
        <v>0.25706940874035988</v>
      </c>
      <c r="J23" s="20">
        <v>185</v>
      </c>
      <c r="K23" s="20">
        <v>190</v>
      </c>
      <c r="L23" s="22">
        <f t="shared" si="1"/>
        <v>4</v>
      </c>
    </row>
    <row r="24" spans="1:12" ht="21.75">
      <c r="A24" s="56" t="s">
        <v>32</v>
      </c>
      <c r="B24" s="6" t="s">
        <v>27</v>
      </c>
      <c r="C24" s="20">
        <v>161</v>
      </c>
      <c r="D24" s="20">
        <v>168</v>
      </c>
      <c r="E24" s="20">
        <v>164</v>
      </c>
      <c r="F24" s="20">
        <v>168</v>
      </c>
      <c r="G24" s="20">
        <v>158</v>
      </c>
      <c r="H24" s="20">
        <v>168</v>
      </c>
      <c r="I24" s="21">
        <f t="shared" si="0"/>
        <v>0.92024539877300615</v>
      </c>
      <c r="J24" s="20">
        <v>149</v>
      </c>
      <c r="K24" s="20">
        <v>156</v>
      </c>
      <c r="L24" s="22">
        <f t="shared" si="1"/>
        <v>7.8688524590163942</v>
      </c>
    </row>
    <row r="25" spans="1:12" ht="21.75">
      <c r="A25" s="56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0.59701492537313439</v>
      </c>
      <c r="J25" s="20">
        <v>155</v>
      </c>
      <c r="K25" s="20">
        <v>164</v>
      </c>
      <c r="L25" s="22">
        <f t="shared" si="1"/>
        <v>5.6426332288401255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90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8.5714285714285712</v>
      </c>
      <c r="J33" s="20">
        <v>90</v>
      </c>
      <c r="K33" s="20">
        <v>110</v>
      </c>
      <c r="L33" s="22">
        <f t="shared" si="3"/>
        <v>-5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45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55</v>
      </c>
      <c r="K36" s="20">
        <v>65</v>
      </c>
      <c r="L36" s="22">
        <f t="shared" ref="L36:L51" si="5">((C36+D36)/2-(J36+K36)/2)/((J36+K36)/2)*100</f>
        <v>-37.5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90</v>
      </c>
      <c r="D38" s="20">
        <v>140</v>
      </c>
      <c r="E38" s="20">
        <v>70</v>
      </c>
      <c r="F38" s="20">
        <v>140</v>
      </c>
      <c r="G38" s="20">
        <v>60</v>
      </c>
      <c r="H38" s="20">
        <v>130</v>
      </c>
      <c r="I38" s="21">
        <f t="shared" si="4"/>
        <v>21.052631578947366</v>
      </c>
      <c r="J38" s="20">
        <v>110</v>
      </c>
      <c r="K38" s="20">
        <v>160</v>
      </c>
      <c r="L38" s="22">
        <f t="shared" si="5"/>
        <v>-14.814814814814813</v>
      </c>
    </row>
    <row r="39" spans="1:12" ht="21.75">
      <c r="A39" s="56" t="s">
        <v>44</v>
      </c>
      <c r="B39" s="6" t="s">
        <v>17</v>
      </c>
      <c r="C39" s="20">
        <v>160</v>
      </c>
      <c r="D39" s="20">
        <v>220</v>
      </c>
      <c r="E39" s="20">
        <v>160</v>
      </c>
      <c r="F39" s="20">
        <v>220</v>
      </c>
      <c r="G39" s="20">
        <v>180</v>
      </c>
      <c r="H39" s="20">
        <v>220</v>
      </c>
      <c r="I39" s="21">
        <f t="shared" si="4"/>
        <v>-5</v>
      </c>
      <c r="J39" s="20">
        <v>200</v>
      </c>
      <c r="K39" s="20">
        <v>240</v>
      </c>
      <c r="L39" s="22">
        <f t="shared" si="5"/>
        <v>-13.636363636363635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270</v>
      </c>
      <c r="H40" s="20">
        <v>300</v>
      </c>
      <c r="I40" s="21">
        <f t="shared" si="4"/>
        <v>29.82456140350877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340</v>
      </c>
      <c r="H41" s="20">
        <v>350</v>
      </c>
      <c r="I41" s="21">
        <f t="shared" si="4"/>
        <v>36.231884057971016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150</v>
      </c>
      <c r="E44" s="20">
        <v>140</v>
      </c>
      <c r="F44" s="20">
        <v>200</v>
      </c>
      <c r="G44" s="20">
        <v>100</v>
      </c>
      <c r="H44" s="20">
        <v>200</v>
      </c>
      <c r="I44" s="21">
        <f t="shared" si="4"/>
        <v>-3.3333333333333335</v>
      </c>
      <c r="J44" s="20">
        <v>110</v>
      </c>
      <c r="K44" s="20">
        <v>150</v>
      </c>
      <c r="L44" s="22">
        <f t="shared" si="5"/>
        <v>11.538461538461538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150</v>
      </c>
      <c r="F45" s="20">
        <v>220</v>
      </c>
      <c r="G45" s="20">
        <v>120</v>
      </c>
      <c r="H45" s="20">
        <v>210</v>
      </c>
      <c r="I45" s="21">
        <f t="shared" si="4"/>
        <v>0</v>
      </c>
      <c r="J45" s="20">
        <v>120</v>
      </c>
      <c r="K45" s="20">
        <v>220</v>
      </c>
      <c r="L45" s="22">
        <f t="shared" si="5"/>
        <v>-2.9411764705882351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640</v>
      </c>
      <c r="H46" s="20">
        <v>700</v>
      </c>
      <c r="I46" s="21">
        <f t="shared" si="4"/>
        <v>-2.9850746268656714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190</v>
      </c>
      <c r="D57" s="20">
        <v>200</v>
      </c>
      <c r="E57" s="20">
        <v>180</v>
      </c>
      <c r="F57" s="20">
        <v>200</v>
      </c>
      <c r="G57" s="20">
        <v>190</v>
      </c>
      <c r="H57" s="20">
        <v>210</v>
      </c>
      <c r="I57" s="21">
        <f t="shared" si="6"/>
        <v>-2.5</v>
      </c>
      <c r="J57" s="20">
        <v>170</v>
      </c>
      <c r="K57" s="20">
        <v>200</v>
      </c>
      <c r="L57" s="22">
        <f t="shared" si="7"/>
        <v>5.4054054054054053</v>
      </c>
    </row>
    <row r="58" spans="1:12" ht="21.75">
      <c r="A58" s="56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640</v>
      </c>
      <c r="L58" s="22">
        <f t="shared" si="7"/>
        <v>5.2631578947368416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46141</v>
      </c>
      <c r="D67" s="75"/>
      <c r="E67" s="74">
        <v>46134</v>
      </c>
      <c r="F67" s="75"/>
      <c r="G67" s="74">
        <v>46110</v>
      </c>
      <c r="H67" s="75"/>
      <c r="I67" s="18" t="s">
        <v>12</v>
      </c>
      <c r="J67" s="74">
        <v>45776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114</v>
      </c>
      <c r="K69" s="20">
        <v>120</v>
      </c>
      <c r="L69" s="22">
        <f t="shared" ref="L69:L79" si="8">((C69+D69)/2-(J69+K69)/2)/((J69+K69)/2)*100</f>
        <v>-8.1196581196581192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20</v>
      </c>
      <c r="H72" s="20">
        <v>60</v>
      </c>
      <c r="I72" s="21">
        <f t="shared" si="9"/>
        <v>-12.5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60</v>
      </c>
      <c r="D73" s="20">
        <v>130</v>
      </c>
      <c r="E73" s="20">
        <v>60</v>
      </c>
      <c r="F73" s="20">
        <v>160</v>
      </c>
      <c r="G73" s="20">
        <v>60</v>
      </c>
      <c r="H73" s="20">
        <v>80</v>
      </c>
      <c r="I73" s="21">
        <f t="shared" si="9"/>
        <v>35.714285714285715</v>
      </c>
      <c r="J73" s="20">
        <v>60</v>
      </c>
      <c r="K73" s="20">
        <v>100</v>
      </c>
      <c r="L73" s="22">
        <f t="shared" si="8"/>
        <v>18.75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42</v>
      </c>
      <c r="G76" s="28">
        <v>32</v>
      </c>
      <c r="H76" s="28">
        <v>40</v>
      </c>
      <c r="I76" s="21">
        <f t="shared" si="9"/>
        <v>18.055555555555554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88500</v>
      </c>
      <c r="L79" s="22">
        <f t="shared" si="8"/>
        <v>-6.5527065527065522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138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20</v>
      </c>
      <c r="B87" s="6" t="s">
        <v>17</v>
      </c>
      <c r="C87" s="20">
        <v>40</v>
      </c>
      <c r="D87" s="20">
        <v>46</v>
      </c>
      <c r="E87" s="20">
        <v>42</v>
      </c>
      <c r="F87" s="20">
        <v>46</v>
      </c>
      <c r="G87" s="7">
        <f t="shared" ref="G87" si="10">((C87+D87)/2-(E87+F87)/2)/((E87+F87)/2)*100</f>
        <v>-2.2727272727272729</v>
      </c>
      <c r="H87" s="5" t="s">
        <v>131</v>
      </c>
      <c r="I87" s="6"/>
      <c r="J87" s="6"/>
      <c r="K87" s="43"/>
      <c r="L87" s="2"/>
    </row>
    <row r="88" spans="1:12" ht="21.75">
      <c r="A88" s="56" t="s">
        <v>24</v>
      </c>
      <c r="B88" s="6" t="s">
        <v>22</v>
      </c>
      <c r="C88" s="20">
        <v>60</v>
      </c>
      <c r="D88" s="20">
        <v>72</v>
      </c>
      <c r="E88" s="20">
        <v>60</v>
      </c>
      <c r="F88" s="20">
        <v>75</v>
      </c>
      <c r="G88" s="7">
        <f t="shared" ref="G88:G91" si="11">((C88+D88)/2-(E88+F88)/2)/((E88+F88)/2)*100</f>
        <v>-2.2222222222222223</v>
      </c>
      <c r="H88" s="5" t="s">
        <v>124</v>
      </c>
      <c r="I88" s="6"/>
      <c r="J88" s="6"/>
      <c r="K88" s="43"/>
      <c r="L88" s="2"/>
    </row>
    <row r="89" spans="1:12" ht="21.75">
      <c r="A89" s="56" t="s">
        <v>26</v>
      </c>
      <c r="B89" s="6" t="s">
        <v>27</v>
      </c>
      <c r="C89" s="20">
        <v>180</v>
      </c>
      <c r="D89" s="20">
        <v>195</v>
      </c>
      <c r="E89" s="20">
        <v>185</v>
      </c>
      <c r="F89" s="20">
        <v>195</v>
      </c>
      <c r="G89" s="7">
        <f t="shared" si="11"/>
        <v>-1.3157894736842104</v>
      </c>
      <c r="H89" s="5" t="s">
        <v>135</v>
      </c>
      <c r="I89" s="6"/>
      <c r="J89" s="6"/>
      <c r="K89" s="43"/>
      <c r="L89" s="2"/>
    </row>
    <row r="90" spans="1:12" ht="21.75">
      <c r="A90" s="56" t="s">
        <v>32</v>
      </c>
      <c r="B90" s="6" t="s">
        <v>27</v>
      </c>
      <c r="C90" s="20">
        <v>161</v>
      </c>
      <c r="D90" s="20">
        <v>168</v>
      </c>
      <c r="E90" s="20">
        <v>164</v>
      </c>
      <c r="F90" s="20">
        <v>168</v>
      </c>
      <c r="G90" s="7">
        <f t="shared" si="11"/>
        <v>-0.90361445783132521</v>
      </c>
      <c r="H90" s="5" t="s">
        <v>124</v>
      </c>
      <c r="I90" s="6"/>
      <c r="J90" s="6"/>
      <c r="K90" s="43"/>
      <c r="L90" s="2"/>
    </row>
    <row r="91" spans="1:12" ht="21.75">
      <c r="A91" s="56" t="s">
        <v>103</v>
      </c>
      <c r="B91" s="6" t="s">
        <v>17</v>
      </c>
      <c r="C91" s="20">
        <v>115</v>
      </c>
      <c r="D91" s="20">
        <v>120</v>
      </c>
      <c r="E91" s="20">
        <v>110</v>
      </c>
      <c r="F91" s="20">
        <v>120</v>
      </c>
      <c r="G91" s="7">
        <f t="shared" si="11"/>
        <v>2.1739130434782608</v>
      </c>
      <c r="H91" s="5" t="s">
        <v>123</v>
      </c>
      <c r="I91" s="6"/>
      <c r="J91" s="6"/>
      <c r="K91" s="43"/>
      <c r="L91" s="2"/>
    </row>
    <row r="92" spans="1:12" ht="21.75">
      <c r="A92" s="56" t="s">
        <v>109</v>
      </c>
      <c r="B92" s="6" t="s">
        <v>17</v>
      </c>
      <c r="C92" s="20">
        <v>35</v>
      </c>
      <c r="D92" s="20">
        <v>40</v>
      </c>
      <c r="E92" s="20">
        <v>35</v>
      </c>
      <c r="F92" s="20">
        <v>45</v>
      </c>
      <c r="G92" s="7">
        <f t="shared" ref="G92" si="12">((C92+D92)/2-(E92+F92)/2)/((E92+F92)/2)*100</f>
        <v>-6.25</v>
      </c>
      <c r="H92" s="5" t="s">
        <v>124</v>
      </c>
      <c r="I92" s="6"/>
      <c r="J92" s="6"/>
      <c r="K92" s="43"/>
      <c r="L92" s="2"/>
    </row>
    <row r="93" spans="1:12" ht="21.75">
      <c r="A93" s="56" t="s">
        <v>43</v>
      </c>
      <c r="B93" s="6" t="s">
        <v>17</v>
      </c>
      <c r="C93" s="20">
        <v>90</v>
      </c>
      <c r="D93" s="20">
        <v>140</v>
      </c>
      <c r="E93" s="20">
        <v>70</v>
      </c>
      <c r="F93" s="20">
        <v>140</v>
      </c>
      <c r="G93" s="7">
        <f t="shared" ref="G93:G99" si="13">((C93+D93)/2-(E93+F93)/2)/((E93+F93)/2)*100</f>
        <v>9.5238095238095237</v>
      </c>
      <c r="H93" s="5" t="s">
        <v>136</v>
      </c>
      <c r="I93" s="6"/>
      <c r="J93" s="6"/>
      <c r="K93" s="43"/>
      <c r="L93" s="2"/>
    </row>
    <row r="94" spans="1:12" ht="21.75">
      <c r="A94" s="56" t="s">
        <v>49</v>
      </c>
      <c r="B94" s="6" t="s">
        <v>17</v>
      </c>
      <c r="C94" s="20">
        <v>140</v>
      </c>
      <c r="D94" s="20">
        <v>150</v>
      </c>
      <c r="E94" s="20">
        <v>140</v>
      </c>
      <c r="F94" s="20">
        <v>200</v>
      </c>
      <c r="G94" s="7">
        <f t="shared" si="13"/>
        <v>-14.705882352941178</v>
      </c>
      <c r="H94" s="5" t="s">
        <v>126</v>
      </c>
      <c r="I94" s="6"/>
      <c r="J94" s="6"/>
      <c r="K94" s="43"/>
      <c r="L94" s="2"/>
    </row>
    <row r="95" spans="1:12" ht="21.75">
      <c r="A95" s="56" t="s">
        <v>50</v>
      </c>
      <c r="B95" s="6" t="s">
        <v>17</v>
      </c>
      <c r="C95" s="20">
        <v>120</v>
      </c>
      <c r="D95" s="20">
        <v>210</v>
      </c>
      <c r="E95" s="20">
        <v>150</v>
      </c>
      <c r="F95" s="20">
        <v>220</v>
      </c>
      <c r="G95" s="7">
        <f t="shared" si="13"/>
        <v>-10.810810810810811</v>
      </c>
      <c r="H95" s="5" t="s">
        <v>126</v>
      </c>
      <c r="I95" s="6"/>
      <c r="J95" s="6"/>
      <c r="K95" s="43"/>
      <c r="L95" s="2"/>
    </row>
    <row r="96" spans="1:12" ht="21.75">
      <c r="A96" s="56" t="s">
        <v>60</v>
      </c>
      <c r="B96" s="6" t="s">
        <v>17</v>
      </c>
      <c r="C96" s="20">
        <v>190</v>
      </c>
      <c r="D96" s="20">
        <v>200</v>
      </c>
      <c r="E96" s="20">
        <v>180</v>
      </c>
      <c r="F96" s="20">
        <v>200</v>
      </c>
      <c r="G96" s="7">
        <f t="shared" si="13"/>
        <v>2.6315789473684208</v>
      </c>
      <c r="H96" s="5" t="s">
        <v>136</v>
      </c>
      <c r="I96" s="6"/>
      <c r="J96" s="6"/>
      <c r="K96" s="43"/>
      <c r="L96" s="2"/>
    </row>
    <row r="97" spans="1:12" ht="21.75">
      <c r="A97" s="56" t="s">
        <v>69</v>
      </c>
      <c r="B97" s="6" t="s">
        <v>17</v>
      </c>
      <c r="C97" s="20">
        <v>105</v>
      </c>
      <c r="D97" s="20">
        <v>110</v>
      </c>
      <c r="E97" s="20">
        <v>100</v>
      </c>
      <c r="F97" s="20">
        <v>110</v>
      </c>
      <c r="G97" s="7">
        <f t="shared" si="13"/>
        <v>2.3809523809523809</v>
      </c>
      <c r="H97" s="5" t="s">
        <v>125</v>
      </c>
      <c r="I97" s="6"/>
      <c r="J97" s="6"/>
      <c r="K97" s="43"/>
      <c r="L97" s="2"/>
    </row>
    <row r="98" spans="1:12" ht="21.75">
      <c r="A98" s="56" t="s">
        <v>113</v>
      </c>
      <c r="B98" s="48" t="s">
        <v>17</v>
      </c>
      <c r="C98" s="20">
        <v>60</v>
      </c>
      <c r="D98" s="20">
        <v>130</v>
      </c>
      <c r="E98" s="20">
        <v>60</v>
      </c>
      <c r="F98" s="20">
        <v>160</v>
      </c>
      <c r="G98" s="7">
        <f t="shared" si="13"/>
        <v>-13.636363636363635</v>
      </c>
      <c r="H98" s="5" t="s">
        <v>124</v>
      </c>
      <c r="I98" s="6"/>
      <c r="J98" s="6"/>
      <c r="K98" s="43"/>
      <c r="L98" s="2"/>
    </row>
    <row r="99" spans="1:12" ht="21.75">
      <c r="A99" s="56" t="s">
        <v>71</v>
      </c>
      <c r="B99" s="6" t="s">
        <v>72</v>
      </c>
      <c r="C99" s="28">
        <v>40</v>
      </c>
      <c r="D99" s="28">
        <v>45</v>
      </c>
      <c r="E99" s="28">
        <v>40</v>
      </c>
      <c r="F99" s="28">
        <v>42</v>
      </c>
      <c r="G99" s="7">
        <f t="shared" si="13"/>
        <v>3.6585365853658534</v>
      </c>
      <c r="H99" s="5" t="s">
        <v>122</v>
      </c>
      <c r="I99" s="6"/>
      <c r="J99" s="6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21.75">
      <c r="A101" s="60"/>
      <c r="B101" s="3"/>
      <c r="C101" s="71"/>
      <c r="D101" s="71"/>
      <c r="E101" s="71"/>
      <c r="F101" s="71"/>
      <c r="G101" s="9"/>
      <c r="H101" s="1"/>
      <c r="I101" s="3"/>
      <c r="J101" s="3"/>
      <c r="K101" s="43"/>
      <c r="L101" s="44"/>
    </row>
    <row r="102" spans="1:12" ht="21.75">
      <c r="A102" s="60"/>
      <c r="B102" s="3"/>
      <c r="C102" s="71"/>
      <c r="D102" s="71"/>
      <c r="E102" s="71"/>
      <c r="F102" s="71"/>
      <c r="G102" s="9"/>
      <c r="H102" s="1"/>
      <c r="I102" s="3"/>
      <c r="J102" s="3"/>
      <c r="K102" s="43"/>
      <c r="L102" s="44"/>
    </row>
    <row r="103" spans="1:12" ht="19.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24.75">
      <c r="A104" s="64"/>
      <c r="B104" s="65" t="s">
        <v>128</v>
      </c>
      <c r="C104" s="66"/>
      <c r="E104" s="64"/>
      <c r="F104" s="65" t="s">
        <v>110</v>
      </c>
      <c r="G104" s="66"/>
      <c r="I104" s="67"/>
      <c r="J104" s="68" t="s">
        <v>129</v>
      </c>
      <c r="K104" s="66"/>
      <c r="L104" s="44"/>
    </row>
    <row r="105" spans="1:12" ht="24.75">
      <c r="A105" s="69"/>
      <c r="B105" s="65" t="s">
        <v>127</v>
      </c>
      <c r="C105" s="68"/>
      <c r="E105" s="69"/>
      <c r="F105" s="65" t="s">
        <v>111</v>
      </c>
      <c r="G105" s="68"/>
      <c r="I105" s="70"/>
      <c r="J105" s="68" t="s">
        <v>130</v>
      </c>
      <c r="L105" s="44"/>
    </row>
    <row r="106" spans="1:12" ht="19.5">
      <c r="A106" s="1"/>
      <c r="B106" s="49"/>
      <c r="C106" s="37"/>
      <c r="D106" s="37"/>
      <c r="E106" s="37"/>
      <c r="F106" s="37"/>
      <c r="G106" s="9"/>
      <c r="H106" s="1"/>
      <c r="I106" s="3"/>
      <c r="J106" s="3"/>
      <c r="K106" s="44"/>
      <c r="L106" s="44"/>
    </row>
    <row r="107" spans="1:12" ht="19.5">
      <c r="A107" s="1"/>
      <c r="B107" s="3"/>
      <c r="C107" s="37"/>
      <c r="D107" s="37"/>
      <c r="E107" s="37"/>
      <c r="F107" s="37"/>
      <c r="G107" s="9"/>
      <c r="H107" s="45"/>
      <c r="I107" s="44"/>
      <c r="J107" s="44"/>
      <c r="K107" s="44"/>
      <c r="L107" s="44"/>
    </row>
    <row r="108" spans="1:12" ht="19.5">
      <c r="A108" s="1"/>
      <c r="B108" s="46"/>
      <c r="C108" s="47"/>
      <c r="D108" s="47"/>
      <c r="E108" s="3"/>
      <c r="F108" s="47"/>
      <c r="G108" s="9"/>
      <c r="H108" s="45"/>
      <c r="I108" s="44"/>
      <c r="J108" s="44"/>
      <c r="K108" s="44"/>
      <c r="L108" s="44"/>
    </row>
    <row r="109" spans="1:12" ht="19.5">
      <c r="A109" s="35" t="s">
        <v>89</v>
      </c>
      <c r="B109" s="33"/>
      <c r="C109" s="31"/>
      <c r="D109" s="33"/>
      <c r="E109" s="31"/>
      <c r="F109" s="31"/>
      <c r="G109" s="31"/>
      <c r="H109" s="32"/>
      <c r="I109" s="2"/>
      <c r="J109" s="2"/>
      <c r="K109" s="2"/>
      <c r="L109" s="2"/>
    </row>
    <row r="110" spans="1:12" ht="19.5">
      <c r="A110" s="34" t="s">
        <v>93</v>
      </c>
      <c r="B110" s="33"/>
      <c r="C110" s="31"/>
      <c r="D110" s="33"/>
      <c r="E110" s="31"/>
      <c r="F110" s="31"/>
      <c r="G110" s="33"/>
      <c r="H110" s="32"/>
      <c r="I110" s="2"/>
      <c r="J110" s="2"/>
      <c r="K110" s="2"/>
      <c r="L110" s="2"/>
    </row>
    <row r="111" spans="1:12" ht="19.5">
      <c r="A111" s="34" t="s">
        <v>117</v>
      </c>
      <c r="B111" s="33"/>
      <c r="C111" s="33"/>
      <c r="D111" s="33"/>
      <c r="E111" s="33"/>
      <c r="F111" s="31"/>
      <c r="G111" s="33"/>
      <c r="H111" s="32"/>
      <c r="I111" s="2"/>
      <c r="J111" s="2"/>
      <c r="K111" s="2"/>
      <c r="L111" s="2"/>
    </row>
    <row r="112" spans="1:12" ht="19.5">
      <c r="A112" s="34" t="s">
        <v>83</v>
      </c>
      <c r="B112" s="33"/>
      <c r="C112" s="33"/>
      <c r="D112" s="33"/>
      <c r="E112" s="33"/>
      <c r="F112" s="32"/>
      <c r="G112" s="32"/>
      <c r="H112" s="32"/>
      <c r="I112" s="2"/>
      <c r="J112" s="2"/>
      <c r="K112" s="2"/>
      <c r="L112" s="2"/>
    </row>
    <row r="113" spans="1:12" ht="19.5">
      <c r="A113" s="34" t="s">
        <v>118</v>
      </c>
      <c r="B113" s="33"/>
      <c r="C113" s="33"/>
      <c r="D113" s="33"/>
      <c r="E113" s="33"/>
      <c r="F113" s="33"/>
      <c r="G113" s="32"/>
      <c r="H113" s="32"/>
      <c r="I113" s="2"/>
      <c r="J113" s="2"/>
      <c r="K113" s="2"/>
      <c r="L113" s="2"/>
    </row>
    <row r="114" spans="1:12" ht="19.5">
      <c r="A114" s="34" t="s">
        <v>92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100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91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90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84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94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95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96</v>
      </c>
      <c r="B122" s="33"/>
      <c r="C122" s="33"/>
      <c r="D122" s="33"/>
      <c r="E122" s="33"/>
      <c r="F122" s="33"/>
      <c r="G122" s="33"/>
      <c r="H122" s="32"/>
      <c r="I122" s="2"/>
      <c r="J122" s="2"/>
      <c r="K122" s="2"/>
      <c r="L122" s="2"/>
    </row>
    <row r="123" spans="1:12" ht="19.5">
      <c r="A123" s="34" t="s">
        <v>119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/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5" t="s">
        <v>85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86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106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128" spans="1:12" ht="19.5">
      <c r="A128" s="34" t="s">
        <v>105</v>
      </c>
      <c r="B128" s="33"/>
      <c r="C128" s="33"/>
      <c r="D128" s="33"/>
      <c r="E128" s="33"/>
      <c r="F128" s="33"/>
      <c r="G128" s="33"/>
      <c r="H128" s="36"/>
      <c r="I128" s="44"/>
      <c r="J128" s="44"/>
      <c r="K128" s="44"/>
      <c r="L128" s="44"/>
    </row>
    <row r="129" spans="1:12" ht="19.5">
      <c r="A129" s="34" t="s">
        <v>104</v>
      </c>
      <c r="B129" s="33"/>
      <c r="C129" s="33"/>
      <c r="D129" s="33"/>
      <c r="E129" s="33"/>
      <c r="F129" s="33"/>
      <c r="G129" s="33"/>
      <c r="H129" s="36"/>
      <c r="I129" s="44"/>
      <c r="J129" s="44"/>
      <c r="K129" s="44"/>
      <c r="L129" s="44"/>
    </row>
    <row r="445" spans="2:2">
      <c r="B445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2026-04-29T08:20:15Z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