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8023788F-8F16-4CDC-9242-C22BEDB4A0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103" i="4" l="1"/>
  <c r="G100" i="4"/>
  <c r="G99" i="4"/>
  <c r="G98" i="4"/>
  <c r="G93" i="4" l="1"/>
  <c r="G96" i="4"/>
  <c r="I77" i="4"/>
  <c r="I76" i="4"/>
  <c r="I75" i="4"/>
  <c r="I74" i="4"/>
  <c r="L74" i="4"/>
  <c r="L77" i="4"/>
  <c r="L76" i="4"/>
  <c r="L75" i="4"/>
  <c r="G102" i="4"/>
  <c r="G91" i="4"/>
  <c r="G90" i="4"/>
  <c r="G89" i="4"/>
  <c r="G94" i="4"/>
  <c r="G101" i="4"/>
  <c r="G97" i="4"/>
  <c r="G95" i="4"/>
  <c r="G92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<sst xmlns="http://schemas.openxmlformats.org/spreadsheetml/2006/main" count="264" uniqueCount="135">
  <si>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</si>
  <si>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</si>
  <si>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</si>
  <si>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</si>
  <si>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</si>
  <si>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</si>
  <si>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</si>
  <si>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</si>
  <si>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</si>
  <si>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</si>
  <si>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</si>
  <si>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</si>
  <si>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</si>
  <si>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</si>
  <si>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</si>
  <si>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</si>
  <si>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</si>
  <si>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</si>
  <si>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</si>
  <si>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</si>
  <si>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</si>
  <si>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</si>
  <si>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</si>
  <si>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</si>
  <si>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</si>
  <si>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</si>
  <si>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</si>
  <si>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</si>
  <si>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</si>
  <si>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</si>
  <si>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</si>
  <si>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</si>
  <si>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</si>
  <si>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</si>
  <si>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</si>
  <si>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</si>
  <si>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</si>
  <si>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</si>
  <si>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</si>
  <si>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</si>
  <si>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</si>
  <si>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</si>
  <si>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</si>
  <si>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</si>
  <si>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</si>
  <si>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</si>
  <si>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</si>
  <si>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</si>
  <si>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</si>
  <si>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</si>
  <si>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</si>
  <si>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</si>
  <si>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</si>
  <si>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</si>
  <si>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</si>
  <si>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</si>
  <si>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</si>
  <si>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</si>
  <si>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</si>
  <si>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</si>
  <si>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</si>
  <si>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</si>
  <si>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</si>
  <si>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</si>
  <si>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</si>
  <si>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</si>
  <si>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</si>
  <si>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</si>
  <si>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</si>
  <si>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</si>
  <si>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</si>
  <si>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</si>
  <si>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</si>
  <si>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</si>
  <si>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</si>
  <si>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</si>
  <si>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</si>
  <si>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</si>
  <si>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</si>
  <si>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</si>
  <si>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</si>
  <si>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</si>
  <si>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</si>
  <si>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</si>
  <si>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</si>
  <si>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</si>
  <si>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</si>
  <si>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</si>
  <si>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</si>
  <si>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</si>
  <si>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</si>
  <si>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</si>
  <si>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</si>
  <si>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</si>
  <si>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</si>
  <si>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</si>
  <si>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</si>
  <si>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</si>
  <si>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</si>
  <si>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</si>
  <si>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</si>
  <si>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</si>
  <si>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</si>
  <si>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</si>
  <si>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</si>
  <si>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</si>
  <si>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</si>
  <si>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</si>
  <si>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</si>
  <si>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</si>
  <si>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</si>
  <si>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</si>
  <si>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</si>
  <si>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১৫-০২-২০২৬ তারিখে মূল্য হ্রাস পেয়েছে।</t>
  </si>
  <si>
    <t>১৫-০২-২০২৬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</si>
  <si>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</si>
  <si>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</si>
  <si>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১৭-০২-২০২৬ তারিখে মূল্য হ্রাস পেয়েছে।</t>
  </si>
  <si>
    <t>লেবু</t>
  </si>
  <si>
    <t>কাঁচামরিচ</t>
  </si>
  <si>
    <t>বেগুন</t>
  </si>
  <si>
    <t>শসা</t>
  </si>
  <si>
    <t>১৮-০২-২০২৬ তারিখে মূল্য বৃদ্ধি পেয়েছে।</t>
  </si>
  <si>
    <t>১৮-০২-২০২৬ তারিখে মূল্য হ্রাস পেয়েছে।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</si>
  <si>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</si>
  <si>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</si>
  <si>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স্মারক নং-২৬.০৫.০০০০.০১৭.৩১.০১.২৬-১৪৯</t>
  </si>
  <si>
    <t xml:space="preserve">বৃহস্পতিবার ১৯ ফেব্রুয়ারী ২০২৬ খ্রিঃ, ০৬  ফাল্গুন ১৪৩২ বাংলা, ০১ রমজান ১৪৪৭ হিজরি </t>
  </si>
  <si>
    <t xml:space="preserve">   সিরিয়াল নংঃ     ০৪৭</t>
  </si>
  <si>
    <t xml:space="preserve">যে সকল বাজার হতে তথ্য সংগ্রহ করা হয়েছেঃ- কাওরান বাজার, রামপুরা বাজার, মোহাম্মদপুর টাউন হল, নিউমার্কেট, মিরপুর-৬, মহাখালী  বাজার।   </t>
  </si>
  <si>
    <t>১৯-০২-২০২৬ তারিখে মূল্য বৃদ্ধি পেয়েছে।</t>
  </si>
  <si>
    <t>(২)   সুপার পাম অয়েল, মসুর ডাল (বড়), পেঁয়াজ (দেশী), রশুন (দেশী, আম), আদা (আম), কাঁচামরিচ, বেগুন, মুরগী ব্রয়লার    এর মূল্য বৃদ্ধি পেয়েছে।</t>
  </si>
  <si>
    <t>(১)   আটা (খোলা), ময়দা (খোলা), আদা (দেশী), শসা, চিনি    এর মূল্য হ্রাস পেয়েছে।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</si>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</sst>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9"/>
  <sheetViews>
    <sheetView tabSelected="1" topLeftCell="A73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128</v>
      </c>
      <c r="L6" s="87"/>
    </row>
    <row r="7" spans="1:12" ht="19.5" customHeight="1">
      <c r="A7" s="17"/>
      <c r="B7" s="8"/>
      <c r="C7" s="8"/>
      <c r="D7" s="17"/>
      <c r="E7" s="8"/>
      <c r="F7" s="8" t="s">
        <v>127</v>
      </c>
      <c r="G7" s="8"/>
      <c r="H7" s="8"/>
      <c r="I7" s="8"/>
      <c r="J7" s="8"/>
      <c r="K7" s="8"/>
      <c r="L7" s="49"/>
    </row>
    <row r="8" spans="1:12" ht="21.75">
      <c r="A8" s="20" t="s">
        <v>126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46072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46072</v>
      </c>
      <c r="D10" s="87"/>
      <c r="E10" s="88">
        <v>46063</v>
      </c>
      <c r="F10" s="87"/>
      <c r="G10" s="88">
        <v>46041</v>
      </c>
      <c r="H10" s="87"/>
      <c r="I10" s="26" t="s">
        <v>12</v>
      </c>
      <c r="J10" s="88">
        <v>45707</v>
      </c>
      <c r="K10" s="87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50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-4.2553191489361701</v>
      </c>
      <c r="J16" s="29">
        <v>40</v>
      </c>
      <c r="K16" s="29">
        <v>45</v>
      </c>
      <c r="L16" s="31">
        <f>((C16+D16)/2-(J16+K16)/2)/((J16+K16)/2)*100</f>
        <v>5.8823529411764701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65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-3.4188034188034191</v>
      </c>
      <c r="J18" s="29">
        <v>55</v>
      </c>
      <c r="K18" s="29">
        <v>60</v>
      </c>
      <c r="L18" s="31">
        <f>((C18+D18)/2-(J18+K18)/2)/((J18+K18)/2)*100</f>
        <v>-1.7391304347826086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390</v>
      </c>
      <c r="H23" s="29">
        <v>395</v>
      </c>
      <c r="I23" s="30">
        <f t="shared" si="0"/>
        <v>-0.63694267515923575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2.258064516129032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160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35</v>
      </c>
      <c r="I35" s="30">
        <f t="shared" si="2"/>
        <v>-18.181818181818183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50</v>
      </c>
      <c r="D37" s="29">
        <v>65</v>
      </c>
      <c r="E37" s="29">
        <v>50</v>
      </c>
      <c r="F37" s="29">
        <v>60</v>
      </c>
      <c r="G37" s="29">
        <v>40</v>
      </c>
      <c r="H37" s="29">
        <v>70</v>
      </c>
      <c r="I37" s="30">
        <f t="shared" ref="I37:I52" si="4">((C37+D37)/2-(G37+H37)/2)/((G37+H37)/2)*100</f>
        <v>4.5454545454545459</v>
      </c>
      <c r="J37" s="29">
        <v>40</v>
      </c>
      <c r="K37" s="29">
        <v>50</v>
      </c>
      <c r="L37" s="31">
        <f t="shared" ref="L37:L52" si="5">((C37+D37)/2-(J37+K37)/2)/((J37+K37)/2)*100</f>
        <v>27.777777777777779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70</v>
      </c>
      <c r="G38" s="29">
        <v>60</v>
      </c>
      <c r="H38" s="29">
        <v>80</v>
      </c>
      <c r="I38" s="30">
        <f t="shared" si="4"/>
        <v>-100</v>
      </c>
      <c r="J38" s="29">
        <v>65</v>
      </c>
      <c r="K38" s="29">
        <v>68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100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9.0909090909090917</v>
      </c>
      <c r="J39" s="29">
        <v>130</v>
      </c>
      <c r="K39" s="29">
        <v>240</v>
      </c>
      <c r="L39" s="31">
        <f t="shared" si="5"/>
        <v>-35.135135135135137</v>
      </c>
    </row>
    <row r="40" spans="1:12" ht="21.75">
      <c r="A40" s="69" t="s">
        <v>45</v>
      </c>
      <c r="B40" s="6" t="s">
        <v>18</v>
      </c>
      <c r="C40" s="29">
        <v>190</v>
      </c>
      <c r="D40" s="29">
        <v>220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13.888888888888889</v>
      </c>
      <c r="J40" s="29">
        <v>210</v>
      </c>
      <c r="K40" s="29">
        <v>240</v>
      </c>
      <c r="L40" s="31">
        <f t="shared" si="5"/>
        <v>-8.8888888888888893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280</v>
      </c>
      <c r="H44" s="29">
        <v>420</v>
      </c>
      <c r="I44" s="30">
        <f t="shared" si="4"/>
        <v>-2.8571428571428572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160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150</v>
      </c>
      <c r="L45" s="31">
        <f t="shared" si="5"/>
        <v>20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200</v>
      </c>
      <c r="E58" s="29">
        <v>170</v>
      </c>
      <c r="F58" s="29">
        <v>190</v>
      </c>
      <c r="G58" s="29">
        <v>165</v>
      </c>
      <c r="H58" s="29">
        <v>180</v>
      </c>
      <c r="I58" s="30">
        <f t="shared" si="6"/>
        <v>10.144927536231885</v>
      </c>
      <c r="J58" s="29">
        <v>190</v>
      </c>
      <c r="K58" s="29">
        <v>220</v>
      </c>
      <c r="L58" s="31">
        <f t="shared" si="7"/>
        <v>-7.3170731707317067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46072</v>
      </c>
      <c r="D69" s="87"/>
      <c r="E69" s="88">
        <v>46063</v>
      </c>
      <c r="F69" s="87"/>
      <c r="G69" s="88">
        <v>46041</v>
      </c>
      <c r="H69" s="87"/>
      <c r="I69" s="26" t="s">
        <v>12</v>
      </c>
      <c r="J69" s="88">
        <v>45707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100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200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2.7397260273972601</v>
      </c>
      <c r="J72" s="29">
        <v>280</v>
      </c>
      <c r="K72" s="29">
        <v>550</v>
      </c>
      <c r="L72" s="31">
        <f t="shared" si="8"/>
        <v>-9.6385542168674707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118</v>
      </c>
      <c r="B74" s="66" t="s">
        <v>73</v>
      </c>
      <c r="C74" s="29">
        <v>60</v>
      </c>
      <c r="D74" s="29">
        <v>120</v>
      </c>
      <c r="E74" s="29">
        <v>0</v>
      </c>
      <c r="F74" s="29">
        <v>0</v>
      </c>
      <c r="G74" s="37">
        <v>34</v>
      </c>
      <c r="H74" s="37">
        <v>45</v>
      </c>
      <c r="I74" s="30">
        <f t="shared" si="9"/>
        <v>127.84810126582278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119</v>
      </c>
      <c r="B75" s="66" t="s">
        <v>18</v>
      </c>
      <c r="C75" s="29">
        <v>80</v>
      </c>
      <c r="D75" s="29">
        <v>160</v>
      </c>
      <c r="E75" s="29">
        <v>80</v>
      </c>
      <c r="F75" s="29">
        <v>120</v>
      </c>
      <c r="G75" s="37">
        <v>100</v>
      </c>
      <c r="H75" s="37">
        <v>120</v>
      </c>
      <c r="I75" s="30">
        <f t="shared" si="9"/>
        <v>9.0909090909090917</v>
      </c>
      <c r="J75" s="29">
        <v>40</v>
      </c>
      <c r="K75" s="29">
        <v>80</v>
      </c>
      <c r="L75" s="31">
        <f t="shared" si="8"/>
        <v>100</v>
      </c>
    </row>
    <row r="76" spans="1:12" ht="21.75">
      <c r="A76" s="69" t="s">
        <v>120</v>
      </c>
      <c r="B76" s="66" t="s">
        <v>18</v>
      </c>
      <c r="C76" s="29">
        <v>60</v>
      </c>
      <c r="D76" s="29">
        <v>100</v>
      </c>
      <c r="E76" s="29">
        <v>50</v>
      </c>
      <c r="F76" s="29">
        <v>80</v>
      </c>
      <c r="G76" s="29">
        <v>30</v>
      </c>
      <c r="H76" s="29">
        <v>120</v>
      </c>
      <c r="I76" s="30">
        <f t="shared" si="9"/>
        <v>6.666666666666667</v>
      </c>
      <c r="J76" s="29">
        <v>30</v>
      </c>
      <c r="K76" s="29">
        <v>60</v>
      </c>
      <c r="L76" s="31">
        <f t="shared" si="8"/>
        <v>77.777777777777786</v>
      </c>
    </row>
    <row r="77" spans="1:12" ht="21.75">
      <c r="A77" s="69" t="s">
        <v>121</v>
      </c>
      <c r="B77" s="66" t="s">
        <v>18</v>
      </c>
      <c r="C77" s="29">
        <v>60</v>
      </c>
      <c r="D77" s="29">
        <v>80</v>
      </c>
      <c r="E77" s="29">
        <v>60</v>
      </c>
      <c r="F77" s="29">
        <v>120</v>
      </c>
      <c r="G77" s="29">
        <v>50</v>
      </c>
      <c r="H77" s="37">
        <v>130</v>
      </c>
      <c r="I77" s="30">
        <f t="shared" si="9"/>
        <v>-22.222222222222221</v>
      </c>
      <c r="J77" s="29">
        <v>20</v>
      </c>
      <c r="K77" s="29">
        <v>60</v>
      </c>
      <c r="L77" s="31">
        <f t="shared" si="8"/>
        <v>75</v>
      </c>
    </row>
    <row r="78" spans="1:12" ht="18.75" customHeight="1">
      <c r="A78" s="69" t="s">
        <v>72</v>
      </c>
      <c r="B78" s="6" t="s">
        <v>73</v>
      </c>
      <c r="C78" s="37">
        <v>34</v>
      </c>
      <c r="D78" s="37">
        <v>40</v>
      </c>
      <c r="E78" s="37">
        <v>34</v>
      </c>
      <c r="F78" s="37">
        <v>40</v>
      </c>
      <c r="G78" s="37">
        <v>36</v>
      </c>
      <c r="H78" s="37">
        <v>45</v>
      </c>
      <c r="I78" s="30">
        <f t="shared" si="9"/>
        <v>-8.6419753086419746</v>
      </c>
      <c r="J78" s="37">
        <v>40</v>
      </c>
      <c r="K78" s="37">
        <v>45</v>
      </c>
      <c r="L78" s="31">
        <f t="shared" si="8"/>
        <v>-12.941176470588237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30</v>
      </c>
      <c r="H79" s="37">
        <v>40</v>
      </c>
      <c r="I79" s="30">
        <f t="shared" si="9"/>
        <v>5.7142857142857144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9" t="s">
        <v>129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132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131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1" t="s">
        <v>6</v>
      </c>
      <c r="D88" s="92"/>
      <c r="E88" s="93" t="s">
        <v>82</v>
      </c>
      <c r="F88" s="94"/>
      <c r="G88" s="77" t="s">
        <v>12</v>
      </c>
      <c r="H88" s="91" t="s">
        <v>83</v>
      </c>
      <c r="I88" s="95"/>
      <c r="J88" s="92"/>
      <c r="K88" s="50"/>
      <c r="L88" s="17"/>
    </row>
    <row r="89" spans="1:12" ht="21.75">
      <c r="A89" s="69" t="s">
        <v>21</v>
      </c>
      <c r="B89" s="6" t="s">
        <v>18</v>
      </c>
      <c r="C89" s="29">
        <v>40</v>
      </c>
      <c r="D89" s="29">
        <v>50</v>
      </c>
      <c r="E89" s="29">
        <v>44</v>
      </c>
      <c r="F89" s="29">
        <v>50</v>
      </c>
      <c r="G89" s="7">
        <f t="shared" ref="G89:G91" si="10">((C89+D89)/2-(E89+F89)/2)/((E89+F89)/2)*100</f>
        <v>-4.2553191489361701</v>
      </c>
      <c r="H89" s="5" t="s">
        <v>113</v>
      </c>
      <c r="I89" s="6"/>
      <c r="J89" s="6"/>
      <c r="K89" s="50"/>
      <c r="L89" s="17"/>
    </row>
    <row r="90" spans="1:12" ht="21.75">
      <c r="A90" s="69" t="s">
        <v>24</v>
      </c>
      <c r="B90" s="6" t="s">
        <v>18</v>
      </c>
      <c r="C90" s="29">
        <v>48</v>
      </c>
      <c r="D90" s="29">
        <v>65</v>
      </c>
      <c r="E90" s="29">
        <v>52</v>
      </c>
      <c r="F90" s="29">
        <v>65</v>
      </c>
      <c r="G90" s="7">
        <f t="shared" si="10"/>
        <v>-3.4188034188034191</v>
      </c>
      <c r="H90" s="5" t="s">
        <v>113</v>
      </c>
      <c r="I90" s="6"/>
      <c r="J90" s="6"/>
      <c r="K90" s="50"/>
      <c r="L90" s="17"/>
    </row>
    <row r="91" spans="1:12" ht="21.75">
      <c r="A91" s="69" t="s">
        <v>100</v>
      </c>
      <c r="B91" s="6" t="s">
        <v>28</v>
      </c>
      <c r="C91" s="29">
        <v>162</v>
      </c>
      <c r="D91" s="29">
        <v>165</v>
      </c>
      <c r="E91" s="29">
        <v>160</v>
      </c>
      <c r="F91" s="29">
        <v>165</v>
      </c>
      <c r="G91" s="7">
        <f t="shared" si="10"/>
        <v>0.61538461538461542</v>
      </c>
      <c r="H91" s="5" t="s">
        <v>114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85</v>
      </c>
      <c r="D92" s="29">
        <v>105</v>
      </c>
      <c r="E92" s="29">
        <v>80</v>
      </c>
      <c r="F92" s="29">
        <v>105</v>
      </c>
      <c r="G92" s="7">
        <f>((C92+D92)/2-(E92+F92)/2)/((E92+F92)/2)*100</f>
        <v>2.7027027027027026</v>
      </c>
      <c r="H92" s="5" t="s">
        <v>114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50</v>
      </c>
      <c r="D93" s="29">
        <v>65</v>
      </c>
      <c r="E93" s="29">
        <v>50</v>
      </c>
      <c r="F93" s="29">
        <v>60</v>
      </c>
      <c r="G93" s="7">
        <f t="shared" ref="G93" si="11">((C93+D93)/2-(E93+F93)/2)/((E93+F93)/2)*100</f>
        <v>4.5454545454545459</v>
      </c>
      <c r="H93" s="5" t="s">
        <v>122</v>
      </c>
      <c r="I93" s="6"/>
      <c r="J93" s="6"/>
      <c r="K93" s="50"/>
      <c r="L93" s="17"/>
    </row>
    <row r="94" spans="1:12" ht="21.75">
      <c r="A94" s="69" t="s">
        <v>44</v>
      </c>
      <c r="B94" s="6" t="s">
        <v>18</v>
      </c>
      <c r="C94" s="29">
        <v>100</v>
      </c>
      <c r="D94" s="29">
        <v>140</v>
      </c>
      <c r="E94" s="29">
        <v>80</v>
      </c>
      <c r="F94" s="29">
        <v>140</v>
      </c>
      <c r="G94" s="7">
        <f t="shared" ref="G94" si="12">((C94+D94)/2-(E94+F94)/2)/((E94+F94)/2)*100</f>
        <v>9.0909090909090917</v>
      </c>
      <c r="H94" s="5" t="s">
        <v>122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190</v>
      </c>
      <c r="D95" s="29">
        <v>220</v>
      </c>
      <c r="E95" s="29">
        <v>180</v>
      </c>
      <c r="F95" s="29">
        <v>200</v>
      </c>
      <c r="G95" s="7">
        <f>((C95+D95)/2-(E95+F95)/2)/((E95+F95)/2)*100</f>
        <v>7.8947368421052628</v>
      </c>
      <c r="H95" s="5" t="s">
        <v>130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140</v>
      </c>
      <c r="D96" s="29">
        <v>160</v>
      </c>
      <c r="E96" s="29">
        <v>140</v>
      </c>
      <c r="F96" s="29">
        <v>200</v>
      </c>
      <c r="G96" s="7">
        <f t="shared" ref="G96:G103" si="13">((C96+D96)/2-(E96+F96)/2)/((E96+F96)/2)*100</f>
        <v>-11.76470588235294</v>
      </c>
      <c r="H96" s="5" t="s">
        <v>123</v>
      </c>
      <c r="I96" s="6"/>
      <c r="J96" s="6"/>
      <c r="K96" s="40"/>
      <c r="L96" s="11"/>
    </row>
    <row r="97" spans="1:12" ht="24.75">
      <c r="A97" s="69" t="s">
        <v>51</v>
      </c>
      <c r="B97" s="6" t="s">
        <v>18</v>
      </c>
      <c r="C97" s="29">
        <v>150</v>
      </c>
      <c r="D97" s="29">
        <v>220</v>
      </c>
      <c r="E97" s="29">
        <v>140</v>
      </c>
      <c r="F97" s="29">
        <v>220</v>
      </c>
      <c r="G97" s="7">
        <f t="shared" si="13"/>
        <v>2.7777777777777777</v>
      </c>
      <c r="H97" s="5" t="s">
        <v>114</v>
      </c>
      <c r="I97" s="6"/>
      <c r="J97" s="6"/>
      <c r="K97" s="40"/>
      <c r="L97" s="11"/>
    </row>
    <row r="98" spans="1:12" ht="24.75">
      <c r="A98" s="69" t="s">
        <v>119</v>
      </c>
      <c r="B98" s="66" t="s">
        <v>18</v>
      </c>
      <c r="C98" s="29">
        <v>80</v>
      </c>
      <c r="D98" s="29">
        <v>160</v>
      </c>
      <c r="E98" s="29">
        <v>80</v>
      </c>
      <c r="F98" s="29">
        <v>120</v>
      </c>
      <c r="G98" s="7">
        <f t="shared" si="13"/>
        <v>20</v>
      </c>
      <c r="H98" s="5" t="s">
        <v>130</v>
      </c>
      <c r="I98" s="6"/>
      <c r="J98" s="6"/>
      <c r="K98" s="40"/>
      <c r="L98" s="11"/>
    </row>
    <row r="99" spans="1:12" ht="24.75">
      <c r="A99" s="69" t="s">
        <v>120</v>
      </c>
      <c r="B99" s="66" t="s">
        <v>18</v>
      </c>
      <c r="C99" s="29">
        <v>60</v>
      </c>
      <c r="D99" s="29">
        <v>100</v>
      </c>
      <c r="E99" s="29">
        <v>50</v>
      </c>
      <c r="F99" s="29">
        <v>80</v>
      </c>
      <c r="G99" s="7">
        <f t="shared" si="13"/>
        <v>23.076923076923077</v>
      </c>
      <c r="H99" s="5" t="s">
        <v>122</v>
      </c>
      <c r="I99" s="6"/>
      <c r="J99" s="6"/>
      <c r="K99" s="40"/>
      <c r="L99" s="11"/>
    </row>
    <row r="100" spans="1:12" ht="24.75">
      <c r="A100" s="69" t="s">
        <v>121</v>
      </c>
      <c r="B100" s="66" t="s">
        <v>18</v>
      </c>
      <c r="C100" s="29">
        <v>60</v>
      </c>
      <c r="D100" s="29">
        <v>80</v>
      </c>
      <c r="E100" s="29">
        <v>60</v>
      </c>
      <c r="F100" s="29">
        <v>120</v>
      </c>
      <c r="G100" s="7">
        <f t="shared" si="13"/>
        <v>-22.222222222222221</v>
      </c>
      <c r="H100" s="5" t="s">
        <v>123</v>
      </c>
      <c r="I100" s="6"/>
      <c r="J100" s="6"/>
      <c r="K100" s="40"/>
      <c r="L100" s="11"/>
    </row>
    <row r="101" spans="1:12" ht="24.75">
      <c r="A101" s="69" t="s">
        <v>61</v>
      </c>
      <c r="B101" s="6" t="s">
        <v>18</v>
      </c>
      <c r="C101" s="29">
        <v>180</v>
      </c>
      <c r="D101" s="29">
        <v>200</v>
      </c>
      <c r="E101" s="29">
        <v>170</v>
      </c>
      <c r="F101" s="29">
        <v>190</v>
      </c>
      <c r="G101" s="7">
        <f t="shared" si="13"/>
        <v>5.5555555555555554</v>
      </c>
      <c r="H101" s="5" t="s">
        <v>114</v>
      </c>
      <c r="I101" s="6"/>
      <c r="J101" s="6"/>
      <c r="K101" s="40"/>
      <c r="L101" s="11"/>
    </row>
    <row r="102" spans="1:12" ht="24.75">
      <c r="A102" s="69" t="s">
        <v>70</v>
      </c>
      <c r="B102" s="6" t="s">
        <v>18</v>
      </c>
      <c r="C102" s="29">
        <v>98</v>
      </c>
      <c r="D102" s="29">
        <v>105</v>
      </c>
      <c r="E102" s="29">
        <v>100</v>
      </c>
      <c r="F102" s="29">
        <v>105</v>
      </c>
      <c r="G102" s="7">
        <f t="shared" si="13"/>
        <v>-0.97560975609756095</v>
      </c>
      <c r="H102" s="5" t="s">
        <v>117</v>
      </c>
      <c r="I102" s="6"/>
      <c r="J102" s="6"/>
      <c r="K102" s="40"/>
      <c r="L102" s="11"/>
    </row>
    <row r="103" spans="1:12" ht="24.75">
      <c r="A103" s="69" t="s">
        <v>71</v>
      </c>
      <c r="B103" s="66" t="s">
        <v>18</v>
      </c>
      <c r="C103" s="29">
        <v>200</v>
      </c>
      <c r="D103" s="29">
        <v>550</v>
      </c>
      <c r="E103" s="29">
        <v>180</v>
      </c>
      <c r="F103" s="29">
        <v>550</v>
      </c>
      <c r="G103" s="7">
        <f t="shared" si="13"/>
        <v>2.7397260273972601</v>
      </c>
      <c r="H103" s="5" t="s">
        <v>114</v>
      </c>
      <c r="I103" s="6"/>
      <c r="J103" s="6"/>
      <c r="K103" s="40"/>
      <c r="L103" s="11"/>
    </row>
    <row r="104" spans="1:12" ht="24.75">
      <c r="A104" s="72"/>
      <c r="B104" s="3"/>
      <c r="C104" s="78"/>
      <c r="D104" s="78"/>
      <c r="E104" s="78"/>
      <c r="F104" s="78"/>
      <c r="G104" s="38"/>
      <c r="H104" s="39"/>
      <c r="I104" s="40"/>
      <c r="J104" s="40"/>
      <c r="K104" s="40"/>
      <c r="L104" s="11"/>
    </row>
    <row r="105" spans="1:12" ht="24.75">
      <c r="A105" s="1"/>
      <c r="C105" s="14"/>
      <c r="D105" s="14"/>
      <c r="E105" s="13"/>
      <c r="F105" s="14"/>
      <c r="G105" s="38"/>
      <c r="H105" s="39"/>
      <c r="I105" s="40"/>
      <c r="J105" s="40"/>
      <c r="K105" s="40"/>
      <c r="L105" s="11"/>
    </row>
    <row r="106" spans="1:12" ht="24.75">
      <c r="A106" s="41"/>
      <c r="B106" s="42" t="s">
        <v>111</v>
      </c>
      <c r="C106" s="10"/>
      <c r="E106" s="83"/>
      <c r="F106" s="84"/>
      <c r="G106" s="85"/>
      <c r="I106" s="12"/>
      <c r="J106" s="13" t="s">
        <v>115</v>
      </c>
      <c r="K106" s="10"/>
    </row>
    <row r="107" spans="1:12" ht="24.75">
      <c r="A107" s="43"/>
      <c r="B107" s="42" t="s">
        <v>112</v>
      </c>
      <c r="C107" s="13"/>
      <c r="E107" s="43"/>
      <c r="F107" s="84"/>
      <c r="G107" s="85"/>
      <c r="I107" s="76"/>
      <c r="J107" s="13" t="s">
        <v>116</v>
      </c>
    </row>
    <row r="108" spans="1:12" ht="24.75">
      <c r="A108" s="1"/>
      <c r="B108" s="13"/>
      <c r="C108" s="14"/>
      <c r="D108" s="13"/>
      <c r="E108" s="14"/>
      <c r="F108" s="44"/>
      <c r="G108" s="46"/>
      <c r="H108" s="46"/>
      <c r="I108" s="45"/>
      <c r="J108" s="10"/>
      <c r="K108" s="10"/>
      <c r="L108" s="2"/>
    </row>
    <row r="109" spans="1:12" ht="19.5">
      <c r="A109" s="55" t="s">
        <v>90</v>
      </c>
      <c r="B109" s="53"/>
      <c r="C109" s="51"/>
      <c r="D109" s="53"/>
      <c r="E109" s="51"/>
      <c r="F109" s="51"/>
      <c r="G109" s="51"/>
      <c r="H109" s="52"/>
      <c r="I109" s="57"/>
      <c r="J109" s="2"/>
      <c r="K109" s="2"/>
      <c r="L109" s="2"/>
    </row>
    <row r="110" spans="1:12" ht="19.5">
      <c r="A110" s="54" t="s">
        <v>94</v>
      </c>
      <c r="B110" s="53"/>
      <c r="C110" s="51"/>
      <c r="D110" s="53"/>
      <c r="E110" s="51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125</v>
      </c>
      <c r="B111" s="53"/>
      <c r="C111" s="53"/>
      <c r="D111" s="53"/>
      <c r="E111" s="53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84</v>
      </c>
      <c r="B112" s="53"/>
      <c r="C112" s="53"/>
      <c r="D112" s="53"/>
      <c r="E112" s="53"/>
      <c r="F112" s="52"/>
      <c r="G112" s="52"/>
      <c r="H112" s="52"/>
      <c r="I112" s="57"/>
      <c r="J112" s="2"/>
      <c r="K112" s="2"/>
      <c r="L112" s="2"/>
    </row>
    <row r="113" spans="1:12" ht="19.5">
      <c r="A113" s="54" t="s">
        <v>133</v>
      </c>
      <c r="B113" s="53"/>
      <c r="C113" s="53"/>
      <c r="D113" s="53"/>
      <c r="E113" s="53"/>
      <c r="F113" s="53"/>
      <c r="G113" s="52"/>
      <c r="H113" s="52"/>
      <c r="I113" s="57"/>
      <c r="J113" s="2"/>
      <c r="K113" s="2"/>
      <c r="L113" s="2"/>
    </row>
    <row r="114" spans="1:12" ht="19.5">
      <c r="A114" s="54" t="s">
        <v>93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101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85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124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96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97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134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/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5" t="s">
        <v>86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87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106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105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