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FCF81162-27C6-4929-984F-225477CBFA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6" i="4" l="1"/>
  <c r="G87" i="4"/>
  <c r="G89" i="4"/>
  <c r="G88" i="4"/>
  <c r="G84" i="4" l="1"/>
  <c r="G85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<sst xmlns="http://schemas.openxmlformats.org/spreadsheetml/2006/main" count="228" uniqueCount="128">
  <si>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</si>
  <si>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</si>
  <si>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</si>
  <si>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</si>
  <si>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</si>
  <si>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</si>
  <si>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</si>
  <si>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</si>
  <si>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</si>
  <si>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</si>
  <si>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</si>
  <si>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</si>
  <si>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</si>
  <si>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</si>
  <si>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</si>
  <si>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</si>
  <si>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</si>
  <si>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</si>
  <si>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</si>
  <si>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</si>
  <si>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</si>
  <si>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</si>
  <si>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</si>
  <si>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</si>
  <si>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</si>
  <si>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</si>
  <si>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</si>
  <si>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</si>
  <si>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</si>
  <si>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</si>
  <si>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</si>
  <si>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</si>
  <si>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</si>
  <si>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</si>
  <si>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</si>
  <si>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</si>
  <si>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</si>
  <si>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</si>
  <si>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</si>
  <si>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</si>
  <si>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</si>
  <si>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</si>
  <si>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</si>
  <si>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</si>
  <si>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</si>
  <si>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</si>
  <si>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</si>
  <si>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</si>
  <si>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</si>
  <si>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</si>
  <si>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</si>
  <si>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</si>
  <si>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</si>
  <si>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</si>
  <si>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</si>
  <si>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</si>
  <si>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</si>
  <si>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</si>
  <si>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</si>
  <si>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</si>
  <si>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</si>
  <si>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</si>
  <si>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</si>
  <si>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</si>
  <si>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</si>
  <si>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</si>
  <si>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</si>
  <si>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</si>
  <si>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</si>
  <si>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</si>
  <si>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</si>
  <si>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</si>
  <si>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</si>
  <si>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</si>
  <si>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</si>
  <si>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</si>
  <si>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</si>
  <si>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</si>
  <si>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</si>
  <si>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</si>
  <si>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</si>
  <si>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</si>
  <si>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</si>
  <si>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</si>
  <si>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</si>
  <si>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</si>
  <si>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</si>
  <si>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</si>
  <si>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</si>
  <si>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</si>
  <si>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</si>
  <si>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</si>
  <si>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</si>
  <si>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</si>
  <si>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</si>
  <si>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</si>
  <si>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</si>
  <si>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</si>
  <si>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</si>
  <si>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</si>
  <si>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</si>
  <si>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</si>
  <si>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</si>
  <si>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</si>
  <si>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</si>
  <si>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</si>
  <si>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</si>
  <si>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</si>
  <si>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</si>
  <si>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</si>
  <si>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</si>
  <si>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</si>
  <si>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</si>
  <si>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</si>
  <si>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</si>
  <si>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</si>
  <si>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২৫-০১-২০২৬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</si>
  <si>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রামপুরা, নিউমার্কেট বাজার।   </t>
  </si>
  <si>
    <t>২৬-০১-২০২৬ তারিখে মূল্য হ্রাস পেয়েছে।</t>
  </si>
  <si>
    <t>২৭-০১-২০২৬ তারিখে মূল্য হ্রাস পেয়েছে।</t>
  </si>
  <si>
    <t>২৮-০১-২০২৬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</si>
  <si>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</si>
  <si>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</si>
  <si>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নং-২৬.০৫.০০০০.০১৭.৩১.০১.২৬-১০০</t>
  </si>
  <si>
    <t xml:space="preserve">বৃহস্পতিবার ২৯ জানুয়ারী ২০২৬ খ্রিঃ, ১৫ মাঘ ১৪৩২ বাংলা, ০৯ শাবান ১৪৪৭ হিজরি </t>
  </si>
  <si>
    <t xml:space="preserve">   সিরিয়াল নংঃ     ০২৯</t>
  </si>
  <si>
    <t>(২)  অন্যান্য পণ্যের মূল্য অপরিবর্তীত রয়েছে।</t>
  </si>
  <si>
    <t>(১)   সয়াবিন তেল (২লি: বোতল), আলু, রশুন (আম), আদা (আম), ডিম,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</si>
</sst>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5"/>
  <sheetViews>
    <sheetView tabSelected="1" topLeftCell="A77" zoomScaleNormal="100" workbookViewId="0">
      <selection activeCell="B80" sqref="B8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125</v>
      </c>
      <c r="L6" s="88"/>
    </row>
    <row r="7" spans="1:12" ht="19.5" customHeight="1">
      <c r="A7" s="17"/>
      <c r="B7" s="8"/>
      <c r="C7" s="8"/>
      <c r="D7" s="17"/>
      <c r="E7" s="8"/>
      <c r="F7" s="8" t="s">
        <v>124</v>
      </c>
      <c r="G7" s="8"/>
      <c r="H7" s="8"/>
      <c r="I7" s="8"/>
      <c r="J7" s="8"/>
      <c r="K7" s="8"/>
      <c r="L7" s="49"/>
    </row>
    <row r="8" spans="1:12" ht="21.75">
      <c r="A8" s="20" t="s">
        <v>123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46051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46051</v>
      </c>
      <c r="D10" s="88"/>
      <c r="E10" s="89">
        <v>46044</v>
      </c>
      <c r="F10" s="88"/>
      <c r="G10" s="89">
        <v>46020</v>
      </c>
      <c r="H10" s="88"/>
      <c r="I10" s="26" t="s">
        <v>12</v>
      </c>
      <c r="J10" s="89">
        <v>45686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56</v>
      </c>
      <c r="L14" s="31">
        <f>((C14+D14)/2-(J14+K14)/2)/((J14+K14)/2)*100</f>
        <v>0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171</v>
      </c>
      <c r="K21" s="29">
        <v>174</v>
      </c>
      <c r="L21" s="31">
        <f t="shared" ref="L21:L27" si="1">((C21+D21)/2-(J21+K21)/2)/((J21+K21)/2)*100</f>
        <v>4.3478260869565215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390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148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-1.2738853503184715</v>
      </c>
      <c r="J25" s="29">
        <v>152</v>
      </c>
      <c r="K25" s="29">
        <v>156</v>
      </c>
      <c r="L25" s="31">
        <f t="shared" si="1"/>
        <v>0.64935064935064934</v>
      </c>
    </row>
    <row r="26" spans="1:12" ht="21.75">
      <c r="A26" s="69" t="s">
        <v>104</v>
      </c>
      <c r="B26" s="6" t="s">
        <v>28</v>
      </c>
      <c r="C26" s="29">
        <v>155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0</v>
      </c>
      <c r="J26" s="29">
        <v>158</v>
      </c>
      <c r="K26" s="29">
        <v>162</v>
      </c>
      <c r="L26" s="31">
        <f t="shared" si="1"/>
        <v>0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75</v>
      </c>
      <c r="I33" s="30">
        <f t="shared" si="2"/>
        <v>-8</v>
      </c>
      <c r="J33" s="29">
        <v>65</v>
      </c>
      <c r="K33" s="29">
        <v>80</v>
      </c>
      <c r="L33" s="31">
        <f t="shared" si="3"/>
        <v>-20.689655172413794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.75">
      <c r="A35" s="69" t="s">
        <v>112</v>
      </c>
      <c r="B35" s="6" t="s">
        <v>18</v>
      </c>
      <c r="C35" s="29">
        <v>20</v>
      </c>
      <c r="D35" s="29">
        <v>30</v>
      </c>
      <c r="E35" s="29">
        <v>20</v>
      </c>
      <c r="F35" s="29">
        <v>35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113</v>
      </c>
      <c r="B37" s="6" t="s">
        <v>18</v>
      </c>
      <c r="C37" s="29">
        <v>50</v>
      </c>
      <c r="D37" s="29">
        <v>70</v>
      </c>
      <c r="E37" s="29">
        <v>50</v>
      </c>
      <c r="F37" s="29">
        <v>70</v>
      </c>
      <c r="G37" s="29">
        <v>60</v>
      </c>
      <c r="H37" s="29">
        <v>140</v>
      </c>
      <c r="I37" s="30">
        <f t="shared" ref="I37:I52" si="4">((C37+D37)/2-(G37+H37)/2)/((G37+H37)/2)*100</f>
        <v>-40</v>
      </c>
      <c r="J37" s="29">
        <v>40</v>
      </c>
      <c r="K37" s="29">
        <v>50</v>
      </c>
      <c r="L37" s="31">
        <f t="shared" ref="L37:L52" si="5">((C37+D37)/2-(J37+K37)/2)/((J37+K37)/2)*100</f>
        <v>33.333333333333329</v>
      </c>
    </row>
    <row r="38" spans="1:12" ht="21.75">
      <c r="A38" s="69" t="s">
        <v>43</v>
      </c>
      <c r="B38" s="6" t="s">
        <v>18</v>
      </c>
      <c r="C38" s="29">
        <v>70</v>
      </c>
      <c r="D38" s="29">
        <v>80</v>
      </c>
      <c r="E38" s="29">
        <v>70</v>
      </c>
      <c r="F38" s="29">
        <v>80</v>
      </c>
      <c r="G38" s="29">
        <v>0</v>
      </c>
      <c r="H38" s="29">
        <v>0</v>
      </c>
      <c r="I38" s="30" t="e">
        <f t="shared" si="4"/>
        <v>#DIV/0!</v>
      </c>
      <c r="J38" s="29">
        <v>50</v>
      </c>
      <c r="K38" s="29">
        <v>60</v>
      </c>
      <c r="L38" s="31">
        <f t="shared" si="5"/>
        <v>36.363636363636367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.75">
      <c r="A40" s="69" t="s">
        <v>45</v>
      </c>
      <c r="B40" s="6" t="s">
        <v>18</v>
      </c>
      <c r="C40" s="29">
        <v>150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-2.7777777777777777</v>
      </c>
      <c r="J40" s="29">
        <v>210</v>
      </c>
      <c r="K40" s="29">
        <v>240</v>
      </c>
      <c r="L40" s="31">
        <f t="shared" si="5"/>
        <v>-22.222222222222221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120</v>
      </c>
      <c r="K45" s="29">
        <v>180</v>
      </c>
      <c r="L45" s="31">
        <f t="shared" si="5"/>
        <v>13.333333333333334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1800</v>
      </c>
      <c r="L49" s="31">
        <f t="shared" si="5"/>
        <v>-7.8125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160</v>
      </c>
      <c r="K52" s="29">
        <v>220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250</v>
      </c>
      <c r="K54" s="29">
        <v>450</v>
      </c>
      <c r="L54" s="31">
        <f t="shared" ref="L54:L59" si="7">((C54+D54)/2-(J54+K54)/2)/((J54+K54)/2)*100</f>
        <v>7.1428571428571423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800</v>
      </c>
      <c r="H55" s="29">
        <v>1800</v>
      </c>
      <c r="I55" s="30">
        <f t="shared" si="6"/>
        <v>42.307692307692307</v>
      </c>
      <c r="J55" s="29">
        <v>650</v>
      </c>
      <c r="K55" s="29">
        <v>1600</v>
      </c>
      <c r="L55" s="31">
        <f t="shared" si="7"/>
        <v>64.444444444444443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180</v>
      </c>
      <c r="E58" s="29">
        <v>170</v>
      </c>
      <c r="F58" s="29">
        <v>180</v>
      </c>
      <c r="G58" s="29">
        <v>150</v>
      </c>
      <c r="H58" s="29">
        <v>170</v>
      </c>
      <c r="I58" s="30">
        <f t="shared" si="6"/>
        <v>9.375</v>
      </c>
      <c r="J58" s="29">
        <v>180</v>
      </c>
      <c r="K58" s="29">
        <v>210</v>
      </c>
      <c r="L58" s="31">
        <f t="shared" si="7"/>
        <v>-10.256410256410255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46051</v>
      </c>
      <c r="D69" s="88"/>
      <c r="E69" s="89">
        <v>46044</v>
      </c>
      <c r="F69" s="88"/>
      <c r="G69" s="89">
        <v>46020</v>
      </c>
      <c r="H69" s="88"/>
      <c r="I69" s="26" t="s">
        <v>12</v>
      </c>
      <c r="J69" s="89">
        <v>45686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110</v>
      </c>
      <c r="G71" s="29">
        <v>98</v>
      </c>
      <c r="H71" s="29">
        <v>100</v>
      </c>
      <c r="I71" s="30">
        <f>((C71+D71)/2-(G71+H71)/2)/((G71+H71)/2)*100</f>
        <v>2.5252525252525251</v>
      </c>
      <c r="J71" s="29">
        <v>118</v>
      </c>
      <c r="K71" s="29">
        <v>125</v>
      </c>
      <c r="L71" s="31">
        <f t="shared" ref="L71:L77" si="8">((C71+D71)/2-(J71+K71)/2)/((J71+K71)/2)*100</f>
        <v>-16.460905349794238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250</v>
      </c>
      <c r="K72" s="29">
        <v>500</v>
      </c>
      <c r="L72" s="31">
        <f t="shared" si="8"/>
        <v>-2.666666666666667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117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126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4" t="s">
        <v>79</v>
      </c>
      <c r="B82" s="45"/>
      <c r="C82" s="46"/>
      <c r="D82" s="46"/>
      <c r="E82" s="46"/>
      <c r="F82" s="46"/>
      <c r="G82" s="47"/>
      <c r="H82" s="47"/>
      <c r="I82" s="46"/>
      <c r="J82" s="46"/>
      <c r="K82" s="46"/>
      <c r="L82" s="8"/>
    </row>
    <row r="83" spans="1:12" ht="21.75">
      <c r="A83" s="5" t="s">
        <v>80</v>
      </c>
      <c r="B83" s="6" t="s">
        <v>81</v>
      </c>
      <c r="C83" s="92" t="s">
        <v>6</v>
      </c>
      <c r="D83" s="93"/>
      <c r="E83" s="94" t="s">
        <v>82</v>
      </c>
      <c r="F83" s="95"/>
      <c r="G83" s="77" t="s">
        <v>12</v>
      </c>
      <c r="H83" s="92" t="s">
        <v>83</v>
      </c>
      <c r="I83" s="96"/>
      <c r="J83" s="93"/>
      <c r="K83" s="50"/>
      <c r="L83" s="17"/>
    </row>
    <row r="84" spans="1:12" ht="21.75">
      <c r="A84" s="69" t="s">
        <v>29</v>
      </c>
      <c r="B84" s="6" t="s">
        <v>31</v>
      </c>
      <c r="C84" s="29">
        <v>385</v>
      </c>
      <c r="D84" s="29">
        <v>395</v>
      </c>
      <c r="E84" s="29">
        <v>390</v>
      </c>
      <c r="F84" s="29">
        <v>395</v>
      </c>
      <c r="G84" s="7">
        <f>((C84+D84)/2-(E84+F84)/2)/((E84+F84)/2)*100</f>
        <v>-0.63694267515923575</v>
      </c>
      <c r="H84" s="5" t="s">
        <v>118</v>
      </c>
      <c r="I84" s="6"/>
      <c r="J84" s="6"/>
      <c r="K84" s="50"/>
      <c r="L84" s="17"/>
    </row>
    <row r="85" spans="1:12" ht="21.75">
      <c r="A85" s="69" t="s">
        <v>112</v>
      </c>
      <c r="B85" s="6" t="s">
        <v>18</v>
      </c>
      <c r="C85" s="29">
        <v>20</v>
      </c>
      <c r="D85" s="29">
        <v>30</v>
      </c>
      <c r="E85" s="29">
        <v>20</v>
      </c>
      <c r="F85" s="29">
        <v>35</v>
      </c>
      <c r="G85" s="7">
        <f>((C85+D85)/2-(E85+F85)/2)/((E85+F85)/2)*100</f>
        <v>-9.0909090909090917</v>
      </c>
      <c r="H85" s="5" t="s">
        <v>119</v>
      </c>
      <c r="I85" s="6"/>
      <c r="J85" s="6"/>
      <c r="K85" s="50"/>
      <c r="L85" s="17"/>
    </row>
    <row r="86" spans="1:12" ht="21.75">
      <c r="A86" s="69" t="s">
        <v>45</v>
      </c>
      <c r="B86" s="6" t="s">
        <v>18</v>
      </c>
      <c r="C86" s="29">
        <v>150</v>
      </c>
      <c r="D86" s="29">
        <v>200</v>
      </c>
      <c r="E86" s="29">
        <v>160</v>
      </c>
      <c r="F86" s="29">
        <v>200</v>
      </c>
      <c r="G86" s="7">
        <f>((C86+D86)/2-(E86+F86)/2)/((E86+F86)/2)*100</f>
        <v>-2.7777777777777777</v>
      </c>
      <c r="H86" s="5" t="s">
        <v>120</v>
      </c>
      <c r="I86" s="6"/>
      <c r="J86" s="6"/>
      <c r="K86" s="50"/>
      <c r="L86" s="17"/>
    </row>
    <row r="87" spans="1:12" ht="21.75">
      <c r="A87" s="69" t="s">
        <v>51</v>
      </c>
      <c r="B87" s="6" t="s">
        <v>18</v>
      </c>
      <c r="C87" s="29">
        <v>140</v>
      </c>
      <c r="D87" s="29">
        <v>220</v>
      </c>
      <c r="E87" s="29">
        <v>150</v>
      </c>
      <c r="F87" s="29">
        <v>220</v>
      </c>
      <c r="G87" s="7">
        <f>((C87+D87)/2-(E87+F87)/2)/((E87+F87)/2)*100</f>
        <v>-2.7027027027027026</v>
      </c>
      <c r="H87" s="5" t="s">
        <v>119</v>
      </c>
      <c r="I87" s="6"/>
      <c r="J87" s="6"/>
      <c r="K87" s="50"/>
      <c r="L87" s="17"/>
    </row>
    <row r="88" spans="1:12" ht="24.75">
      <c r="A88" s="69" t="s">
        <v>70</v>
      </c>
      <c r="B88" s="6" t="s">
        <v>18</v>
      </c>
      <c r="C88" s="29">
        <v>98</v>
      </c>
      <c r="D88" s="29">
        <v>105</v>
      </c>
      <c r="E88" s="29">
        <v>98</v>
      </c>
      <c r="F88" s="29">
        <v>110</v>
      </c>
      <c r="G88" s="7">
        <f>((C88+D88)/2-(E88+F88)/2)/((E88+F88)/2)*100</f>
        <v>-2.4038461538461542</v>
      </c>
      <c r="H88" s="5" t="s">
        <v>116</v>
      </c>
      <c r="I88" s="6"/>
      <c r="J88" s="6"/>
      <c r="K88" s="40"/>
      <c r="L88" s="11"/>
    </row>
    <row r="89" spans="1:12" ht="24.75">
      <c r="A89" s="69" t="s">
        <v>72</v>
      </c>
      <c r="B89" s="6" t="s">
        <v>73</v>
      </c>
      <c r="C89" s="37">
        <v>34</v>
      </c>
      <c r="D89" s="37">
        <v>40</v>
      </c>
      <c r="E89" s="37">
        <v>34</v>
      </c>
      <c r="F89" s="37">
        <v>45</v>
      </c>
      <c r="G89" s="7">
        <f>((C89+D89)/2-(E89+F89)/2)/((E89+F89)/2)*100</f>
        <v>-6.3291139240506329</v>
      </c>
      <c r="H89" s="5" t="s">
        <v>119</v>
      </c>
      <c r="I89" s="6"/>
      <c r="J89" s="6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4.75">
      <c r="A91" s="1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41"/>
      <c r="B92" s="42" t="s">
        <v>114</v>
      </c>
      <c r="C92" s="10"/>
      <c r="E92" s="84"/>
      <c r="F92" s="85"/>
      <c r="G92" s="86"/>
      <c r="I92" s="12"/>
      <c r="J92" s="13" t="s">
        <v>121</v>
      </c>
      <c r="K92" s="10"/>
    </row>
    <row r="93" spans="1:12" ht="24.75">
      <c r="A93" s="43"/>
      <c r="B93" s="42" t="s">
        <v>115</v>
      </c>
      <c r="C93" s="13"/>
      <c r="E93" s="43"/>
      <c r="F93" s="85"/>
      <c r="G93" s="86"/>
      <c r="I93" s="76"/>
      <c r="J93" s="13" t="s">
        <v>122</v>
      </c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91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84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93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92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99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98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86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110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109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3:D83"/>
    <mergeCell ref="E83:F83"/>
    <mergeCell ref="H83:J83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2026-01-29T08:12:01Z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