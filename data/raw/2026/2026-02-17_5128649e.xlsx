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8B5E0252-67E1-4278-A1C5-E9790555BB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4" i="4" l="1"/>
  <c r="G88" i="4"/>
  <c r="G87" i="4"/>
  <c r="G86" i="4"/>
  <c r="G85" i="4"/>
  <c r="G90" i="4"/>
  <c r="G93" i="4"/>
  <c r="G92" i="4"/>
  <c r="G91" i="4"/>
  <c r="G89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<sst xmlns="http://schemas.openxmlformats.org/spreadsheetml/2006/main" count="241" uniqueCount="128">
  <si>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</si>
  <si>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</si>
  <si>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</si>
  <si>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</si>
  <si>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</si>
  <si>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</si>
  <si>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</si>
  <si>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</si>
  <si>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</si>
  <si>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</si>
  <si>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</si>
  <si>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</si>
  <si>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</si>
  <si>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</si>
  <si>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</si>
  <si>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</si>
  <si>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</si>
  <si>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</si>
  <si>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</si>
  <si>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</si>
  <si>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</si>
  <si>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</si>
  <si>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</si>
  <si>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</si>
  <si>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</si>
  <si>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</si>
  <si>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</si>
  <si>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</si>
  <si>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</si>
  <si>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</si>
  <si>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</si>
  <si>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</si>
  <si>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</si>
  <si>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</si>
  <si>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</si>
  <si>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</si>
  <si>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</si>
  <si>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</si>
  <si>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</si>
  <si>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</si>
  <si>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</si>
  <si>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</si>
  <si>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</si>
  <si>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</si>
  <si>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</si>
  <si>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</si>
  <si>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</si>
  <si>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</si>
  <si>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</si>
  <si>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</si>
  <si>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</si>
  <si>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</si>
  <si>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</si>
  <si>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</si>
  <si>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</si>
  <si>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</si>
  <si>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</si>
  <si>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</si>
  <si>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</si>
  <si>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</si>
  <si>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</si>
  <si>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</si>
  <si>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</si>
  <si>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</si>
  <si>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</si>
  <si>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</si>
  <si>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</si>
  <si>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</si>
  <si>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</si>
  <si>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</si>
  <si>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</si>
  <si>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</si>
  <si>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</si>
  <si>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</si>
  <si>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</si>
  <si>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</si>
  <si>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</si>
  <si>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</si>
  <si>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</si>
  <si>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</si>
  <si>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</si>
  <si>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</si>
  <si>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</si>
  <si>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</si>
  <si>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</si>
  <si>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</si>
  <si>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</si>
  <si>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</si>
  <si>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</si>
  <si>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</si>
  <si>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</si>
  <si>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</si>
  <si>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</si>
  <si>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</si>
  <si>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</si>
  <si>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</si>
  <si>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</si>
  <si>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</si>
  <si>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</si>
  <si>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</si>
  <si>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</si>
  <si>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</si>
  <si>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</si>
  <si>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</si>
  <si>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</si>
  <si>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</si>
  <si>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</si>
  <si>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</si>
  <si>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</si>
  <si>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</si>
  <si>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</si>
  <si>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</si>
  <si>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</si>
  <si>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</si>
  <si>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</si>
  <si>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</si>
  <si>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</si>
  <si>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১৫-০২-২০২৬ তারিখে মূল্য হ্রাস পেয়েছে।</t>
  </si>
  <si>
    <t>১৫-০২-২০২৬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</si>
  <si>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</si>
  <si>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</si>
  <si>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মঙ্গলবার ১৭ ফেব্রুয়ারী ২০২৬ খ্রিঃ, ০৪  ফাল্গুন ১৪৩২ বাংলা, ২৮ শাবান ১৪৪৭ হিজরি </t>
  </si>
  <si>
    <t xml:space="preserve">   সিরিয়াল নংঃ     ০৪৫</t>
  </si>
  <si>
    <t>স্মারক নং-২৬.০৫.০০০০.০১৭.৩১.০১.২৬-১৪০</t>
  </si>
  <si>
    <t>১৭-০২-২০২৬ তারিখে মূল্য হ্রাস পেয়েছে।</t>
  </si>
  <si>
    <t>(১)   আটা (খোলা), ময়দা (খোলা), রশুন (আম), চিনি    এর মূল্য হ্রাস পেয়েছে।</t>
  </si>
  <si>
    <t>(২)   সয়াবিন তেল লুজ, সুপার পাম অয়েল, মসুর ডাল (বড়), রশুন (দেশী), আদা (আম), মুরগী ব্রয়লার    এর মূল্য বৃদ্ধি পেয়েছে।</t>
  </si>
  <si>
    <t xml:space="preserve">যে সকল বাজার হতে তথ্য সংগ্রহ করা হয়েছেঃ- রামপুরা বাজার, মোহাম্মদপুর টাউন হল, নিউমার্কেট, মিরপুর-৬, মহাখালী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</si>
</sst>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1"/>
  <sheetViews>
    <sheetView tabSelected="1" zoomScale="112" zoomScaleNormal="112" workbookViewId="0">
      <selection activeCell="A78" sqref="A78:L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122</v>
      </c>
      <c r="L6" s="87"/>
    </row>
    <row r="7" spans="1:12" ht="19.5" customHeight="1">
      <c r="A7" s="17"/>
      <c r="B7" s="8"/>
      <c r="C7" s="8"/>
      <c r="D7" s="17"/>
      <c r="E7" s="8"/>
      <c r="F7" s="8" t="s">
        <v>121</v>
      </c>
      <c r="G7" s="8"/>
      <c r="H7" s="8"/>
      <c r="I7" s="8"/>
      <c r="J7" s="8"/>
      <c r="K7" s="8"/>
      <c r="L7" s="49"/>
    </row>
    <row r="8" spans="1:12" ht="21.75">
      <c r="A8" s="20" t="s">
        <v>123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46070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46070</v>
      </c>
      <c r="D10" s="87"/>
      <c r="E10" s="88">
        <v>46063</v>
      </c>
      <c r="F10" s="87"/>
      <c r="G10" s="88">
        <v>46039</v>
      </c>
      <c r="H10" s="87"/>
      <c r="I10" s="26" t="s">
        <v>12</v>
      </c>
      <c r="J10" s="88">
        <v>45705</v>
      </c>
      <c r="K10" s="87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50</v>
      </c>
      <c r="E16" s="29">
        <v>44</v>
      </c>
      <c r="F16" s="29">
        <v>50</v>
      </c>
      <c r="G16" s="29">
        <v>44</v>
      </c>
      <c r="H16" s="29">
        <v>50</v>
      </c>
      <c r="I16" s="30">
        <f>((C16+D16)/2-(G16+H16)/2)/((G16+H16)/2)*100</f>
        <v>-4.2553191489361701</v>
      </c>
      <c r="J16" s="29">
        <v>40</v>
      </c>
      <c r="K16" s="29">
        <v>45</v>
      </c>
      <c r="L16" s="31">
        <f>((C16+D16)/2-(J16+K16)/2)/((J16+K16)/2)*100</f>
        <v>5.8823529411764701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65</v>
      </c>
      <c r="E18" s="29">
        <v>52</v>
      </c>
      <c r="F18" s="29">
        <v>65</v>
      </c>
      <c r="G18" s="29">
        <v>52</v>
      </c>
      <c r="H18" s="29">
        <v>65</v>
      </c>
      <c r="I18" s="30">
        <f>((C18+D18)/2-(G18+H18)/2)/((G18+H18)/2)*100</f>
        <v>-3.4188034188034191</v>
      </c>
      <c r="J18" s="29">
        <v>55</v>
      </c>
      <c r="K18" s="29">
        <v>60</v>
      </c>
      <c r="L18" s="31">
        <f>((C18+D18)/2-(J18+K18)/2)/((J18+K18)/2)*100</f>
        <v>-1.7391304347826086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176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185</v>
      </c>
      <c r="K21" s="29">
        <v>190</v>
      </c>
      <c r="L21" s="31">
        <f t="shared" ref="L21:L27" si="1">((C21+D21)/2-(J21+K21)/2)/((J21+K21)/2)*100</f>
        <v>-3.7333333333333338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380</v>
      </c>
      <c r="H23" s="29">
        <v>395</v>
      </c>
      <c r="I23" s="30">
        <f t="shared" si="0"/>
        <v>0.64516129032258063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153</v>
      </c>
      <c r="L25" s="31">
        <f t="shared" si="1"/>
        <v>4.6204620462046204</v>
      </c>
    </row>
    <row r="26" spans="1:12" ht="21.75">
      <c r="A26" s="69" t="s">
        <v>104</v>
      </c>
      <c r="B26" s="6" t="s">
        <v>28</v>
      </c>
      <c r="C26" s="29">
        <v>162</v>
      </c>
      <c r="D26" s="29">
        <v>165</v>
      </c>
      <c r="E26" s="29">
        <v>160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40</v>
      </c>
      <c r="I35" s="30">
        <f t="shared" si="2"/>
        <v>-25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114</v>
      </c>
      <c r="B37" s="6" t="s">
        <v>18</v>
      </c>
      <c r="C37" s="29">
        <v>50</v>
      </c>
      <c r="D37" s="29">
        <v>60</v>
      </c>
      <c r="E37" s="29">
        <v>50</v>
      </c>
      <c r="F37" s="29">
        <v>60</v>
      </c>
      <c r="G37" s="29">
        <v>50</v>
      </c>
      <c r="H37" s="29">
        <v>70</v>
      </c>
      <c r="I37" s="30">
        <f t="shared" ref="I37:I52" si="4">((C37+D37)/2-(G37+H37)/2)/((G37+H37)/2)*100</f>
        <v>-8.3333333333333321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70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90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4.5454545454545459</v>
      </c>
      <c r="J39" s="29">
        <v>140</v>
      </c>
      <c r="K39" s="29">
        <v>240</v>
      </c>
      <c r="L39" s="31">
        <f t="shared" si="5"/>
        <v>-39.473684210526315</v>
      </c>
    </row>
    <row r="40" spans="1:12" ht="21.75">
      <c r="A40" s="69" t="s">
        <v>45</v>
      </c>
      <c r="B40" s="6" t="s">
        <v>18</v>
      </c>
      <c r="C40" s="29">
        <v>160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0</v>
      </c>
      <c r="J40" s="29">
        <v>210</v>
      </c>
      <c r="K40" s="29">
        <v>240</v>
      </c>
      <c r="L40" s="31">
        <f t="shared" si="5"/>
        <v>-20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140</v>
      </c>
      <c r="H45" s="29">
        <v>200</v>
      </c>
      <c r="I45" s="30">
        <f t="shared" si="4"/>
        <v>0</v>
      </c>
      <c r="J45" s="29">
        <v>100</v>
      </c>
      <c r="K45" s="29">
        <v>150</v>
      </c>
      <c r="L45" s="31">
        <f t="shared" si="5"/>
        <v>36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200</v>
      </c>
      <c r="E58" s="29">
        <v>170</v>
      </c>
      <c r="F58" s="29">
        <v>190</v>
      </c>
      <c r="G58" s="29">
        <v>160</v>
      </c>
      <c r="H58" s="29">
        <v>180</v>
      </c>
      <c r="I58" s="30">
        <f t="shared" si="6"/>
        <v>11.76470588235294</v>
      </c>
      <c r="J58" s="29">
        <v>190</v>
      </c>
      <c r="K58" s="29">
        <v>220</v>
      </c>
      <c r="L58" s="31">
        <f t="shared" si="7"/>
        <v>-7.3170731707317067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46070</v>
      </c>
      <c r="D69" s="87"/>
      <c r="E69" s="88">
        <v>46063</v>
      </c>
      <c r="F69" s="87"/>
      <c r="G69" s="88">
        <v>46039</v>
      </c>
      <c r="H69" s="87"/>
      <c r="I69" s="26" t="s">
        <v>12</v>
      </c>
      <c r="J69" s="88">
        <v>45705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100</v>
      </c>
      <c r="F71" s="29">
        <v>105</v>
      </c>
      <c r="G71" s="29">
        <v>98</v>
      </c>
      <c r="H71" s="29">
        <v>110</v>
      </c>
      <c r="I71" s="30">
        <f>((C71+D71)/2-(G71+H71)/2)/((G71+H71)/2)*100</f>
        <v>-2.4038461538461542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200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2.7397260273972601</v>
      </c>
      <c r="J72" s="29">
        <v>280</v>
      </c>
      <c r="K72" s="29">
        <v>550</v>
      </c>
      <c r="L72" s="31">
        <f t="shared" si="8"/>
        <v>-9.6385542168674707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40</v>
      </c>
      <c r="K74" s="37">
        <v>45</v>
      </c>
      <c r="L74" s="31">
        <f t="shared" si="8"/>
        <v>-12.941176470588237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92200</v>
      </c>
      <c r="L76" s="31">
        <f t="shared" si="8"/>
        <v>-9.6615720524017465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89" t="s">
        <v>127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125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1" t="s">
        <v>6</v>
      </c>
      <c r="D84" s="92"/>
      <c r="E84" s="93" t="s">
        <v>82</v>
      </c>
      <c r="F84" s="94"/>
      <c r="G84" s="77" t="s">
        <v>12</v>
      </c>
      <c r="H84" s="91" t="s">
        <v>83</v>
      </c>
      <c r="I84" s="95"/>
      <c r="J84" s="92"/>
      <c r="K84" s="50"/>
      <c r="L84" s="17"/>
    </row>
    <row r="85" spans="1:12" ht="21.75">
      <c r="A85" s="69" t="s">
        <v>21</v>
      </c>
      <c r="B85" s="6" t="s">
        <v>18</v>
      </c>
      <c r="C85" s="29">
        <v>40</v>
      </c>
      <c r="D85" s="29">
        <v>50</v>
      </c>
      <c r="E85" s="29">
        <v>44</v>
      </c>
      <c r="F85" s="29">
        <v>50</v>
      </c>
      <c r="G85" s="7">
        <f t="shared" ref="G85:G88" si="10">((C85+D85)/2-(E85+F85)/2)/((E85+F85)/2)*100</f>
        <v>-4.2553191489361701</v>
      </c>
      <c r="H85" s="5" t="s">
        <v>117</v>
      </c>
      <c r="I85" s="6"/>
      <c r="J85" s="6"/>
      <c r="K85" s="50"/>
      <c r="L85" s="17"/>
    </row>
    <row r="86" spans="1:12" ht="21.75">
      <c r="A86" s="69" t="s">
        <v>24</v>
      </c>
      <c r="B86" s="6" t="s">
        <v>18</v>
      </c>
      <c r="C86" s="29">
        <v>48</v>
      </c>
      <c r="D86" s="29">
        <v>65</v>
      </c>
      <c r="E86" s="29">
        <v>52</v>
      </c>
      <c r="F86" s="29">
        <v>65</v>
      </c>
      <c r="G86" s="7">
        <f t="shared" si="10"/>
        <v>-3.4188034188034191</v>
      </c>
      <c r="H86" s="5" t="s">
        <v>117</v>
      </c>
      <c r="I86" s="6"/>
      <c r="J86" s="6"/>
      <c r="K86" s="50"/>
      <c r="L86" s="17"/>
    </row>
    <row r="87" spans="1:12" ht="21.75">
      <c r="A87" s="69" t="s">
        <v>27</v>
      </c>
      <c r="B87" s="6" t="s">
        <v>28</v>
      </c>
      <c r="C87" s="29">
        <v>176</v>
      </c>
      <c r="D87" s="29">
        <v>185</v>
      </c>
      <c r="E87" s="29">
        <v>175</v>
      </c>
      <c r="F87" s="29">
        <v>185</v>
      </c>
      <c r="G87" s="7">
        <f t="shared" si="10"/>
        <v>0.27777777777777779</v>
      </c>
      <c r="H87" s="5" t="s">
        <v>118</v>
      </c>
      <c r="I87" s="6"/>
      <c r="J87" s="6"/>
      <c r="K87" s="50"/>
      <c r="L87" s="17"/>
    </row>
    <row r="88" spans="1:12" ht="21.75">
      <c r="A88" s="69" t="s">
        <v>104</v>
      </c>
      <c r="B88" s="6" t="s">
        <v>28</v>
      </c>
      <c r="C88" s="29">
        <v>162</v>
      </c>
      <c r="D88" s="29">
        <v>165</v>
      </c>
      <c r="E88" s="29">
        <v>160</v>
      </c>
      <c r="F88" s="29">
        <v>165</v>
      </c>
      <c r="G88" s="7">
        <f t="shared" si="10"/>
        <v>0.61538461538461542</v>
      </c>
      <c r="H88" s="5" t="s">
        <v>118</v>
      </c>
      <c r="I88" s="6"/>
      <c r="J88" s="6"/>
      <c r="K88" s="50"/>
      <c r="L88" s="17"/>
    </row>
    <row r="89" spans="1:12" ht="21.75">
      <c r="A89" s="69" t="s">
        <v>37</v>
      </c>
      <c r="B89" s="6" t="s">
        <v>18</v>
      </c>
      <c r="C89" s="29">
        <v>85</v>
      </c>
      <c r="D89" s="29">
        <v>105</v>
      </c>
      <c r="E89" s="29">
        <v>80</v>
      </c>
      <c r="F89" s="29">
        <v>105</v>
      </c>
      <c r="G89" s="7">
        <f>((C89+D89)/2-(E89+F89)/2)/((E89+F89)/2)*100</f>
        <v>2.7027027027027026</v>
      </c>
      <c r="H89" s="5" t="s">
        <v>118</v>
      </c>
      <c r="I89" s="6"/>
      <c r="J89" s="6"/>
      <c r="K89" s="50"/>
      <c r="L89" s="17"/>
    </row>
    <row r="90" spans="1:12" ht="21.75">
      <c r="A90" s="69" t="s">
        <v>44</v>
      </c>
      <c r="B90" s="6" t="s">
        <v>18</v>
      </c>
      <c r="C90" s="29">
        <v>90</v>
      </c>
      <c r="D90" s="29">
        <v>140</v>
      </c>
      <c r="E90" s="29">
        <v>80</v>
      </c>
      <c r="F90" s="29">
        <v>140</v>
      </c>
      <c r="G90" s="7">
        <f t="shared" ref="G90" si="11">((C90+D90)/2-(E90+F90)/2)/((E90+F90)/2)*100</f>
        <v>4.5454545454545459</v>
      </c>
      <c r="H90" s="5" t="s">
        <v>118</v>
      </c>
      <c r="I90" s="6"/>
      <c r="J90" s="6"/>
      <c r="K90" s="50"/>
      <c r="L90" s="17"/>
    </row>
    <row r="91" spans="1:12" ht="24.75">
      <c r="A91" s="69" t="s">
        <v>45</v>
      </c>
      <c r="B91" s="6" t="s">
        <v>18</v>
      </c>
      <c r="C91" s="29">
        <v>160</v>
      </c>
      <c r="D91" s="29">
        <v>200</v>
      </c>
      <c r="E91" s="29">
        <v>180</v>
      </c>
      <c r="F91" s="29">
        <v>200</v>
      </c>
      <c r="G91" s="7">
        <f>((C91+D91)/2-(E91+F91)/2)/((E91+F91)/2)*100</f>
        <v>-5.2631578947368416</v>
      </c>
      <c r="H91" s="5" t="s">
        <v>117</v>
      </c>
      <c r="I91" s="6"/>
      <c r="J91" s="6"/>
      <c r="K91" s="40"/>
      <c r="L91" s="11"/>
    </row>
    <row r="92" spans="1:12" ht="24.75">
      <c r="A92" s="69" t="s">
        <v>51</v>
      </c>
      <c r="B92" s="6" t="s">
        <v>18</v>
      </c>
      <c r="C92" s="29">
        <v>150</v>
      </c>
      <c r="D92" s="29">
        <v>220</v>
      </c>
      <c r="E92" s="29">
        <v>140</v>
      </c>
      <c r="F92" s="29">
        <v>220</v>
      </c>
      <c r="G92" s="7">
        <f t="shared" ref="G92:G94" si="12">((C92+D92)/2-(E92+F92)/2)/((E92+F92)/2)*100</f>
        <v>2.7777777777777777</v>
      </c>
      <c r="H92" s="5" t="s">
        <v>118</v>
      </c>
      <c r="I92" s="6"/>
      <c r="J92" s="6"/>
      <c r="K92" s="40"/>
      <c r="L92" s="11"/>
    </row>
    <row r="93" spans="1:12" ht="24.75">
      <c r="A93" s="69" t="s">
        <v>61</v>
      </c>
      <c r="B93" s="6" t="s">
        <v>18</v>
      </c>
      <c r="C93" s="29">
        <v>180</v>
      </c>
      <c r="D93" s="29">
        <v>200</v>
      </c>
      <c r="E93" s="29">
        <v>170</v>
      </c>
      <c r="F93" s="29">
        <v>190</v>
      </c>
      <c r="G93" s="7">
        <f t="shared" si="12"/>
        <v>5.5555555555555554</v>
      </c>
      <c r="H93" s="5" t="s">
        <v>118</v>
      </c>
      <c r="I93" s="6"/>
      <c r="J93" s="6"/>
      <c r="K93" s="40"/>
      <c r="L93" s="11"/>
    </row>
    <row r="94" spans="1:12" ht="24.75">
      <c r="A94" s="69" t="s">
        <v>70</v>
      </c>
      <c r="B94" s="6" t="s">
        <v>18</v>
      </c>
      <c r="C94" s="29">
        <v>98</v>
      </c>
      <c r="D94" s="29">
        <v>105</v>
      </c>
      <c r="E94" s="29">
        <v>100</v>
      </c>
      <c r="F94" s="29">
        <v>105</v>
      </c>
      <c r="G94" s="7">
        <f t="shared" si="12"/>
        <v>-0.97560975609756095</v>
      </c>
      <c r="H94" s="5" t="s">
        <v>124</v>
      </c>
      <c r="I94" s="6"/>
      <c r="J94" s="6"/>
      <c r="K94" s="40"/>
      <c r="L94" s="11"/>
    </row>
    <row r="95" spans="1:12" ht="24.75">
      <c r="A95" s="72"/>
      <c r="B95" s="3"/>
      <c r="C95" s="78"/>
      <c r="D95" s="78"/>
      <c r="E95" s="78"/>
      <c r="F95" s="78"/>
      <c r="G95" s="9"/>
      <c r="H95" s="1"/>
      <c r="I95" s="3"/>
      <c r="J95" s="3"/>
      <c r="K95" s="40"/>
      <c r="L95" s="11"/>
    </row>
    <row r="96" spans="1:12" ht="24.75">
      <c r="A96" s="72"/>
      <c r="B96" s="3"/>
      <c r="C96" s="78"/>
      <c r="D96" s="78"/>
      <c r="E96" s="78"/>
      <c r="F96" s="78"/>
      <c r="G96" s="38"/>
      <c r="H96" s="39"/>
      <c r="I96" s="40"/>
      <c r="J96" s="40"/>
      <c r="K96" s="40"/>
      <c r="L96" s="11"/>
    </row>
    <row r="97" spans="1:12" ht="24.75">
      <c r="A97" s="1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41"/>
      <c r="B98" s="42" t="s">
        <v>115</v>
      </c>
      <c r="C98" s="10"/>
      <c r="E98" s="83"/>
      <c r="F98" s="84"/>
      <c r="G98" s="85"/>
      <c r="I98" s="12"/>
      <c r="J98" s="13" t="s">
        <v>119</v>
      </c>
      <c r="K98" s="10"/>
    </row>
    <row r="99" spans="1:12" ht="24.75">
      <c r="A99" s="43"/>
      <c r="B99" s="42" t="s">
        <v>116</v>
      </c>
      <c r="C99" s="13"/>
      <c r="E99" s="43"/>
      <c r="F99" s="84"/>
      <c r="G99" s="85"/>
      <c r="I99" s="76"/>
      <c r="J99" s="13" t="s">
        <v>120</v>
      </c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91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97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96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84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95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99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98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100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101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86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87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88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111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110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109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2026-02-17T08:25:30Z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