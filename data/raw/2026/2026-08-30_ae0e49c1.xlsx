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D0E02C6A-BA76-4570-A44A-DC6BB38711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</workbook>
</file>

<file path=xl/calcChain.xml><?xml version="1.0" encoding="utf-8"?>
<calcChain xmlns="http://schemas.openxmlformats.org/spreadsheetml/2006/main">
  <c r="G90" i="4" l="1"/>
  <c r="G89" i="4"/>
  <c r="G92" i="4"/>
  <c r="G88" i="4"/>
  <c r="G93" i="4"/>
  <c r="G91" i="4"/>
  <c r="I76" i="4"/>
  <c r="I51" i="4"/>
  <c r="I22" i="4"/>
  <c r="I26" i="4"/>
  <c r="I11" i="4"/>
  <c r="I12" i="4"/>
  <c r="I13" i="4"/>
  <c r="G94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<sst xmlns="http://schemas.openxmlformats.org/spreadsheetml/2006/main" count="240" uniqueCount="135">
  <si>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</si>
  <si>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</si>
  <si>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</si>
  <si>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</si>
  <si>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</si>
  <si>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</si>
  <si>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</si>
  <si>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</si>
  <si>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</si>
  <si>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</si>
  <si>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</si>
  <si>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</si>
  <si>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</si>
  <si>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</si>
  <si>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</si>
  <si>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</si>
  <si>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</si>
  <si>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</si>
  <si>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</si>
  <si>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</si>
  <si>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</si>
  <si>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</si>
  <si>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</si>
  <si>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</si>
  <si>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</si>
  <si>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</si>
  <si>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</si>
  <si>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</si>
  <si>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</si>
  <si>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</si>
  <si>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</si>
  <si>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</si>
  <si>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</si>
  <si>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</si>
  <si>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</si>
  <si>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</si>
  <si>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</si>
  <si>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</si>
  <si>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</si>
  <si>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</si>
  <si>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</si>
  <si>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</si>
  <si>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</si>
  <si>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</si>
  <si>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</si>
  <si>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</si>
  <si>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</si>
  <si>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</si>
  <si>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</si>
  <si>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</si>
  <si>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</si>
  <si>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</si>
  <si>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</si>
  <si>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</si>
  <si>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</si>
  <si>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</si>
  <si>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</si>
  <si>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</si>
  <si>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</si>
  <si>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</si>
  <si>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</si>
  <si>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</si>
  <si>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</si>
  <si>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</si>
  <si>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</si>
  <si>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</si>
  <si>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</si>
  <si>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</si>
  <si>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</si>
  <si>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</si>
  <si>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</si>
  <si>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</si>
  <si>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</si>
  <si>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</si>
  <si>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</si>
  <si>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</si>
  <si>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</si>
  <si>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</si>
  <si>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</si>
  <si>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</si>
  <si>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</si>
  <si>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</si>
  <si>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</si>
  <si>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</si>
  <si>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</si>
  <si>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</si>
  <si>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</si>
  <si>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</si>
  <si>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</si>
  <si>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</si>
  <si>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</si>
  <si>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</si>
  <si>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</si>
  <si>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</si>
  <si>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</si>
  <si>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</si>
  <si>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</si>
  <si>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</si>
  <si>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</si>
  <si>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</si>
  <si>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</si>
  <si>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</si>
  <si>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</si>
  <si>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</si>
  <si>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</si>
  <si>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</si>
  <si>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</si>
  <si>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</si>
  <si>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</si>
  <si>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</si>
  <si>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</si>
  <si>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</si>
  <si>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</si>
  <si>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</si>
  <si>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</si>
  <si>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</si>
  <si>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</si>
  <si>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</si>
  <si>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</si>
  <si>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</si>
  <si>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</si>
  <si>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</si>
  <si>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</si>
  <si>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</si>
  <si>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২৪-০৮-২০২৬ তারিখে মূল্য হ্রাস পেয়েছে।</t>
  </si>
  <si>
    <t>২৭-০৮-২০২৬ তারিখে মূল্য হ্রাস পেয়েছে।</t>
  </si>
  <si>
    <t>২৯-০৮-২০২৬ তারিখে মূল্য বৃদ্ধি পেয়েছে।</t>
  </si>
  <si>
    <t>২৯-০৮-২০২৬ তারিখে মূল্য হ্রাস পেয়েছে।</t>
  </si>
  <si>
    <t xml:space="preserve">নং-২৬.০৫.০০০০.০১৭.৩১.০১.২৬-৬৭৩                                                                                                           তারিখঃ ৩০-০৮-২০২৬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</si>
  <si>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২১৫</t>
  </si>
  <si>
    <t xml:space="preserve">রবিবার ৩০ আগষ্ট ২০২৬ খ্রিঃ, ১৫ ভাদ্র ১৪৩৩ বাংলা, ১৬ রবিউল আউয়াল ১৪৪৮ হিজরি </t>
  </si>
  <si>
    <t>৩০-০৮-২০২৬ তারিখে মূল্য বৃদ্ধি পেয়েছে।</t>
  </si>
  <si>
    <t>(১)    ময়দা (প্যা), সয়াবিন লুজ, লবঙ্গ  এর মূল্য বৃদ্ধি পেয়েছে।</t>
  </si>
  <si>
    <t>৩০-০৮-২০২৬ তারিখে মূল্য হ্রাস পেয়েছে।</t>
  </si>
  <si>
    <t>(২)    রসুন (আম), জিরা, তেজপাতা,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</si>
</sst>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topLeftCell="A61" zoomScale="85" zoomScaleNormal="85" workbookViewId="0">
      <selection activeCell="J77" activeCellId="7" sqref="J7:K15 J17:K17 J19:K29 J33:K39 J44:K52 J55:K57 J70:K70 J76:K77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129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2"/>
      <c r="Q4" s="52"/>
      <c r="R4" s="52"/>
    </row>
    <row r="5" spans="1:18">
      <c r="A5" s="88" t="s">
        <v>128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3"/>
      <c r="Q5" s="54"/>
    </row>
    <row r="6" spans="1:18" s="28" customFormat="1">
      <c r="A6" s="78" t="s">
        <v>1</v>
      </c>
      <c r="B6" s="78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5" t="s">
        <v>6</v>
      </c>
      <c r="J6" s="71" t="s">
        <v>7</v>
      </c>
      <c r="K6" s="73"/>
      <c r="L6" s="27" t="s">
        <v>8</v>
      </c>
      <c r="M6" s="50"/>
    </row>
    <row r="7" spans="1:18" s="28" customFormat="1">
      <c r="A7" s="79"/>
      <c r="B7" s="79"/>
      <c r="C7" s="80">
        <v>46264</v>
      </c>
      <c r="D7" s="81"/>
      <c r="E7" s="80">
        <v>46257</v>
      </c>
      <c r="F7" s="81"/>
      <c r="G7" s="80">
        <v>46233</v>
      </c>
      <c r="H7" s="81"/>
      <c r="I7" s="25" t="s">
        <v>9</v>
      </c>
      <c r="J7" s="82">
        <v>45899</v>
      </c>
      <c r="K7" s="83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6">
        <v>45</v>
      </c>
      <c r="K15" s="56">
        <v>50</v>
      </c>
      <c r="L15" s="48">
        <f>((C15+D15)/2-(J15+K15)/2)/((J15+K15)/2)*100</f>
        <v>3.1578947368421053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7.1428571428571423</v>
      </c>
      <c r="J18" s="56">
        <v>65</v>
      </c>
      <c r="K18" s="56">
        <v>75</v>
      </c>
      <c r="L18" s="48">
        <f>((C18+D18)/2-(J18+K18)/2)/((J18+K18)/2)*100</f>
        <v>7.1428571428571423</v>
      </c>
      <c r="M18" s="50">
        <f t="shared" si="0"/>
        <v>3.4482758620689653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56">
        <v>166</v>
      </c>
      <c r="K20" s="56">
        <v>172</v>
      </c>
      <c r="L20" s="48">
        <f>((C20+D20)/2-(J20+K20)/2)/((J20+K20)/2)*100</f>
        <v>12.721893491124261</v>
      </c>
      <c r="M20" s="50">
        <f t="shared" si="0"/>
        <v>0.79365079365079361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153</v>
      </c>
      <c r="K24" s="56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158</v>
      </c>
      <c r="K25" s="56">
        <v>164</v>
      </c>
      <c r="L25" s="48">
        <f t="shared" si="2"/>
        <v>7.1428571428571423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160</v>
      </c>
      <c r="L30" s="48">
        <f t="shared" si="4"/>
        <v>0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22</v>
      </c>
      <c r="H34" s="38">
        <v>30</v>
      </c>
      <c r="I34" s="47">
        <f t="shared" si="3"/>
        <v>5.7692307692307692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56">
        <v>100</v>
      </c>
      <c r="K38" s="56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130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-10.810810810810811</v>
      </c>
      <c r="J39" s="56">
        <v>140</v>
      </c>
      <c r="K39" s="56">
        <v>200</v>
      </c>
      <c r="L39" s="48">
        <f t="shared" si="6"/>
        <v>-2.9411764705882351</v>
      </c>
      <c r="M39" s="50">
        <f t="shared" si="0"/>
        <v>-2.9411764705882351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56">
        <v>280</v>
      </c>
      <c r="K40" s="56">
        <v>350</v>
      </c>
      <c r="L40" s="48">
        <f t="shared" si="6"/>
        <v>11.111111111111111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0</v>
      </c>
    </row>
    <row r="46" spans="1:13" s="49" customFormat="1">
      <c r="A46" s="44" t="s">
        <v>48</v>
      </c>
      <c r="B46" s="45" t="s">
        <v>14</v>
      </c>
      <c r="C46" s="40">
        <v>550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56">
        <v>600</v>
      </c>
      <c r="K46" s="56">
        <v>750</v>
      </c>
      <c r="L46" s="48">
        <f t="shared" si="6"/>
        <v>-11.111111111111111</v>
      </c>
      <c r="M46" s="50">
        <f t="shared" si="0"/>
        <v>-4</v>
      </c>
    </row>
    <row r="47" spans="1:13" s="49" customFormat="1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56">
        <v>500</v>
      </c>
      <c r="K47" s="56">
        <v>600</v>
      </c>
      <c r="L47" s="48">
        <f t="shared" si="6"/>
        <v>0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56">
        <v>1350</v>
      </c>
      <c r="K48" s="56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56">
        <v>200</v>
      </c>
      <c r="K51" s="56">
        <v>220</v>
      </c>
      <c r="L51" s="48">
        <f>((C51+D51)/2-(J51+K51)/2)/((J51+K51)/2)*100</f>
        <v>2.3809523809523809</v>
      </c>
      <c r="M51" s="50">
        <f t="shared" si="0"/>
        <v>-2.2727272727272729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185</v>
      </c>
      <c r="L57" s="48">
        <f t="shared" si="8"/>
        <v>10.144927536231885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56">
        <v>720</v>
      </c>
      <c r="K60" s="56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56">
        <v>830</v>
      </c>
      <c r="K62" s="56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56">
        <v>830</v>
      </c>
      <c r="K63" s="56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1" t="s">
        <v>3</v>
      </c>
      <c r="D67" s="73"/>
      <c r="E67" s="71" t="s">
        <v>4</v>
      </c>
      <c r="F67" s="73"/>
      <c r="G67" s="71" t="s">
        <v>5</v>
      </c>
      <c r="H67" s="73"/>
      <c r="I67" s="25" t="s">
        <v>6</v>
      </c>
      <c r="J67" s="71" t="s">
        <v>7</v>
      </c>
      <c r="K67" s="73"/>
      <c r="L67" s="25" t="s">
        <v>8</v>
      </c>
    </row>
    <row r="68" spans="1:13" ht="18" customHeight="1">
      <c r="A68" s="79"/>
      <c r="B68" s="79"/>
      <c r="C68" s="80">
        <v>46264</v>
      </c>
      <c r="D68" s="81"/>
      <c r="E68" s="80">
        <v>46257</v>
      </c>
      <c r="F68" s="81"/>
      <c r="G68" s="80">
        <v>46233</v>
      </c>
      <c r="H68" s="81"/>
      <c r="I68" s="25" t="s">
        <v>9</v>
      </c>
      <c r="J68" s="82">
        <v>45899</v>
      </c>
      <c r="K68" s="83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140</v>
      </c>
      <c r="E74" s="38">
        <v>120</v>
      </c>
      <c r="F74" s="38">
        <v>160</v>
      </c>
      <c r="G74" s="38">
        <v>320</v>
      </c>
      <c r="H74" s="38">
        <v>400</v>
      </c>
      <c r="I74" s="47">
        <f t="shared" si="9"/>
        <v>-63.888888888888886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-7.1428571428571423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140</v>
      </c>
      <c r="I75" s="47">
        <f t="shared" si="9"/>
        <v>-25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150</v>
      </c>
      <c r="I76" s="47">
        <f t="shared" si="9"/>
        <v>-56.521739130434781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75000</v>
      </c>
      <c r="K80" s="60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75" t="s">
        <v>118</v>
      </c>
      <c r="B81" s="76"/>
      <c r="C81" s="74" t="s">
        <v>119</v>
      </c>
      <c r="D81" s="74"/>
      <c r="E81" s="74"/>
      <c r="F81" s="74"/>
      <c r="G81" s="74"/>
      <c r="H81" s="74"/>
      <c r="I81" s="74"/>
      <c r="J81" s="74"/>
      <c r="K81" s="74"/>
      <c r="L81" s="7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7" t="s">
        <v>132</v>
      </c>
      <c r="C83" s="77"/>
      <c r="D83" s="77"/>
      <c r="E83" s="77"/>
      <c r="F83" s="77"/>
      <c r="G83" s="77"/>
      <c r="H83" s="77"/>
      <c r="I83" s="77"/>
      <c r="J83" s="77"/>
      <c r="K83" s="77"/>
      <c r="L83" s="77"/>
    </row>
    <row r="84" spans="1:12">
      <c r="A84" s="7"/>
      <c r="B84" s="77" t="s">
        <v>134</v>
      </c>
      <c r="C84" s="77"/>
      <c r="D84" s="77"/>
      <c r="E84" s="77"/>
      <c r="F84" s="77"/>
      <c r="G84" s="77"/>
      <c r="H84" s="77"/>
      <c r="I84" s="77"/>
      <c r="J84" s="77"/>
      <c r="K84" s="77"/>
      <c r="L84" s="7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3"/>
      <c r="E87" s="89" t="s">
        <v>78</v>
      </c>
      <c r="F87" s="90"/>
      <c r="G87" s="26" t="s">
        <v>9</v>
      </c>
      <c r="H87" s="71" t="s">
        <v>79</v>
      </c>
      <c r="I87" s="72"/>
      <c r="J87" s="73"/>
      <c r="K87" s="10"/>
      <c r="L87" s="2"/>
    </row>
    <row r="88" spans="1:12">
      <c r="A88" s="44" t="s">
        <v>21</v>
      </c>
      <c r="B88" s="45" t="s">
        <v>19</v>
      </c>
      <c r="C88" s="38">
        <v>70</v>
      </c>
      <c r="D88" s="38">
        <v>80</v>
      </c>
      <c r="E88" s="38">
        <v>70</v>
      </c>
      <c r="F88" s="38">
        <v>75</v>
      </c>
      <c r="G88" s="31">
        <f t="shared" ref="G88:G94" si="12">((C88+D88)/2-(E88+F88)/2)/((E88+F88)/2)*100</f>
        <v>3.4482758620689653</v>
      </c>
      <c r="H88" s="71" t="s">
        <v>126</v>
      </c>
      <c r="I88" s="72"/>
      <c r="J88" s="73"/>
      <c r="K88" s="10"/>
      <c r="L88" s="2"/>
    </row>
    <row r="89" spans="1:12">
      <c r="A89" s="44" t="s">
        <v>23</v>
      </c>
      <c r="B89" s="45" t="s">
        <v>24</v>
      </c>
      <c r="C89" s="40">
        <v>186</v>
      </c>
      <c r="D89" s="38">
        <v>195</v>
      </c>
      <c r="E89" s="40">
        <v>186</v>
      </c>
      <c r="F89" s="38">
        <v>192</v>
      </c>
      <c r="G89" s="31">
        <f t="shared" si="12"/>
        <v>0.79365079365079361</v>
      </c>
      <c r="H89" s="71" t="s">
        <v>131</v>
      </c>
      <c r="I89" s="72"/>
      <c r="J89" s="73"/>
      <c r="K89" s="10"/>
      <c r="L89" s="2"/>
    </row>
    <row r="90" spans="1:12">
      <c r="A90" s="44" t="s">
        <v>41</v>
      </c>
      <c r="B90" s="45" t="s">
        <v>14</v>
      </c>
      <c r="C90" s="40">
        <v>130</v>
      </c>
      <c r="D90" s="38">
        <v>200</v>
      </c>
      <c r="E90" s="40">
        <v>140</v>
      </c>
      <c r="F90" s="38">
        <v>200</v>
      </c>
      <c r="G90" s="31">
        <f t="shared" si="12"/>
        <v>-2.9411764705882351</v>
      </c>
      <c r="H90" s="71" t="s">
        <v>133</v>
      </c>
      <c r="I90" s="72"/>
      <c r="J90" s="73"/>
      <c r="K90" s="10"/>
      <c r="L90" s="2"/>
    </row>
    <row r="91" spans="1:12">
      <c r="A91" s="44" t="s">
        <v>48</v>
      </c>
      <c r="B91" s="45" t="s">
        <v>14</v>
      </c>
      <c r="C91" s="40">
        <v>550</v>
      </c>
      <c r="D91" s="38">
        <v>650</v>
      </c>
      <c r="E91" s="40">
        <v>600</v>
      </c>
      <c r="F91" s="38">
        <v>650</v>
      </c>
      <c r="G91" s="31">
        <f t="shared" si="12"/>
        <v>-4</v>
      </c>
      <c r="H91" s="71" t="s">
        <v>124</v>
      </c>
      <c r="I91" s="72"/>
      <c r="J91" s="73"/>
      <c r="K91" s="10"/>
      <c r="L91" s="2"/>
    </row>
    <row r="92" spans="1:12">
      <c r="A92" s="44" t="s">
        <v>50</v>
      </c>
      <c r="B92" s="45" t="s">
        <v>14</v>
      </c>
      <c r="C92" s="38">
        <v>1450</v>
      </c>
      <c r="D92" s="38">
        <v>1600</v>
      </c>
      <c r="E92" s="38">
        <v>1400</v>
      </c>
      <c r="F92" s="38">
        <v>1600</v>
      </c>
      <c r="G92" s="31">
        <f t="shared" si="12"/>
        <v>1.6666666666666667</v>
      </c>
      <c r="H92" s="71" t="s">
        <v>126</v>
      </c>
      <c r="I92" s="72"/>
      <c r="J92" s="73"/>
      <c r="K92" s="10"/>
      <c r="L92" s="2"/>
    </row>
    <row r="93" spans="1:12">
      <c r="A93" s="44" t="s">
        <v>53</v>
      </c>
      <c r="B93" s="45" t="s">
        <v>14</v>
      </c>
      <c r="C93" s="38">
        <v>190</v>
      </c>
      <c r="D93" s="38">
        <v>240</v>
      </c>
      <c r="E93" s="38">
        <v>200</v>
      </c>
      <c r="F93" s="38">
        <v>240</v>
      </c>
      <c r="G93" s="31">
        <f t="shared" si="12"/>
        <v>-2.2727272727272729</v>
      </c>
      <c r="H93" s="71" t="s">
        <v>125</v>
      </c>
      <c r="I93" s="72"/>
      <c r="J93" s="73"/>
      <c r="K93" s="10"/>
      <c r="L93" s="2"/>
    </row>
    <row r="94" spans="1:12">
      <c r="A94" s="44" t="s">
        <v>102</v>
      </c>
      <c r="B94" s="51" t="s">
        <v>14</v>
      </c>
      <c r="C94" s="38">
        <v>120</v>
      </c>
      <c r="D94" s="38">
        <v>140</v>
      </c>
      <c r="E94" s="38">
        <v>120</v>
      </c>
      <c r="F94" s="38">
        <v>160</v>
      </c>
      <c r="G94" s="31">
        <f t="shared" si="12"/>
        <v>-7.1428571428571423</v>
      </c>
      <c r="H94" s="71" t="s">
        <v>127</v>
      </c>
      <c r="I94" s="72"/>
      <c r="J94" s="73"/>
      <c r="K94" s="10"/>
      <c r="L94" s="2"/>
    </row>
    <row r="95" spans="1:12">
      <c r="A95" s="70"/>
      <c r="B95" s="63"/>
      <c r="C95" s="64"/>
      <c r="D95" s="64"/>
      <c r="E95" s="64"/>
      <c r="F95" s="64"/>
      <c r="G95" s="66"/>
      <c r="H95" s="69"/>
      <c r="I95" s="69"/>
      <c r="J95" s="69"/>
      <c r="K95" s="10"/>
      <c r="L95" s="2"/>
    </row>
    <row r="96" spans="1:12">
      <c r="A96" s="62"/>
      <c r="B96" s="68"/>
      <c r="C96" s="64"/>
      <c r="D96" s="64"/>
      <c r="E96" s="64"/>
      <c r="F96" s="64"/>
      <c r="G96" s="66"/>
      <c r="H96" s="69"/>
      <c r="I96" s="69"/>
      <c r="J96" s="69"/>
      <c r="K96" s="10"/>
      <c r="L96" s="2"/>
    </row>
    <row r="97" spans="1:12">
      <c r="A97" s="62"/>
      <c r="B97" s="63"/>
      <c r="C97" s="64"/>
      <c r="D97" s="65"/>
      <c r="E97" s="64"/>
      <c r="F97" s="65"/>
      <c r="G97" s="66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110</v>
      </c>
      <c r="C99" s="2"/>
      <c r="E99" s="7"/>
      <c r="F99" s="14" t="s">
        <v>121</v>
      </c>
      <c r="G99" s="2"/>
      <c r="I99" s="15"/>
      <c r="J99" s="1"/>
      <c r="K99" s="2"/>
      <c r="L99" s="12"/>
    </row>
    <row r="100" spans="1:12">
      <c r="A100" s="16"/>
      <c r="B100" s="14" t="s">
        <v>109</v>
      </c>
      <c r="C100" s="1"/>
      <c r="E100" s="16"/>
      <c r="F100" s="14" t="s">
        <v>122</v>
      </c>
      <c r="G100" s="1"/>
      <c r="I100" s="2"/>
      <c r="J100" s="1"/>
      <c r="L100" s="12"/>
    </row>
    <row r="101" spans="1:12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>
      <c r="A103" s="22" t="s">
        <v>111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>
      <c r="A104" s="22" t="s">
        <v>105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>
      <c r="A106" s="22" t="s">
        <v>106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112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107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114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>
      <c r="B438" s="11" t="s">
        <v>108</v>
      </c>
    </row>
  </sheetData>
  <mergeCells count="39">
    <mergeCell ref="H93:J93"/>
    <mergeCell ref="H94:J94"/>
    <mergeCell ref="H91:J91"/>
    <mergeCell ref="H92:J92"/>
    <mergeCell ref="B84:L84"/>
    <mergeCell ref="C87:D87"/>
    <mergeCell ref="E87:F87"/>
    <mergeCell ref="H87:J87"/>
    <mergeCell ref="H88:J8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89:J89"/>
    <mergeCell ref="H90:J90"/>
    <mergeCell ref="C81:L81"/>
    <mergeCell ref="A81:B81"/>
    <mergeCell ref="B83:L83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2026-08-30T08:04:56Z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