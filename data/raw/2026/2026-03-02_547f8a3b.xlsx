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09BFEFB3-9940-46D1-9A0B-AF6CDEA628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0" i="4"/>
  <c r="G89" i="4"/>
  <c r="G96" i="4"/>
  <c r="G94" i="4"/>
  <c r="G95" i="4"/>
  <c r="G92" i="4"/>
  <c r="I77" i="4"/>
  <c r="I76" i="4"/>
  <c r="I75" i="4"/>
  <c r="I74" i="4"/>
  <c r="L74" i="4"/>
  <c r="L77" i="4"/>
  <c r="L76" i="4"/>
  <c r="L75" i="4"/>
  <c r="G93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<sst xmlns="http://schemas.openxmlformats.org/spreadsheetml/2006/main" count="245" uniqueCount="136">
  <si>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</si>
  <si>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</si>
  <si>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</si>
  <si>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</si>
  <si>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</si>
  <si>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</si>
  <si>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</si>
  <si>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</si>
  <si>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</si>
  <si>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</si>
  <si>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</si>
  <si>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</si>
  <si>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</si>
  <si>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</si>
  <si>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</si>
  <si>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</si>
  <si>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</si>
  <si>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</si>
  <si>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</si>
  <si>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</si>
  <si>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</si>
  <si>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</si>
  <si>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</si>
  <si>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</si>
  <si>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</si>
  <si>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</si>
  <si>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</si>
  <si>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</si>
  <si>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</si>
  <si>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</si>
  <si>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</si>
  <si>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</si>
  <si>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</si>
  <si>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</si>
  <si>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</si>
  <si>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</si>
  <si>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</si>
  <si>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</si>
  <si>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</si>
  <si>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</si>
  <si>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</si>
  <si>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</si>
  <si>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</si>
  <si>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</si>
  <si>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</si>
  <si>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</si>
  <si>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</si>
  <si>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</si>
  <si>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</si>
  <si>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</si>
  <si>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</si>
  <si>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</si>
  <si>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</si>
  <si>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</si>
  <si>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</si>
  <si>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</si>
  <si>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</si>
  <si>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</si>
  <si>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</si>
  <si>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</si>
  <si>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</si>
  <si>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</si>
  <si>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</si>
  <si>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</si>
  <si>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</si>
  <si>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</si>
  <si>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</si>
  <si>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</si>
  <si>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</si>
  <si>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</si>
  <si>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</si>
  <si>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</si>
  <si>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</si>
  <si>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</si>
  <si>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</si>
  <si>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</si>
  <si>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</si>
  <si>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</si>
  <si>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</si>
  <si>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</si>
  <si>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</si>
  <si>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</si>
  <si>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</si>
  <si>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</si>
  <si>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</si>
  <si>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</si>
  <si>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</si>
  <si>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</si>
  <si>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</si>
  <si>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</si>
  <si>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</si>
  <si>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</si>
  <si>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</si>
  <si>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</si>
  <si>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</si>
  <si>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</si>
  <si>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</si>
  <si>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</si>
  <si>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</si>
  <si>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</si>
  <si>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</si>
  <si>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</si>
  <si>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</si>
  <si>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</si>
  <si>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</si>
  <si>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</si>
  <si>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</si>
  <si>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</si>
  <si>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</si>
  <si>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</si>
  <si>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</si>
  <si>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</si>
  <si>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</si>
  <si>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</si>
  <si>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</si>
  <si>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</si>
  <si>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</si>
  <si>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</si>
  <si>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</si>
  <si>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</si>
  <si>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</si>
  <si>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</si>
  <si>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২৫-০২-২০২৬ তারিখে মূল্য বৃদ্ধি পেয়েছে।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</si>
  <si>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</si>
  <si>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</si>
  <si>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</si>
  <si>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০১-০৩-২০২৬ তারিখে মূল্য বৃদ্ধি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</si>
  <si>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</si>
  <si>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স্মারক নং-২৬.০৫.০০০০.০১৭.৩১.০১.২৬-১৭৭</t>
  </si>
  <si>
    <t xml:space="preserve">সোমবার ০২ র্মাচ ২০২৬ খ্রিঃ, ১৭ ফাল্গুন ১৪৩২ বাংলা, ১২ রমজান ১৪৪৭ হিজরি </t>
  </si>
  <si>
    <t xml:space="preserve">   সিরিয়াল নংঃ     ০৫৭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</si>
  <si>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</si>
  <si>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</si>
  <si>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>(১)   চাল (মাঝারী), ময়দা (প্যা:), মসুর ডাল (বড়), বেগুন, শসা  এর মূল্য হ্রাস পেয়েছে।</t>
  </si>
  <si>
    <t>(২)   সয়াবিন তেল লুজ, রশুন (আম), শুকনা মরিচ (আম)   এর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</si>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</sst>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2"/>
  <sheetViews>
    <sheetView tabSelected="1" topLeftCell="A4" zoomScale="112" zoomScaleNormal="112" workbookViewId="0">
      <selection activeCell="A82" sqref="A82:L82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130</v>
      </c>
      <c r="L6" s="84"/>
    </row>
    <row r="7" spans="1:12" ht="19.5" customHeight="1">
      <c r="A7" s="17"/>
      <c r="B7" s="8"/>
      <c r="C7" s="8"/>
      <c r="D7" s="17"/>
      <c r="E7" s="8"/>
      <c r="F7" s="8" t="s">
        <v>129</v>
      </c>
      <c r="G7" s="8"/>
      <c r="H7" s="8"/>
      <c r="I7" s="8"/>
      <c r="J7" s="8"/>
      <c r="K7" s="8"/>
      <c r="L7" s="49"/>
    </row>
    <row r="8" spans="1:12" ht="21.75">
      <c r="A8" s="20" t="s">
        <v>128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46083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46083</v>
      </c>
      <c r="D10" s="84"/>
      <c r="E10" s="85">
        <v>46076</v>
      </c>
      <c r="F10" s="84"/>
      <c r="G10" s="85">
        <v>46055</v>
      </c>
      <c r="H10" s="84"/>
      <c r="I10" s="26" t="s">
        <v>12</v>
      </c>
      <c r="J10" s="85">
        <v>45718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70</v>
      </c>
      <c r="L19" s="31">
        <f>((C19+D19)/2-(J19+K19)/2)/((J19+K19)/2)*100</f>
        <v>0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185</v>
      </c>
      <c r="K21" s="29">
        <v>190</v>
      </c>
      <c r="L21" s="31">
        <f t="shared" ref="L21:L27" si="1">((C21+D21)/2-(J21+K21)/2)/((J21+K21)/2)*100</f>
        <v>-3.7333333333333338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13.043478260869565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40</v>
      </c>
      <c r="F37" s="29">
        <v>60</v>
      </c>
      <c r="G37" s="29">
        <v>50</v>
      </c>
      <c r="H37" s="29">
        <v>60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110</v>
      </c>
      <c r="K39" s="29">
        <v>240</v>
      </c>
      <c r="L39" s="31">
        <f t="shared" si="5"/>
        <v>-40</v>
      </c>
    </row>
    <row r="40" spans="1:12" ht="21.75">
      <c r="A40" s="69" t="s">
        <v>45</v>
      </c>
      <c r="B40" s="6" t="s">
        <v>18</v>
      </c>
      <c r="C40" s="29">
        <v>190</v>
      </c>
      <c r="D40" s="29">
        <v>220</v>
      </c>
      <c r="E40" s="29">
        <v>180</v>
      </c>
      <c r="F40" s="29">
        <v>220</v>
      </c>
      <c r="G40" s="29">
        <v>170</v>
      </c>
      <c r="H40" s="29">
        <v>200</v>
      </c>
      <c r="I40" s="30">
        <f t="shared" si="4"/>
        <v>10.810810810810811</v>
      </c>
      <c r="J40" s="29">
        <v>220</v>
      </c>
      <c r="K40" s="29">
        <v>250</v>
      </c>
      <c r="L40" s="31">
        <f t="shared" si="5"/>
        <v>-12.76595744680851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250</v>
      </c>
      <c r="L45" s="31">
        <f t="shared" si="5"/>
        <v>11.428571428571429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165</v>
      </c>
      <c r="F58" s="29">
        <v>190</v>
      </c>
      <c r="G58" s="29">
        <v>170</v>
      </c>
      <c r="H58" s="29">
        <v>185</v>
      </c>
      <c r="I58" s="30">
        <f t="shared" si="6"/>
        <v>0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46083</v>
      </c>
      <c r="D69" s="84"/>
      <c r="E69" s="85">
        <v>46076</v>
      </c>
      <c r="F69" s="84"/>
      <c r="G69" s="85">
        <v>46055</v>
      </c>
      <c r="H69" s="84"/>
      <c r="I69" s="26" t="s">
        <v>12</v>
      </c>
      <c r="J69" s="85">
        <v>45718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118</v>
      </c>
      <c r="K71" s="29">
        <v>125</v>
      </c>
      <c r="L71" s="31">
        <f t="shared" ref="L71:L81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100</v>
      </c>
      <c r="D75" s="29">
        <v>140</v>
      </c>
      <c r="E75" s="29">
        <v>80</v>
      </c>
      <c r="F75" s="29">
        <v>160</v>
      </c>
      <c r="G75" s="37">
        <v>100</v>
      </c>
      <c r="H75" s="37">
        <v>120</v>
      </c>
      <c r="I75" s="30">
        <f t="shared" si="9"/>
        <v>9.0909090909090917</v>
      </c>
      <c r="J75" s="29">
        <v>40</v>
      </c>
      <c r="K75" s="29">
        <v>90</v>
      </c>
      <c r="L75" s="31">
        <f t="shared" si="8"/>
        <v>84.615384615384613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60</v>
      </c>
      <c r="F76" s="29">
        <v>110</v>
      </c>
      <c r="G76" s="29">
        <v>40</v>
      </c>
      <c r="H76" s="29">
        <v>80</v>
      </c>
      <c r="I76" s="30">
        <f t="shared" si="9"/>
        <v>33.333333333333329</v>
      </c>
      <c r="J76" s="29">
        <v>80</v>
      </c>
      <c r="K76" s="29">
        <v>130</v>
      </c>
      <c r="L76" s="31">
        <f t="shared" si="8"/>
        <v>-23.809523809523807</v>
      </c>
    </row>
    <row r="77" spans="1:12" ht="21.75">
      <c r="A77" s="69" t="s">
        <v>118</v>
      </c>
      <c r="B77" s="66" t="s">
        <v>18</v>
      </c>
      <c r="C77" s="29">
        <v>50</v>
      </c>
      <c r="D77" s="29">
        <v>100</v>
      </c>
      <c r="E77" s="29">
        <v>60</v>
      </c>
      <c r="F77" s="29">
        <v>100</v>
      </c>
      <c r="G77" s="29">
        <v>50</v>
      </c>
      <c r="H77" s="37">
        <v>120</v>
      </c>
      <c r="I77" s="30">
        <f t="shared" si="9"/>
        <v>-11.76470588235294</v>
      </c>
      <c r="J77" s="29">
        <v>50</v>
      </c>
      <c r="K77" s="29">
        <v>140</v>
      </c>
      <c r="L77" s="31">
        <f t="shared" si="8"/>
        <v>-21.052631578947366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135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133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134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88" t="s">
        <v>6</v>
      </c>
      <c r="D88" s="89"/>
      <c r="E88" s="90" t="s">
        <v>82</v>
      </c>
      <c r="F88" s="91"/>
      <c r="G88" s="77" t="s">
        <v>12</v>
      </c>
      <c r="H88" s="88" t="s">
        <v>83</v>
      </c>
      <c r="I88" s="92"/>
      <c r="J88" s="89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131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131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132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" si="11">((C92+D92)/2-(E92+F92)/2)/((E92+F92)/2)*100</f>
        <v>-2.6315789473684208</v>
      </c>
      <c r="H92" s="5" t="s">
        <v>131</v>
      </c>
      <c r="I92" s="6"/>
      <c r="J92" s="6"/>
      <c r="K92" s="50"/>
      <c r="L92" s="17"/>
    </row>
    <row r="93" spans="1:12" ht="24.75">
      <c r="A93" s="69" t="s">
        <v>45</v>
      </c>
      <c r="B93" s="6" t="s">
        <v>18</v>
      </c>
      <c r="C93" s="29">
        <v>190</v>
      </c>
      <c r="D93" s="29">
        <v>220</v>
      </c>
      <c r="E93" s="29">
        <v>180</v>
      </c>
      <c r="F93" s="29">
        <v>220</v>
      </c>
      <c r="G93" s="7">
        <f>((C93+D93)/2-(E93+F93)/2)/((E93+F93)/2)*100</f>
        <v>2.5</v>
      </c>
      <c r="H93" s="5" t="s">
        <v>126</v>
      </c>
      <c r="I93" s="6"/>
      <c r="J93" s="6"/>
      <c r="K93" s="40"/>
      <c r="L93" s="11"/>
    </row>
    <row r="94" spans="1:12" ht="24.75">
      <c r="A94" s="69" t="s">
        <v>47</v>
      </c>
      <c r="B94" s="6" t="s">
        <v>18</v>
      </c>
      <c r="C94" s="29">
        <v>320</v>
      </c>
      <c r="D94" s="29">
        <v>350</v>
      </c>
      <c r="E94" s="29">
        <v>300</v>
      </c>
      <c r="F94" s="29">
        <v>350</v>
      </c>
      <c r="G94" s="7">
        <f>((C94+D94)/2-(E94+F94)/2)/((E94+F94)/2)*100</f>
        <v>3.0769230769230771</v>
      </c>
      <c r="H94" s="5" t="s">
        <v>122</v>
      </c>
      <c r="I94" s="6"/>
      <c r="J94" s="6"/>
      <c r="K94" s="40"/>
      <c r="L94" s="11"/>
    </row>
    <row r="95" spans="1:12" ht="24.75">
      <c r="A95" s="69" t="s">
        <v>117</v>
      </c>
      <c r="B95" s="66" t="s">
        <v>18</v>
      </c>
      <c r="C95" s="29">
        <v>60</v>
      </c>
      <c r="D95" s="29">
        <v>100</v>
      </c>
      <c r="E95" s="29">
        <v>60</v>
      </c>
      <c r="F95" s="29">
        <v>110</v>
      </c>
      <c r="G95" s="7">
        <f>((C95+D95)/2-(E95+F95)/2)/((E95+F95)/2)*100</f>
        <v>-5.8823529411764701</v>
      </c>
      <c r="H95" s="5" t="s">
        <v>125</v>
      </c>
      <c r="I95" s="6"/>
      <c r="J95" s="6"/>
      <c r="K95" s="40"/>
      <c r="L95" s="11"/>
    </row>
    <row r="96" spans="1:12" ht="24.75">
      <c r="A96" s="69" t="s">
        <v>118</v>
      </c>
      <c r="B96" s="66" t="s">
        <v>18</v>
      </c>
      <c r="C96" s="29">
        <v>50</v>
      </c>
      <c r="D96" s="29">
        <v>100</v>
      </c>
      <c r="E96" s="29">
        <v>60</v>
      </c>
      <c r="F96" s="29">
        <v>100</v>
      </c>
      <c r="G96" s="7">
        <f>((C96+D96)/2-(E96+F96)/2)/((E96+F96)/2)*100</f>
        <v>-6.25</v>
      </c>
      <c r="H96" s="5" t="s">
        <v>131</v>
      </c>
      <c r="I96" s="6"/>
      <c r="J96" s="6"/>
      <c r="K96" s="40"/>
      <c r="L96" s="11"/>
    </row>
    <row r="97" spans="1:12" ht="24.75">
      <c r="A97" s="72"/>
      <c r="B97" s="3"/>
      <c r="C97" s="78"/>
      <c r="D97" s="78"/>
      <c r="E97" s="78"/>
      <c r="F97" s="78"/>
      <c r="G97" s="38"/>
      <c r="H97" s="39"/>
      <c r="I97" s="40"/>
      <c r="J97" s="40"/>
      <c r="K97" s="40"/>
      <c r="L97" s="11"/>
    </row>
    <row r="98" spans="1:12" ht="24.75">
      <c r="A98" s="1"/>
      <c r="C98" s="14"/>
      <c r="D98" s="14"/>
      <c r="E98" s="13"/>
      <c r="F98" s="14"/>
      <c r="G98" s="38"/>
      <c r="H98" s="39"/>
      <c r="I98" s="40"/>
      <c r="J98" s="40"/>
      <c r="K98" s="40"/>
      <c r="L98" s="11"/>
    </row>
    <row r="99" spans="1:12" ht="24.75">
      <c r="A99" s="41"/>
      <c r="B99" s="42" t="s">
        <v>123</v>
      </c>
      <c r="C99" s="10"/>
      <c r="E99" s="41"/>
      <c r="F99" s="42" t="s">
        <v>111</v>
      </c>
      <c r="G99" s="10"/>
      <c r="I99" s="12"/>
      <c r="J99" s="13" t="s">
        <v>113</v>
      </c>
      <c r="K99" s="10"/>
    </row>
    <row r="100" spans="1:12" ht="24.75">
      <c r="A100" s="43"/>
      <c r="B100" s="42" t="s">
        <v>124</v>
      </c>
      <c r="C100" s="13"/>
      <c r="E100" s="43"/>
      <c r="F100" s="42" t="s">
        <v>112</v>
      </c>
      <c r="G100" s="13"/>
      <c r="I100" s="76"/>
      <c r="J100" s="13" t="s">
        <v>114</v>
      </c>
    </row>
    <row r="101" spans="1:12" ht="24.75">
      <c r="A101" s="1"/>
      <c r="B101" s="13"/>
      <c r="C101" s="14"/>
      <c r="D101" s="13"/>
      <c r="E101" s="14"/>
      <c r="F101" s="44"/>
      <c r="G101" s="46"/>
      <c r="H101" s="46"/>
      <c r="I101" s="45"/>
      <c r="J101" s="10"/>
      <c r="K101" s="10"/>
      <c r="L101" s="2"/>
    </row>
    <row r="102" spans="1:12" ht="19.5">
      <c r="A102" s="55" t="s">
        <v>90</v>
      </c>
      <c r="B102" s="53"/>
      <c r="C102" s="51"/>
      <c r="D102" s="53"/>
      <c r="E102" s="51"/>
      <c r="F102" s="51"/>
      <c r="G102" s="51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1"/>
      <c r="D103" s="53"/>
      <c r="E103" s="51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120</v>
      </c>
      <c r="B104" s="53"/>
      <c r="C104" s="53"/>
      <c r="D104" s="53"/>
      <c r="E104" s="53"/>
      <c r="F104" s="51"/>
      <c r="G104" s="53"/>
      <c r="H104" s="52"/>
      <c r="I104" s="57"/>
      <c r="J104" s="2"/>
      <c r="K104" s="2"/>
      <c r="L104" s="2"/>
    </row>
    <row r="105" spans="1:12" ht="19.5">
      <c r="A105" s="54" t="s">
        <v>84</v>
      </c>
      <c r="B105" s="53"/>
      <c r="C105" s="53"/>
      <c r="D105" s="53"/>
      <c r="E105" s="53"/>
      <c r="F105" s="52"/>
      <c r="G105" s="52"/>
      <c r="H105" s="52"/>
      <c r="I105" s="57"/>
      <c r="J105" s="2"/>
      <c r="K105" s="2"/>
      <c r="L105" s="2"/>
    </row>
    <row r="106" spans="1:12" ht="19.5">
      <c r="A106" s="54" t="s">
        <v>121</v>
      </c>
      <c r="B106" s="53"/>
      <c r="C106" s="53"/>
      <c r="D106" s="53"/>
      <c r="E106" s="53"/>
      <c r="F106" s="53"/>
      <c r="G106" s="52"/>
      <c r="H106" s="52"/>
      <c r="I106" s="57"/>
      <c r="J106" s="2"/>
      <c r="K106" s="2"/>
      <c r="L106" s="2"/>
    </row>
    <row r="107" spans="1:12" ht="19.5">
      <c r="A107" s="54" t="s">
        <v>93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85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95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119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96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97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127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/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5" t="s">
        <v>86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87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107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106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105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2026-03-01T05:59:10Z</cp:lastPrinted>
  <dcterms:created xsi:type="dcterms:W3CDTF">2021-06-05T07:13:00Z</dcterms:created>
  <dcterms:modified xsi:type="dcterms:W3CDTF">2026-03-02T06:43:08Z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