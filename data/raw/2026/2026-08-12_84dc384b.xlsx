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C5828600-CA3E-46D1-B681-3D045FE633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G93" i="4" l="1"/>
  <c r="G92" i="4"/>
  <c r="G95" i="4"/>
  <c r="G88" i="4"/>
  <c r="G90" i="4"/>
  <c r="L51" i="4"/>
  <c r="L73" i="4"/>
  <c r="G91" i="4"/>
  <c r="L44" i="4"/>
  <c r="L20" i="4"/>
  <c r="I20" i="4"/>
  <c r="I24" i="4"/>
  <c r="L26" i="4"/>
  <c r="I26" i="4"/>
  <c r="L17" i="4"/>
  <c r="L12" i="4"/>
  <c r="L10" i="4"/>
  <c r="L9" i="4"/>
  <c r="L11" i="4"/>
  <c r="I10" i="4"/>
  <c r="I11" i="4"/>
  <c r="L63" i="4"/>
  <c r="L62" i="4"/>
  <c r="L61" i="4"/>
  <c r="L60" i="4"/>
  <c r="I63" i="4"/>
  <c r="I62" i="4"/>
  <c r="I61" i="4"/>
  <c r="I60" i="4"/>
  <c r="I58" i="4"/>
  <c r="G96" i="4"/>
  <c r="G94" i="4"/>
  <c r="G97" i="4"/>
  <c r="G89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I22" i="4"/>
  <c r="L21" i="4"/>
  <c r="I21" i="4"/>
  <c r="L18" i="4"/>
  <c r="I18" i="4"/>
  <c r="I17" i="4"/>
  <c r="L16" i="4"/>
  <c r="I16" i="4"/>
  <c r="L15" i="4"/>
  <c r="I15" i="4"/>
  <c r="L13" i="4"/>
  <c r="I13" i="4"/>
  <c r="I12" i="4"/>
</calcChain>
</file>

<file path=xl/sharedStrings.xml><?xml version="1.0" encoding="utf-8"?>
<sst xmlns="http://schemas.openxmlformats.org/spreadsheetml/2006/main" count="249" uniqueCount="135">
  <si>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</si>
  <si>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</si>
  <si>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</si>
  <si>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</si>
  <si>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</si>
  <si>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</si>
  <si>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</si>
  <si>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</si>
  <si>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</si>
  <si>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</si>
  <si>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</si>
  <si>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</si>
  <si>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</si>
  <si>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</si>
  <si>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</si>
  <si>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</si>
  <si>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</si>
  <si>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</si>
  <si>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</si>
  <si>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</si>
  <si>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</si>
  <si>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</si>
  <si>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</si>
  <si>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</si>
  <si>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</si>
  <si>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</si>
  <si>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</si>
  <si>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</si>
  <si>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</si>
  <si>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</si>
  <si>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</si>
  <si>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</si>
  <si>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</si>
  <si>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</si>
  <si>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</si>
  <si>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</si>
  <si>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</si>
  <si>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</si>
  <si>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</si>
  <si>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</si>
  <si>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</si>
  <si>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</si>
  <si>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</si>
  <si>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</si>
  <si>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</si>
  <si>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</si>
  <si>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</si>
  <si>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</si>
  <si>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</si>
  <si>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</si>
  <si>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</si>
  <si>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</si>
  <si>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</si>
  <si>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</si>
  <si>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</si>
  <si>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</si>
  <si>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</si>
  <si>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</si>
  <si>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</si>
  <si>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</si>
  <si>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</si>
  <si>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</si>
  <si>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</si>
  <si>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</si>
  <si>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</si>
  <si>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</si>
  <si>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</si>
  <si>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</si>
  <si>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</si>
  <si>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</si>
  <si>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</si>
  <si>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</si>
  <si>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</si>
  <si>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</si>
  <si>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</si>
  <si>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</si>
  <si>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</si>
  <si>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</si>
  <si>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</si>
  <si>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</si>
  <si>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</si>
  <si>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</si>
  <si>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</si>
  <si>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</si>
  <si>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</si>
  <si>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</si>
  <si>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</si>
  <si>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</si>
  <si>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</si>
  <si>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</si>
  <si>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</si>
  <si>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</si>
  <si>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</si>
  <si>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</si>
  <si>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</si>
  <si>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</si>
  <si>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</si>
  <si>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</si>
  <si>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</si>
  <si>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</si>
  <si>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</si>
  <si>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</si>
  <si>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</si>
  <si>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</si>
  <si>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</si>
  <si>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</si>
  <si>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</si>
  <si>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</si>
  <si>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</si>
  <si>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</si>
  <si>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</si>
  <si>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</si>
  <si>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</si>
  <si>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</si>
  <si>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</si>
  <si>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</si>
  <si>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</si>
  <si>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</si>
  <si>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</si>
  <si>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</si>
  <si>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</si>
  <si>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</si>
  <si>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হ্রাস পেয়েছে।</t>
  </si>
  <si>
    <t>০৭-০৭-২০২৬ তারিখে মূল্য বৃদ্ধি পেয়েছে।</t>
  </si>
  <si>
    <t>(মোঃ সোহেল রানা)</t>
  </si>
  <si>
    <t>উপ পরিচালক (বাজার তথ্য) (প্রতিকল্প)</t>
  </si>
  <si>
    <t>১০-০৮-২০২৬ তারিখে মূল্য হ্রাস পেয়েছে।</t>
  </si>
  <si>
    <t>১১-০৮-২০২৬ তারিখে মূল্য হ্রাস পেয়েছে।</t>
  </si>
  <si>
    <t xml:space="preserve">নং-২৬.০৫.০০০০.০১৭.৩১.০১.২৬-৬৩০                                                                                                           তারিখঃ ১২-০৮-২০২৬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</si>
  <si>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১৯৮</t>
  </si>
  <si>
    <t xml:space="preserve">বুধবার ১২ আগষ্ট ২০২৬ খ্রিঃ, ২৮ শ্রাবণ ১৪৩৩ বাংলা, ২৮ সফর ১৪৪৮ হিজরি </t>
  </si>
  <si>
    <t>১২-০৭-২০২৬ তারিখে মূল্য বৃদ্ধি পেয়েছে।</t>
  </si>
  <si>
    <t>১২-০৮-২০২৬ তারিখে মূল্য হ্রাস পেয়েছে।</t>
  </si>
  <si>
    <t>(১)    চাল সুগন্ধী (পোলাও) (খোলা), ময়দা (খোলা), তেজপাতা, মুরগী ব্রয়লার  এর মূল্য বৃদ্ধি পেয়েছে।</t>
  </si>
  <si>
    <t>(২)    পেঁয়াজ (দেশী), সয়াবিন লুজ, রসুন (আম), আদা (দেশী, আম),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</si>
</sst>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zoomScaleNormal="100" workbookViewId="0">
      <selection activeCell="B84" sqref="B84:L84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73" t="s">
        <v>116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8">
      <c r="A2" s="74" t="s">
        <v>117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>
      <c r="A3" s="75" t="s">
        <v>129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</row>
    <row r="4" spans="1:18">
      <c r="A4" s="76" t="s">
        <v>130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P4" s="52"/>
      <c r="Q4" s="52"/>
      <c r="R4" s="52"/>
    </row>
    <row r="5" spans="1:18">
      <c r="A5" s="79" t="s">
        <v>128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P5" s="53"/>
      <c r="Q5" s="54"/>
    </row>
    <row r="6" spans="1:18" s="28" customFormat="1">
      <c r="A6" s="80" t="s">
        <v>1</v>
      </c>
      <c r="B6" s="80" t="s">
        <v>2</v>
      </c>
      <c r="C6" s="77" t="s">
        <v>3</v>
      </c>
      <c r="D6" s="78"/>
      <c r="E6" s="77" t="s">
        <v>4</v>
      </c>
      <c r="F6" s="78"/>
      <c r="G6" s="77" t="s">
        <v>5</v>
      </c>
      <c r="H6" s="78"/>
      <c r="I6" s="25" t="s">
        <v>6</v>
      </c>
      <c r="J6" s="77" t="s">
        <v>7</v>
      </c>
      <c r="K6" s="78"/>
      <c r="L6" s="27" t="s">
        <v>8</v>
      </c>
      <c r="M6" s="50"/>
    </row>
    <row r="7" spans="1:18" s="28" customFormat="1">
      <c r="A7" s="81"/>
      <c r="B7" s="81"/>
      <c r="C7" s="84">
        <v>46246</v>
      </c>
      <c r="D7" s="85"/>
      <c r="E7" s="84">
        <v>46238</v>
      </c>
      <c r="F7" s="85"/>
      <c r="G7" s="84">
        <v>46215</v>
      </c>
      <c r="H7" s="85"/>
      <c r="I7" s="25" t="s">
        <v>9</v>
      </c>
      <c r="J7" s="82">
        <v>45881</v>
      </c>
      <c r="K7" s="83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121</v>
      </c>
      <c r="B9" s="45" t="s">
        <v>14</v>
      </c>
      <c r="C9" s="38">
        <v>170</v>
      </c>
      <c r="D9" s="38">
        <v>210</v>
      </c>
      <c r="E9" s="38">
        <v>160</v>
      </c>
      <c r="F9" s="38">
        <v>200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5.5555555555555554</v>
      </c>
    </row>
    <row r="10" spans="1:18" s="28" customFormat="1">
      <c r="A10" s="44" t="s">
        <v>121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72</v>
      </c>
      <c r="L12" s="48">
        <f>((C12+D12)/2-(J12+K12)/2)/((J12+K12)/2)*100</f>
        <v>-9.0909090909090917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42</v>
      </c>
      <c r="K15" s="56">
        <v>45</v>
      </c>
      <c r="L15" s="48">
        <f>((C15+D15)/2-(J15+K15)/2)/((J15+K15)/2)*100</f>
        <v>9.1954022988505741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52</v>
      </c>
      <c r="K16" s="56">
        <v>60</v>
      </c>
      <c r="L16" s="48">
        <f>((C16+D16)/2-(J16+K16)/2)/((J16+K16)/2)*100</f>
        <v>11.607142857142858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55</v>
      </c>
      <c r="K17" s="56">
        <v>65</v>
      </c>
      <c r="L17" s="48">
        <f>((C17+D17)/2-(J17+K17)/2)/((J17+K17)/2)*100</f>
        <v>4.1666666666666661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75</v>
      </c>
      <c r="L18" s="48">
        <f>((C18+D18)/2-(J18+K18)/2)/((J18+K18)/2)*100</f>
        <v>0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195</v>
      </c>
      <c r="G20" s="40">
        <v>188</v>
      </c>
      <c r="H20" s="38">
        <v>195</v>
      </c>
      <c r="I20" s="47">
        <f>((C20+D20)/2-(G20+H20)/2)/((G20+H20)/2)*100</f>
        <v>-1.3054830287206265</v>
      </c>
      <c r="J20" s="56">
        <v>162</v>
      </c>
      <c r="K20" s="56">
        <v>172</v>
      </c>
      <c r="L20" s="48">
        <f>((C20+D20)/2-(J20+K20)/2)/((J20+K20)/2)*100</f>
        <v>13.17365269461078</v>
      </c>
      <c r="M20" s="50">
        <f t="shared" si="0"/>
        <v>-0.78740157480314954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ref="I21:I25" si="1">((C21+D21)/2-(G21+H21)/2)/((G21+H21)/2)*100</f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370</v>
      </c>
      <c r="K22" s="56">
        <v>378</v>
      </c>
      <c r="L22" s="48">
        <f t="shared" si="2"/>
        <v>6.4171122994652414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>((C24+D24)/2-(G24+H24)/2)/((G24+H24)/2)*100</f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>((C26+D26)/2-(G26+H26)/2)/((G26+H26)/2)*100</f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50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37.5</v>
      </c>
      <c r="J36" s="56">
        <v>75</v>
      </c>
      <c r="K36" s="56">
        <v>85</v>
      </c>
      <c r="L36" s="48">
        <f t="shared" ref="L36:L50" si="6">((C36+D36)/2-(J36+K36)/2)/((J36+K36)/2)*100</f>
        <v>-31.25</v>
      </c>
      <c r="M36" s="50">
        <f>((C36+D36)/2-(E36+F36)/2)/((E36+F36)/2)*100</f>
        <v>-4.3478260869565215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200</v>
      </c>
      <c r="E39" s="40">
        <v>170</v>
      </c>
      <c r="F39" s="38">
        <v>220</v>
      </c>
      <c r="G39" s="40">
        <v>120</v>
      </c>
      <c r="H39" s="38">
        <v>200</v>
      </c>
      <c r="I39" s="47">
        <f t="shared" si="5"/>
        <v>15.625</v>
      </c>
      <c r="J39" s="56">
        <v>160</v>
      </c>
      <c r="K39" s="56">
        <v>200</v>
      </c>
      <c r="L39" s="48">
        <f t="shared" si="6"/>
        <v>2.7777777777777777</v>
      </c>
      <c r="M39" s="50">
        <f t="shared" si="0"/>
        <v>-5.1282051282051277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-3.4482758620689653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170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6.666666666666667</v>
      </c>
      <c r="J45" s="56">
        <v>180</v>
      </c>
      <c r="K45" s="56">
        <v>280</v>
      </c>
      <c r="L45" s="48">
        <f t="shared" si="6"/>
        <v>-30.434782608695656</v>
      </c>
      <c r="M45" s="50">
        <f t="shared" si="0"/>
        <v>-11.111111111111111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0</v>
      </c>
    </row>
    <row r="51" spans="1:13" s="49" customFormat="1">
      <c r="A51" s="44" t="s">
        <v>53</v>
      </c>
      <c r="B51" s="45" t="s">
        <v>14</v>
      </c>
      <c r="C51" s="38">
        <v>190</v>
      </c>
      <c r="D51" s="38">
        <v>240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7.5</v>
      </c>
      <c r="J51" s="56">
        <v>180</v>
      </c>
      <c r="K51" s="56">
        <v>220</v>
      </c>
      <c r="L51" s="48">
        <f>((C51+D51)/2-(J51+K51)/2)/((J51+K51)/2)*100</f>
        <v>7.5</v>
      </c>
      <c r="M51" s="50">
        <f t="shared" si="0"/>
        <v>7.5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7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2.6315789473684208</v>
      </c>
      <c r="J57" s="56">
        <v>160</v>
      </c>
      <c r="K57" s="56">
        <v>175</v>
      </c>
      <c r="L57" s="48">
        <f t="shared" si="8"/>
        <v>16.417910447761194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>((C58+D58)/2-(G58+H58)/2)/((G58+H58)/2)*100</f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ref="I60:I63" si="9">((C60+D60)/2-(G60+H60)/2)/((G60+H60)/2)*100</f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9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9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9"/>
        <v>8.6705202312138727</v>
      </c>
      <c r="J63" s="56">
        <v>830</v>
      </c>
      <c r="K63" s="56">
        <v>900</v>
      </c>
      <c r="L63" s="48">
        <f>((C63+D63)/2-(J63+K63)/2)/((J63+K63)/2)*100</f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80" t="s">
        <v>1</v>
      </c>
      <c r="B67" s="80" t="s">
        <v>2</v>
      </c>
      <c r="C67" s="77" t="s">
        <v>3</v>
      </c>
      <c r="D67" s="78"/>
      <c r="E67" s="77" t="s">
        <v>4</v>
      </c>
      <c r="F67" s="78"/>
      <c r="G67" s="77" t="s">
        <v>5</v>
      </c>
      <c r="H67" s="78"/>
      <c r="I67" s="25" t="s">
        <v>6</v>
      </c>
      <c r="J67" s="77" t="s">
        <v>7</v>
      </c>
      <c r="K67" s="78"/>
      <c r="L67" s="25" t="s">
        <v>8</v>
      </c>
    </row>
    <row r="68" spans="1:13" ht="18" customHeight="1">
      <c r="A68" s="81"/>
      <c r="B68" s="81"/>
      <c r="C68" s="84">
        <v>46246</v>
      </c>
      <c r="D68" s="85"/>
      <c r="E68" s="84">
        <v>46238</v>
      </c>
      <c r="F68" s="85"/>
      <c r="G68" s="84">
        <v>46215</v>
      </c>
      <c r="H68" s="85"/>
      <c r="I68" s="25" t="s">
        <v>9</v>
      </c>
      <c r="J68" s="82">
        <v>45881</v>
      </c>
      <c r="K68" s="83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10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9.5">
      <c r="A73" s="44" t="s">
        <v>102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1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2">((C73+D73)/2-(E73+F73)/2)/((E73+F73)/2)*100</f>
        <v>0</v>
      </c>
    </row>
    <row r="74" spans="1:13" s="50" customFormat="1" ht="19.5">
      <c r="A74" s="44" t="s">
        <v>103</v>
      </c>
      <c r="B74" s="51" t="s">
        <v>14</v>
      </c>
      <c r="C74" s="38">
        <v>120</v>
      </c>
      <c r="D74" s="38">
        <v>180</v>
      </c>
      <c r="E74" s="38">
        <v>280</v>
      </c>
      <c r="F74" s="38">
        <v>320</v>
      </c>
      <c r="G74" s="38">
        <v>80</v>
      </c>
      <c r="H74" s="38">
        <v>150</v>
      </c>
      <c r="I74" s="47">
        <f t="shared" si="11"/>
        <v>30.434782608695656</v>
      </c>
      <c r="J74" s="46">
        <v>0</v>
      </c>
      <c r="K74" s="46">
        <v>0</v>
      </c>
      <c r="L74" s="48" t="e">
        <f t="shared" si="10"/>
        <v>#DIV/0!</v>
      </c>
      <c r="M74" s="50">
        <f t="shared" si="12"/>
        <v>-50</v>
      </c>
    </row>
    <row r="75" spans="1:13" s="50" customFormat="1">
      <c r="A75" s="44" t="s">
        <v>104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1"/>
        <v>46.666666666666664</v>
      </c>
      <c r="J75" s="67">
        <v>40</v>
      </c>
      <c r="K75" s="67">
        <v>120</v>
      </c>
      <c r="L75" s="48">
        <f t="shared" si="10"/>
        <v>37.5</v>
      </c>
      <c r="M75" s="50">
        <f t="shared" si="12"/>
        <v>0</v>
      </c>
    </row>
    <row r="76" spans="1:13" s="50" customFormat="1">
      <c r="A76" s="44" t="s">
        <v>105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1"/>
        <v>28.571428571428569</v>
      </c>
      <c r="J76" s="67">
        <v>50</v>
      </c>
      <c r="K76" s="67">
        <v>100</v>
      </c>
      <c r="L76" s="48">
        <f t="shared" si="10"/>
        <v>20</v>
      </c>
      <c r="M76" s="50">
        <f t="shared" si="12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1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2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1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2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11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2"/>
        <v>0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11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2"/>
        <v>0</v>
      </c>
    </row>
    <row r="81" spans="1:12" ht="42" customHeight="1">
      <c r="A81" s="71" t="s">
        <v>119</v>
      </c>
      <c r="B81" s="72"/>
      <c r="C81" s="70" t="s">
        <v>120</v>
      </c>
      <c r="D81" s="70"/>
      <c r="E81" s="70"/>
      <c r="F81" s="70"/>
      <c r="G81" s="70"/>
      <c r="H81" s="70"/>
      <c r="I81" s="70"/>
      <c r="J81" s="70"/>
      <c r="K81" s="70"/>
      <c r="L81" s="70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86" t="s">
        <v>133</v>
      </c>
      <c r="C83" s="86"/>
      <c r="D83" s="86"/>
      <c r="E83" s="86"/>
      <c r="F83" s="86"/>
      <c r="G83" s="86"/>
      <c r="H83" s="86"/>
      <c r="I83" s="86"/>
      <c r="J83" s="86"/>
      <c r="K83" s="86"/>
      <c r="L83" s="86"/>
    </row>
    <row r="84" spans="1:12">
      <c r="A84" s="7"/>
      <c r="B84" s="86" t="s">
        <v>134</v>
      </c>
      <c r="C84" s="86"/>
      <c r="D84" s="86"/>
      <c r="E84" s="86"/>
      <c r="F84" s="86"/>
      <c r="G84" s="86"/>
      <c r="H84" s="86"/>
      <c r="I84" s="86"/>
      <c r="J84" s="86"/>
      <c r="K84" s="86"/>
      <c r="L84" s="86"/>
    </row>
    <row r="85" spans="1:12">
      <c r="A85" s="7"/>
      <c r="B85" s="7" t="s">
        <v>118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7" t="s">
        <v>3</v>
      </c>
      <c r="D87" s="78"/>
      <c r="E87" s="88" t="s">
        <v>78</v>
      </c>
      <c r="F87" s="89"/>
      <c r="G87" s="26" t="s">
        <v>9</v>
      </c>
      <c r="H87" s="77" t="s">
        <v>79</v>
      </c>
      <c r="I87" s="87"/>
      <c r="J87" s="78"/>
      <c r="K87" s="10"/>
      <c r="L87" s="2"/>
    </row>
    <row r="88" spans="1:12">
      <c r="A88" s="44" t="s">
        <v>121</v>
      </c>
      <c r="B88" s="45" t="s">
        <v>14</v>
      </c>
      <c r="C88" s="38">
        <v>170</v>
      </c>
      <c r="D88" s="38">
        <v>210</v>
      </c>
      <c r="E88" s="38">
        <v>160</v>
      </c>
      <c r="F88" s="38">
        <v>200</v>
      </c>
      <c r="G88" s="31">
        <f t="shared" ref="G88:G97" si="13">((C88+D88)/2-(E88+F88)/2)/((E88+F88)/2)*100</f>
        <v>5.5555555555555554</v>
      </c>
      <c r="H88" s="77" t="s">
        <v>131</v>
      </c>
      <c r="I88" s="87"/>
      <c r="J88" s="78"/>
      <c r="K88" s="10"/>
      <c r="L88" s="2"/>
    </row>
    <row r="89" spans="1:12">
      <c r="A89" s="44" t="s">
        <v>20</v>
      </c>
      <c r="B89" s="45" t="s">
        <v>14</v>
      </c>
      <c r="C89" s="38">
        <v>60</v>
      </c>
      <c r="D89" s="38">
        <v>65</v>
      </c>
      <c r="E89" s="38">
        <v>60</v>
      </c>
      <c r="F89" s="38">
        <v>60</v>
      </c>
      <c r="G89" s="31">
        <f t="shared" si="13"/>
        <v>4.1666666666666661</v>
      </c>
      <c r="H89" s="77" t="s">
        <v>123</v>
      </c>
      <c r="I89" s="87"/>
      <c r="J89" s="78"/>
      <c r="K89" s="10"/>
      <c r="L89" s="2"/>
    </row>
    <row r="90" spans="1:12">
      <c r="A90" s="44" t="s">
        <v>23</v>
      </c>
      <c r="B90" s="45" t="s">
        <v>24</v>
      </c>
      <c r="C90" s="40">
        <v>186</v>
      </c>
      <c r="D90" s="38">
        <v>192</v>
      </c>
      <c r="E90" s="40">
        <v>186</v>
      </c>
      <c r="F90" s="38">
        <v>195</v>
      </c>
      <c r="G90" s="31">
        <f t="shared" si="13"/>
        <v>-0.78740157480314954</v>
      </c>
      <c r="H90" s="77" t="s">
        <v>127</v>
      </c>
      <c r="I90" s="87"/>
      <c r="J90" s="78"/>
      <c r="K90" s="10"/>
      <c r="L90" s="2"/>
    </row>
    <row r="91" spans="1:12">
      <c r="A91" s="44" t="s">
        <v>101</v>
      </c>
      <c r="B91" s="45" t="s">
        <v>14</v>
      </c>
      <c r="C91" s="40">
        <v>50</v>
      </c>
      <c r="D91" s="40">
        <v>60</v>
      </c>
      <c r="E91" s="40">
        <v>55</v>
      </c>
      <c r="F91" s="40">
        <v>60</v>
      </c>
      <c r="G91" s="31">
        <f t="shared" si="13"/>
        <v>-4.3478260869565215</v>
      </c>
      <c r="H91" s="77" t="s">
        <v>126</v>
      </c>
      <c r="I91" s="87"/>
      <c r="J91" s="78"/>
      <c r="K91" s="10"/>
      <c r="L91" s="2"/>
    </row>
    <row r="92" spans="1:12">
      <c r="A92" s="44" t="s">
        <v>41</v>
      </c>
      <c r="B92" s="45" t="s">
        <v>14</v>
      </c>
      <c r="C92" s="40">
        <v>170</v>
      </c>
      <c r="D92" s="38">
        <v>200</v>
      </c>
      <c r="E92" s="40">
        <v>170</v>
      </c>
      <c r="F92" s="38">
        <v>220</v>
      </c>
      <c r="G92" s="31">
        <f t="shared" si="13"/>
        <v>-5.1282051282051277</v>
      </c>
      <c r="H92" s="77" t="s">
        <v>132</v>
      </c>
      <c r="I92" s="87"/>
      <c r="J92" s="78"/>
      <c r="K92" s="10"/>
      <c r="L92" s="2"/>
    </row>
    <row r="93" spans="1:12">
      <c r="A93" s="44" t="s">
        <v>46</v>
      </c>
      <c r="B93" s="45" t="s">
        <v>14</v>
      </c>
      <c r="C93" s="38">
        <v>130</v>
      </c>
      <c r="D93" s="38">
        <v>150</v>
      </c>
      <c r="E93" s="38">
        <v>130</v>
      </c>
      <c r="F93" s="38">
        <v>160</v>
      </c>
      <c r="G93" s="31">
        <f t="shared" si="13"/>
        <v>-3.4482758620689653</v>
      </c>
      <c r="H93" s="77" t="s">
        <v>132</v>
      </c>
      <c r="I93" s="87"/>
      <c r="J93" s="78"/>
      <c r="K93" s="10"/>
      <c r="L93" s="2"/>
    </row>
    <row r="94" spans="1:12">
      <c r="A94" s="44" t="s">
        <v>47</v>
      </c>
      <c r="B94" s="45" t="s">
        <v>14</v>
      </c>
      <c r="C94" s="38">
        <v>150</v>
      </c>
      <c r="D94" s="38">
        <v>170</v>
      </c>
      <c r="E94" s="38">
        <v>160</v>
      </c>
      <c r="F94" s="38">
        <v>200</v>
      </c>
      <c r="G94" s="31">
        <f t="shared" si="13"/>
        <v>-11.111111111111111</v>
      </c>
      <c r="H94" s="77" t="s">
        <v>122</v>
      </c>
      <c r="I94" s="87"/>
      <c r="J94" s="78"/>
      <c r="K94" s="10"/>
      <c r="L94" s="2"/>
    </row>
    <row r="95" spans="1:12">
      <c r="A95" s="44" t="s">
        <v>53</v>
      </c>
      <c r="B95" s="45" t="s">
        <v>14</v>
      </c>
      <c r="C95" s="38">
        <v>190</v>
      </c>
      <c r="D95" s="38">
        <v>240</v>
      </c>
      <c r="E95" s="38">
        <v>180</v>
      </c>
      <c r="F95" s="38">
        <v>220</v>
      </c>
      <c r="G95" s="31">
        <f t="shared" si="13"/>
        <v>7.5</v>
      </c>
      <c r="H95" s="77" t="s">
        <v>131</v>
      </c>
      <c r="I95" s="87"/>
      <c r="J95" s="78"/>
      <c r="K95" s="10"/>
      <c r="L95" s="2"/>
    </row>
    <row r="96" spans="1:12">
      <c r="A96" s="44" t="s">
        <v>57</v>
      </c>
      <c r="B96" s="45" t="s">
        <v>14</v>
      </c>
      <c r="C96" s="38">
        <v>190</v>
      </c>
      <c r="D96" s="38">
        <v>200</v>
      </c>
      <c r="E96" s="38">
        <v>180</v>
      </c>
      <c r="F96" s="38">
        <v>200</v>
      </c>
      <c r="G96" s="31">
        <f t="shared" si="13"/>
        <v>2.6315789473684208</v>
      </c>
      <c r="H96" s="77" t="s">
        <v>123</v>
      </c>
      <c r="I96" s="87"/>
      <c r="J96" s="78"/>
      <c r="K96" s="10"/>
      <c r="L96" s="2"/>
    </row>
    <row r="97" spans="1:12">
      <c r="A97" s="44" t="s">
        <v>103</v>
      </c>
      <c r="B97" s="51" t="s">
        <v>14</v>
      </c>
      <c r="C97" s="38">
        <v>120</v>
      </c>
      <c r="D97" s="38">
        <v>180</v>
      </c>
      <c r="E97" s="38">
        <v>280</v>
      </c>
      <c r="F97" s="38">
        <v>320</v>
      </c>
      <c r="G97" s="31">
        <f t="shared" si="13"/>
        <v>-50</v>
      </c>
      <c r="H97" s="77" t="s">
        <v>132</v>
      </c>
      <c r="I97" s="87"/>
      <c r="J97" s="78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8"/>
      <c r="C99" s="64"/>
      <c r="D99" s="64"/>
      <c r="E99" s="64"/>
      <c r="F99" s="64"/>
      <c r="G99" s="66"/>
      <c r="H99" s="69"/>
      <c r="I99" s="69"/>
      <c r="J99" s="69"/>
      <c r="K99" s="10"/>
      <c r="L99" s="2"/>
    </row>
    <row r="100" spans="1:12">
      <c r="A100" s="62"/>
      <c r="B100" s="63"/>
      <c r="C100" s="64"/>
      <c r="D100" s="65"/>
      <c r="E100" s="64"/>
      <c r="F100" s="65"/>
      <c r="G100" s="66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111</v>
      </c>
      <c r="C102" s="2"/>
      <c r="E102" s="7"/>
      <c r="F102" s="14" t="s">
        <v>124</v>
      </c>
      <c r="G102" s="2"/>
      <c r="I102" s="15"/>
      <c r="J102" s="1"/>
      <c r="K102" s="2"/>
      <c r="L102" s="12"/>
    </row>
    <row r="103" spans="1:12">
      <c r="A103" s="16"/>
      <c r="B103" s="14" t="s">
        <v>110</v>
      </c>
      <c r="C103" s="1"/>
      <c r="E103" s="16"/>
      <c r="F103" s="14" t="s">
        <v>125</v>
      </c>
      <c r="G103" s="1"/>
      <c r="I103" s="2"/>
      <c r="J103" s="1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112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106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107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113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108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114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115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109</v>
      </c>
    </row>
  </sheetData>
  <mergeCells count="42">
    <mergeCell ref="B83:L83"/>
    <mergeCell ref="B84:L84"/>
    <mergeCell ref="C87:D87"/>
    <mergeCell ref="H89:J89"/>
    <mergeCell ref="H97:J97"/>
    <mergeCell ref="E87:F87"/>
    <mergeCell ref="H87:J87"/>
    <mergeCell ref="H96:J96"/>
    <mergeCell ref="H94:J94"/>
    <mergeCell ref="H90:J90"/>
    <mergeCell ref="H91:J91"/>
    <mergeCell ref="H95:J95"/>
    <mergeCell ref="H88:J88"/>
    <mergeCell ref="H92:J92"/>
    <mergeCell ref="H93:J93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2026-08-12T08:10:04Z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