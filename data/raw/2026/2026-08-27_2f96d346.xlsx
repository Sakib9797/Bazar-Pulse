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BE497E4F-5C43-4E7C-99EA-FC0BC3446B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96" i="4" l="1"/>
  <c r="G94" i="4"/>
  <c r="G95" i="4"/>
  <c r="G92" i="4"/>
  <c r="G88" i="4"/>
  <c r="G93" i="4"/>
  <c r="G91" i="4"/>
  <c r="I76" i="4"/>
  <c r="I51" i="4"/>
  <c r="I22" i="4"/>
  <c r="I26" i="4"/>
  <c r="I11" i="4"/>
  <c r="I12" i="4"/>
  <c r="I13" i="4"/>
  <c r="G90" i="4"/>
  <c r="G97" i="4"/>
  <c r="G89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<sst xmlns="http://schemas.openxmlformats.org/spreadsheetml/2006/main" count="249" uniqueCount="134">
  <si>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</si>
  <si>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</si>
  <si>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</si>
  <si>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</si>
  <si>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</si>
  <si>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</si>
  <si>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</si>
  <si>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</si>
  <si>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</si>
  <si>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</si>
  <si>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</si>
  <si>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</si>
  <si>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</si>
  <si>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</si>
  <si>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</si>
  <si>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</si>
  <si>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</si>
  <si>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</si>
  <si>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</si>
  <si>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</si>
  <si>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</si>
  <si>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</si>
  <si>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</si>
  <si>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</si>
  <si>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</si>
  <si>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</si>
  <si>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</si>
  <si>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</si>
  <si>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</si>
  <si>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</si>
  <si>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</si>
  <si>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</si>
  <si>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</si>
  <si>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</si>
  <si>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</si>
  <si>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</si>
  <si>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</si>
  <si>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</si>
  <si>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</si>
  <si>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</si>
  <si>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</si>
  <si>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</si>
  <si>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</si>
  <si>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</si>
  <si>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</si>
  <si>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</si>
  <si>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</si>
  <si>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</si>
  <si>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</si>
  <si>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</si>
  <si>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</si>
  <si>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</si>
  <si>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</si>
  <si>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</si>
  <si>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</si>
  <si>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</si>
  <si>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</si>
  <si>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</si>
  <si>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</si>
  <si>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</si>
  <si>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</si>
  <si>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</si>
  <si>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</si>
  <si>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</si>
  <si>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</si>
  <si>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</si>
  <si>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</si>
  <si>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</si>
  <si>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</si>
  <si>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</si>
  <si>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</si>
  <si>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</si>
  <si>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</si>
  <si>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</si>
  <si>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</si>
  <si>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</si>
  <si>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</si>
  <si>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</si>
  <si>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</si>
  <si>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</si>
  <si>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</si>
  <si>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</si>
  <si>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</si>
  <si>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</si>
  <si>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</si>
  <si>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</si>
  <si>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</si>
  <si>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</si>
  <si>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</si>
  <si>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</si>
  <si>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</si>
  <si>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</si>
  <si>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</si>
  <si>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</si>
  <si>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</si>
  <si>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</si>
  <si>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</si>
  <si>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</si>
  <si>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</si>
  <si>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</si>
  <si>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</si>
  <si>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</si>
  <si>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</si>
  <si>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</si>
  <si>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</si>
  <si>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</si>
  <si>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</si>
  <si>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</si>
  <si>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</si>
  <si>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</si>
  <si>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</si>
  <si>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</si>
  <si>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</si>
  <si>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</si>
  <si>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</si>
  <si>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</si>
  <si>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</si>
  <si>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</si>
  <si>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</si>
  <si>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</si>
  <si>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</si>
  <si>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</si>
  <si>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</si>
  <si>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</si>
  <si>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২১-০৮-২০২৬ তারিখে মূল্য বৃদ্ধি পেয়েছে।</t>
  </si>
  <si>
    <t>২১-০৮-২০২৬ তারিখে মূল্য হ্রাস পেয়েছে।</t>
  </si>
  <si>
    <t>২৩-০৮-২০২৬ তারিখে মূল্য হ্রাস পেয়েছে।</t>
  </si>
  <si>
    <t>২৪-০৮-২০২৬ তারিখে মূল্য হ্রাস পেয়েছে।</t>
  </si>
  <si>
    <t xml:space="preserve">নং-২৬.০৫.০০০০.০১৭.৩১.০১.২৬-৬৬৮                                                                                                           তারিখঃ ২৭-০৮-২০২৬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</si>
  <si>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২১২</t>
  </si>
  <si>
    <t xml:space="preserve">বৃহস্পতিবার ২৭ আগষ্ট ২০২৬ খ্রিঃ, ১২ ভাদ্র ১৪৩৩ বাংলা, ১৩ রবিউল আউয়াল ১৪৪৮ হিজরি </t>
  </si>
  <si>
    <t>২৭-০৮-২০২৬ তারিখে মূল্য হ্রাস পেয়েছে।</t>
  </si>
  <si>
    <t>(২)   পেঁয়াজ (দেশী), রশুন (দেশী, আম), আদা (আম), জিরা, দারুচিনি, তেজপাতা   এর মূল্য হ্রাস পেয়েছে।</t>
  </si>
  <si>
    <t>(১)    আটা (খোলা), ময়দা (খোলা),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</si>
</sst>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67" zoomScaleNormal="100" workbookViewId="0">
      <selection activeCell="H97" sqref="H97:J97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129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130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6" t="s">
        <v>128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0"/>
    </row>
    <row r="7" spans="1:18" s="28" customFormat="1">
      <c r="A7" s="78"/>
      <c r="B7" s="78"/>
      <c r="C7" s="81">
        <v>46261</v>
      </c>
      <c r="D7" s="82"/>
      <c r="E7" s="81">
        <v>46254</v>
      </c>
      <c r="F7" s="82"/>
      <c r="G7" s="81">
        <v>46230</v>
      </c>
      <c r="H7" s="82"/>
      <c r="I7" s="25" t="s">
        <v>9</v>
      </c>
      <c r="J7" s="79">
        <v>45896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3.1578947368421053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60</v>
      </c>
      <c r="H17" s="38">
        <v>60</v>
      </c>
      <c r="I17" s="47">
        <f>((C17+D17)/2-(G17+H17)/2)/((G17+H17)/2)*100</f>
        <v>12.5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70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153</v>
      </c>
      <c r="K24" s="56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155</v>
      </c>
      <c r="K25" s="56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100</v>
      </c>
      <c r="K28" s="56">
        <v>110</v>
      </c>
      <c r="L28" s="48">
        <f t="shared" ref="L28:L34" si="4">((C28+D28)/2-(J28+K28)/2)/((J28+K28)/2)*100</f>
        <v>-9.5238095238095237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160</v>
      </c>
      <c r="L30" s="48">
        <f t="shared" si="4"/>
        <v>0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60</v>
      </c>
      <c r="G36" s="40">
        <v>50</v>
      </c>
      <c r="H36" s="40">
        <v>60</v>
      </c>
      <c r="I36" s="47">
        <f t="shared" ref="I36:I51" si="5">((C36+D36)/2-(G36+H36)/2)/((G36+H36)/2)*100</f>
        <v>-9.0909090909090917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-4.7619047619047619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70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100</v>
      </c>
      <c r="K38" s="56">
        <v>150</v>
      </c>
      <c r="L38" s="48">
        <f t="shared" si="6"/>
        <v>-24</v>
      </c>
      <c r="M38" s="50">
        <f t="shared" si="0"/>
        <v>-13.636363636363635</v>
      </c>
    </row>
    <row r="39" spans="1:13" s="49" customFormat="1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200</v>
      </c>
      <c r="I39" s="47">
        <f t="shared" si="5"/>
        <v>-8.1081081081081088</v>
      </c>
      <c r="J39" s="56">
        <v>130</v>
      </c>
      <c r="K39" s="56">
        <v>200</v>
      </c>
      <c r="L39" s="48">
        <f t="shared" si="6"/>
        <v>3.0303030303030303</v>
      </c>
      <c r="M39" s="50">
        <f t="shared" si="0"/>
        <v>-8.1081081081081088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6">
        <v>600</v>
      </c>
      <c r="K46" s="56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0</v>
      </c>
      <c r="J47" s="56">
        <v>500</v>
      </c>
      <c r="K47" s="56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1350</v>
      </c>
      <c r="K48" s="56">
        <v>1700</v>
      </c>
      <c r="L48" s="48">
        <f t="shared" si="6"/>
        <v>-1.639344262295082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56">
        <v>200</v>
      </c>
      <c r="K51" s="56">
        <v>220</v>
      </c>
      <c r="L51" s="48">
        <f>((C51+D51)/2-(J51+K51)/2)/((J51+K51)/2)*100</f>
        <v>2.3809523809523809</v>
      </c>
      <c r="M51" s="50">
        <f t="shared" si="0"/>
        <v>-2.2727272727272729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920</v>
      </c>
      <c r="H61" s="38">
        <v>930</v>
      </c>
      <c r="I61" s="47">
        <f>((C61+D61)/2-(G61+H61)/2)/((G61+H61)/2)*100</f>
        <v>0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7" t="s">
        <v>1</v>
      </c>
      <c r="B67" s="77" t="s">
        <v>2</v>
      </c>
      <c r="C67" s="74" t="s">
        <v>3</v>
      </c>
      <c r="D67" s="75"/>
      <c r="E67" s="74" t="s">
        <v>4</v>
      </c>
      <c r="F67" s="75"/>
      <c r="G67" s="74" t="s">
        <v>5</v>
      </c>
      <c r="H67" s="75"/>
      <c r="I67" s="25" t="s">
        <v>6</v>
      </c>
      <c r="J67" s="74" t="s">
        <v>7</v>
      </c>
      <c r="K67" s="75"/>
      <c r="L67" s="25" t="s">
        <v>8</v>
      </c>
    </row>
    <row r="68" spans="1:13" ht="18" customHeight="1">
      <c r="A68" s="78"/>
      <c r="B68" s="78"/>
      <c r="C68" s="81">
        <v>46261</v>
      </c>
      <c r="D68" s="82"/>
      <c r="E68" s="81">
        <v>46254</v>
      </c>
      <c r="F68" s="82"/>
      <c r="G68" s="81">
        <v>46230</v>
      </c>
      <c r="H68" s="82"/>
      <c r="I68" s="25" t="s">
        <v>9</v>
      </c>
      <c r="J68" s="79">
        <v>45896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4.5454545454545459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160</v>
      </c>
      <c r="G74" s="38">
        <v>240</v>
      </c>
      <c r="H74" s="38">
        <v>300</v>
      </c>
      <c r="I74" s="47">
        <f t="shared" si="9"/>
        <v>-48.148148148148145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0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140</v>
      </c>
      <c r="I75" s="47">
        <f t="shared" si="9"/>
        <v>-25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150</v>
      </c>
      <c r="I76" s="47">
        <f t="shared" si="9"/>
        <v>-56.521739130434781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>
      <c r="A81" s="85" t="s">
        <v>118</v>
      </c>
      <c r="B81" s="86"/>
      <c r="C81" s="84" t="s">
        <v>119</v>
      </c>
      <c r="D81" s="84"/>
      <c r="E81" s="84"/>
      <c r="F81" s="84"/>
      <c r="G81" s="84"/>
      <c r="H81" s="84"/>
      <c r="I81" s="84"/>
      <c r="J81" s="84"/>
      <c r="K81" s="84"/>
      <c r="L81" s="8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133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132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4" t="s">
        <v>3</v>
      </c>
      <c r="D87" s="75"/>
      <c r="E87" s="88" t="s">
        <v>78</v>
      </c>
      <c r="F87" s="89"/>
      <c r="G87" s="26" t="s">
        <v>9</v>
      </c>
      <c r="H87" s="74" t="s">
        <v>79</v>
      </c>
      <c r="I87" s="83"/>
      <c r="J87" s="75"/>
      <c r="K87" s="10"/>
      <c r="L87" s="2"/>
    </row>
    <row r="88" spans="1:12">
      <c r="A88" s="44" t="s">
        <v>17</v>
      </c>
      <c r="B88" s="45" t="s">
        <v>14</v>
      </c>
      <c r="C88" s="38">
        <v>48</v>
      </c>
      <c r="D88" s="38">
        <v>50</v>
      </c>
      <c r="E88" s="38">
        <v>45</v>
      </c>
      <c r="F88" s="38">
        <v>50</v>
      </c>
      <c r="G88" s="31">
        <f t="shared" ref="G88:G97" si="12">((C88+D88)/2-(E88+F88)/2)/((E88+F88)/2)*100</f>
        <v>3.1578947368421053</v>
      </c>
      <c r="H88" s="74" t="s">
        <v>124</v>
      </c>
      <c r="I88" s="83"/>
      <c r="J88" s="75"/>
      <c r="K88" s="10"/>
      <c r="L88" s="2"/>
    </row>
    <row r="89" spans="1:12">
      <c r="A89" s="44" t="s">
        <v>20</v>
      </c>
      <c r="B89" s="45" t="s">
        <v>14</v>
      </c>
      <c r="C89" s="38">
        <v>65</v>
      </c>
      <c r="D89" s="38">
        <v>70</v>
      </c>
      <c r="E89" s="38">
        <v>62</v>
      </c>
      <c r="F89" s="38">
        <v>65</v>
      </c>
      <c r="G89" s="31">
        <f t="shared" si="12"/>
        <v>6.2992125984251963</v>
      </c>
      <c r="H89" s="74" t="s">
        <v>124</v>
      </c>
      <c r="I89" s="83"/>
      <c r="J89" s="75"/>
      <c r="K89" s="10"/>
      <c r="L89" s="2"/>
    </row>
    <row r="90" spans="1:12">
      <c r="A90" s="44" t="s">
        <v>123</v>
      </c>
      <c r="B90" s="45" t="s">
        <v>14</v>
      </c>
      <c r="C90" s="40">
        <v>45</v>
      </c>
      <c r="D90" s="40">
        <v>55</v>
      </c>
      <c r="E90" s="40">
        <v>45</v>
      </c>
      <c r="F90" s="40">
        <v>60</v>
      </c>
      <c r="G90" s="31">
        <f t="shared" si="12"/>
        <v>-4.7619047619047619</v>
      </c>
      <c r="H90" s="74" t="s">
        <v>125</v>
      </c>
      <c r="I90" s="83"/>
      <c r="J90" s="75"/>
      <c r="K90" s="10"/>
      <c r="L90" s="2"/>
    </row>
    <row r="91" spans="1:12">
      <c r="A91" s="44" t="s">
        <v>40</v>
      </c>
      <c r="B91" s="45" t="s">
        <v>14</v>
      </c>
      <c r="C91" s="38">
        <v>70</v>
      </c>
      <c r="D91" s="38">
        <v>120</v>
      </c>
      <c r="E91" s="38">
        <v>100</v>
      </c>
      <c r="F91" s="38">
        <v>120</v>
      </c>
      <c r="G91" s="31">
        <f t="shared" si="12"/>
        <v>-13.636363636363635</v>
      </c>
      <c r="H91" s="74" t="s">
        <v>125</v>
      </c>
      <c r="I91" s="83"/>
      <c r="J91" s="75"/>
      <c r="K91" s="10"/>
      <c r="L91" s="2"/>
    </row>
    <row r="92" spans="1:12">
      <c r="A92" s="44" t="s">
        <v>41</v>
      </c>
      <c r="B92" s="45" t="s">
        <v>14</v>
      </c>
      <c r="C92" s="40">
        <v>140</v>
      </c>
      <c r="D92" s="38">
        <v>200</v>
      </c>
      <c r="E92" s="40">
        <v>170</v>
      </c>
      <c r="F92" s="38">
        <v>200</v>
      </c>
      <c r="G92" s="31">
        <f>((C92+D92)/2-(E92+F92)/2)/((E92+F92)/2)*100</f>
        <v>-8.1081081081081088</v>
      </c>
      <c r="H92" s="74" t="s">
        <v>125</v>
      </c>
      <c r="I92" s="83"/>
      <c r="J92" s="75"/>
      <c r="K92" s="10"/>
      <c r="L92" s="2"/>
    </row>
    <row r="93" spans="1:12">
      <c r="A93" s="44" t="s">
        <v>47</v>
      </c>
      <c r="B93" s="45" t="s">
        <v>14</v>
      </c>
      <c r="C93" s="38">
        <v>120</v>
      </c>
      <c r="D93" s="38">
        <v>170</v>
      </c>
      <c r="E93" s="38">
        <v>150</v>
      </c>
      <c r="F93" s="38">
        <v>170</v>
      </c>
      <c r="G93" s="31">
        <f t="shared" si="12"/>
        <v>-9.375</v>
      </c>
      <c r="H93" s="74" t="s">
        <v>125</v>
      </c>
      <c r="I93" s="83"/>
      <c r="J93" s="75"/>
      <c r="K93" s="10"/>
      <c r="L93" s="2"/>
    </row>
    <row r="94" spans="1:12">
      <c r="A94" s="44" t="s">
        <v>48</v>
      </c>
      <c r="B94" s="45" t="s">
        <v>14</v>
      </c>
      <c r="C94" s="40">
        <v>550</v>
      </c>
      <c r="D94" s="38">
        <v>650</v>
      </c>
      <c r="E94" s="40">
        <v>600</v>
      </c>
      <c r="F94" s="38">
        <v>650</v>
      </c>
      <c r="G94" s="31">
        <f t="shared" si="12"/>
        <v>-4</v>
      </c>
      <c r="H94" s="74" t="s">
        <v>127</v>
      </c>
      <c r="I94" s="83"/>
      <c r="J94" s="75"/>
      <c r="K94" s="10"/>
      <c r="L94" s="2"/>
    </row>
    <row r="95" spans="1:12">
      <c r="A95" s="44" t="s">
        <v>49</v>
      </c>
      <c r="B95" s="45" t="s">
        <v>14</v>
      </c>
      <c r="C95" s="38">
        <v>500</v>
      </c>
      <c r="D95" s="38">
        <v>600</v>
      </c>
      <c r="E95" s="38">
        <v>520</v>
      </c>
      <c r="F95" s="38">
        <v>600</v>
      </c>
      <c r="G95" s="31">
        <f t="shared" si="12"/>
        <v>-1.7857142857142856</v>
      </c>
      <c r="H95" s="74" t="s">
        <v>126</v>
      </c>
      <c r="I95" s="83"/>
      <c r="J95" s="75"/>
      <c r="K95" s="10"/>
      <c r="L95" s="2"/>
    </row>
    <row r="96" spans="1:12">
      <c r="A96" s="44" t="s">
        <v>53</v>
      </c>
      <c r="B96" s="45" t="s">
        <v>14</v>
      </c>
      <c r="C96" s="38">
        <v>190</v>
      </c>
      <c r="D96" s="38">
        <v>240</v>
      </c>
      <c r="E96" s="38">
        <v>200</v>
      </c>
      <c r="F96" s="38">
        <v>240</v>
      </c>
      <c r="G96" s="31">
        <f t="shared" si="12"/>
        <v>-2.2727272727272729</v>
      </c>
      <c r="H96" s="74" t="s">
        <v>131</v>
      </c>
      <c r="I96" s="83"/>
      <c r="J96" s="75"/>
      <c r="K96" s="10"/>
      <c r="L96" s="2"/>
    </row>
    <row r="97" spans="1:12">
      <c r="A97" s="24" t="s">
        <v>66</v>
      </c>
      <c r="B97" s="45" t="s">
        <v>14</v>
      </c>
      <c r="C97" s="38">
        <v>110</v>
      </c>
      <c r="D97" s="38">
        <v>120</v>
      </c>
      <c r="E97" s="38">
        <v>110</v>
      </c>
      <c r="F97" s="38">
        <v>110</v>
      </c>
      <c r="G97" s="31">
        <f t="shared" si="12"/>
        <v>4.5454545454545459</v>
      </c>
      <c r="H97" s="74" t="s">
        <v>124</v>
      </c>
      <c r="I97" s="83"/>
      <c r="J97" s="75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3"/>
      <c r="C99" s="64"/>
      <c r="D99" s="65"/>
      <c r="E99" s="64"/>
      <c r="F99" s="65"/>
      <c r="G99" s="66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110</v>
      </c>
      <c r="C101" s="2"/>
      <c r="E101" s="7"/>
      <c r="F101" s="14" t="s">
        <v>121</v>
      </c>
      <c r="G101" s="2"/>
      <c r="I101" s="15"/>
      <c r="J101" s="1"/>
      <c r="K101" s="2"/>
      <c r="L101" s="12"/>
    </row>
    <row r="102" spans="1:12">
      <c r="A102" s="16"/>
      <c r="B102" s="14" t="s">
        <v>109</v>
      </c>
      <c r="C102" s="1"/>
      <c r="E102" s="16"/>
      <c r="F102" s="14" t="s">
        <v>122</v>
      </c>
      <c r="G102" s="1"/>
      <c r="I102" s="2"/>
      <c r="J102" s="1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111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105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106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107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114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108</v>
      </c>
    </row>
  </sheetData>
  <mergeCells count="42">
    <mergeCell ref="H94:J94"/>
    <mergeCell ref="H95:J95"/>
    <mergeCell ref="B83:L83"/>
    <mergeCell ref="B84:L84"/>
    <mergeCell ref="C87:D87"/>
    <mergeCell ref="E87:F87"/>
    <mergeCell ref="H87:J87"/>
    <mergeCell ref="H96:J96"/>
    <mergeCell ref="H89:J89"/>
    <mergeCell ref="H97:J97"/>
    <mergeCell ref="H90:J90"/>
    <mergeCell ref="H88:J88"/>
    <mergeCell ref="A67:A68"/>
    <mergeCell ref="B67:B68"/>
    <mergeCell ref="H93:J93"/>
    <mergeCell ref="J67:K67"/>
    <mergeCell ref="C68:D68"/>
    <mergeCell ref="J68:K68"/>
    <mergeCell ref="E68:F68"/>
    <mergeCell ref="G68:H68"/>
    <mergeCell ref="E67:F67"/>
    <mergeCell ref="G67:H67"/>
    <mergeCell ref="C67:D67"/>
    <mergeCell ref="H91:J91"/>
    <mergeCell ref="H92:J92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2026-08-27T07:19:53Z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