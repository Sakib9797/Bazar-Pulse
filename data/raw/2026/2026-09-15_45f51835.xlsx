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800595E8-28C1-4BBE-9CCA-52D9AECC5B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price'!$A$1:$L$129</definedName>
  </definedNames>
  <calcPr calcId="191028"/>
</workbook>
</file>

<file path=xl/calcChain.xml><?xml version="1.0" encoding="utf-8"?>
<calcChain xmlns="http://schemas.openxmlformats.org/spreadsheetml/2006/main">
  <c r="G96" i="4" l="1"/>
  <c r="G101" i="4"/>
  <c r="G91" i="4"/>
  <c r="G90" i="4"/>
  <c r="G89" i="4"/>
  <c r="G95" i="4"/>
  <c r="G94" i="4"/>
  <c r="G100" i="4"/>
  <c r="G98" i="4"/>
  <c r="G97" i="4"/>
  <c r="G92" i="4"/>
  <c r="G93" i="4"/>
  <c r="I76" i="4"/>
  <c r="I51" i="4"/>
  <c r="I22" i="4"/>
  <c r="I26" i="4"/>
  <c r="I11" i="4"/>
  <c r="I12" i="4"/>
  <c r="I13" i="4"/>
  <c r="G99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<sst xmlns="http://schemas.openxmlformats.org/spreadsheetml/2006/main" count="259" uniqueCount="137">
  <si>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</si>
  <si>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</si>
  <si>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</si>
  <si>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</si>
  <si>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</si>
  <si>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</si>
  <si>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</si>
  <si>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</si>
  <si>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</si>
  <si>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</si>
  <si>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</si>
  <si>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</si>
  <si>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</si>
  <si>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</si>
  <si>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</si>
  <si>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</si>
  <si>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</si>
  <si>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</si>
  <si>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</si>
  <si>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</si>
  <si>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</si>
  <si>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</si>
  <si>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</si>
  <si>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</si>
  <si>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</si>
  <si>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</si>
  <si>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</si>
  <si>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</si>
  <si>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</si>
  <si>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</si>
  <si>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</si>
  <si>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</si>
  <si>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</si>
  <si>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</si>
  <si>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</si>
  <si>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</si>
  <si>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</si>
  <si>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</si>
  <si>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</si>
  <si>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</si>
  <si>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</si>
  <si>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</si>
  <si>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</si>
  <si>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</si>
  <si>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</si>
  <si>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</si>
  <si>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</si>
  <si>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</si>
  <si>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</si>
  <si>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</si>
  <si>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</si>
  <si>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</si>
  <si>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</si>
  <si>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</si>
  <si>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</si>
  <si>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</si>
  <si>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</si>
  <si>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</si>
  <si>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</si>
  <si>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</si>
  <si>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</si>
  <si>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</si>
  <si>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</si>
  <si>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</si>
  <si>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</si>
  <si>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</si>
  <si>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</si>
  <si>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</si>
  <si>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</si>
  <si>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</si>
  <si>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</si>
  <si>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</si>
  <si>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</si>
  <si>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</si>
  <si>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</si>
  <si>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</si>
  <si>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</si>
  <si>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</si>
  <si>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</si>
  <si>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</si>
  <si>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</si>
  <si>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</si>
  <si>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</si>
  <si>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</si>
  <si>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</si>
  <si>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</si>
  <si>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</si>
  <si>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</si>
  <si>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</si>
  <si>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</si>
  <si>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</si>
  <si>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</si>
  <si>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</si>
  <si>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</si>
  <si>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</si>
  <si>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</si>
  <si>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</si>
  <si>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</si>
  <si>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</si>
  <si>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</si>
  <si>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</si>
  <si>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</si>
  <si>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</si>
  <si>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</si>
  <si>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</si>
  <si>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</si>
  <si>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</si>
  <si>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</si>
  <si>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</si>
  <si>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</si>
  <si>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</si>
  <si>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</si>
  <si>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</si>
  <si>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</si>
  <si>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</si>
  <si>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</si>
  <si>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</si>
  <si>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</si>
  <si>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</si>
  <si>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</si>
  <si>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</si>
  <si>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</si>
  <si>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</si>
  <si>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</si>
  <si>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০৮-০৯-২০২৬ তারিখে মূল্য বৃদ্ধি পেয়েছে।</t>
  </si>
  <si>
    <t>১০-০৯-২০২৬ তারিখে মূল্য হ্রাস পেয়েছে।</t>
  </si>
  <si>
    <t>১১-০৯-২০২৬ তারিখে মূল্য বৃদ্ধি পেয়েছে।</t>
  </si>
  <si>
    <t>১২-০৯-২০২৬ তারিখে মূল্য বৃদ্ধি পেয়েছে।</t>
  </si>
  <si>
    <t>১৩ -০৯-২০২৬ তারিখে মূল্য বৃদ্ধি পেয়েছে।</t>
  </si>
  <si>
    <t xml:space="preserve">       রশুন (দেশী, আম), কাঁচামরিচ, বেগুন, শসা  এর মূল্য বৃদ্ধি পেয়েছে।</t>
  </si>
  <si>
    <t>১৪ -০৯-২০২৬ তারিখে মূল্য বৃদ্ধি পেয়েছে।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</si>
  <si>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২৩০</t>
  </si>
  <si>
    <t xml:space="preserve">নং-২৬.০৫.০০০০.০১৭.৩১.০১.২৬-৭২০                                                                                                           তারিখঃ ১৫-০৯-২০২৬ </t>
  </si>
  <si>
    <t xml:space="preserve">মঙ্গলবার ১৫ সেপ্টেম্বর ২০২৬ খ্রিঃ, ৩১ ভাদ্র ১৪৩৩ বাংলা, ০২ রবিউল সানি ১৪৪৮ হিজরি </t>
  </si>
  <si>
    <t>১৫ -০৯-২০২৬ তারিখে মূল্য বৃদ্ধি পেয়েছে।</t>
  </si>
  <si>
    <t xml:space="preserve">(১)   ময়দা (প্যাঃ), সয়াবিন তেল (১লি, ২লি, ৫লি বোতল), পাম অয়েল লুজ, পেঁয়াজ (দেশী), </t>
  </si>
  <si>
    <t>(২)   আদা (দেশী), ধনে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</si>
</sst>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190207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"/>
  <sheetViews>
    <sheetView tabSelected="1" zoomScale="106" zoomScaleNormal="106" workbookViewId="0">
      <selection activeCell="B85" sqref="B85:L85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9" t="s">
        <v>115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>
      <c r="A2" s="80" t="s">
        <v>116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>
      <c r="A3" s="81" t="s">
        <v>131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>
      <c r="A4" s="82" t="s">
        <v>133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2"/>
      <c r="Q4" s="52"/>
      <c r="R4" s="52"/>
    </row>
    <row r="5" spans="1:18">
      <c r="A5" s="83" t="s">
        <v>132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3"/>
      <c r="Q5" s="54"/>
    </row>
    <row r="6" spans="1:18" s="28" customFormat="1">
      <c r="A6" s="73" t="s">
        <v>1</v>
      </c>
      <c r="B6" s="73" t="s">
        <v>2</v>
      </c>
      <c r="C6" s="64" t="s">
        <v>3</v>
      </c>
      <c r="D6" s="66"/>
      <c r="E6" s="64" t="s">
        <v>4</v>
      </c>
      <c r="F6" s="66"/>
      <c r="G6" s="64" t="s">
        <v>5</v>
      </c>
      <c r="H6" s="66"/>
      <c r="I6" s="25" t="s">
        <v>6</v>
      </c>
      <c r="J6" s="64" t="s">
        <v>7</v>
      </c>
      <c r="K6" s="66"/>
      <c r="L6" s="27" t="s">
        <v>8</v>
      </c>
      <c r="M6" s="50"/>
    </row>
    <row r="7" spans="1:18" s="28" customFormat="1">
      <c r="A7" s="74"/>
      <c r="B7" s="74"/>
      <c r="C7" s="75">
        <v>46280</v>
      </c>
      <c r="D7" s="76"/>
      <c r="E7" s="75">
        <v>46273</v>
      </c>
      <c r="F7" s="76"/>
      <c r="G7" s="75">
        <v>46249</v>
      </c>
      <c r="H7" s="76"/>
      <c r="I7" s="25" t="s">
        <v>9</v>
      </c>
      <c r="J7" s="77">
        <v>45915</v>
      </c>
      <c r="K7" s="78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210</v>
      </c>
      <c r="I9" s="47">
        <f>((C9+D9)/2-(G9+H9)/2)/((G9+H9)/2)*100</f>
        <v>1.3157894736842104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62</v>
      </c>
      <c r="H17" s="38">
        <v>65</v>
      </c>
      <c r="I17" s="47">
        <f>((C17+D17)/2-(G17+H17)/2)/((G17+H17)/2)*100</f>
        <v>6.2992125984251963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75</v>
      </c>
      <c r="D18" s="38">
        <v>85</v>
      </c>
      <c r="E18" s="38">
        <v>70</v>
      </c>
      <c r="F18" s="38">
        <v>85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3.225806451612903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168</v>
      </c>
      <c r="K20" s="38">
        <v>174</v>
      </c>
      <c r="L20" s="48">
        <f>((C20+D20)/2-(J20+K20)/2)/((J20+K20)/2)*100</f>
        <v>11.403508771929824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1.2820512820512819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1.5075376884422109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1.256281407035176</v>
      </c>
    </row>
    <row r="24" spans="1:13" s="28" customFormat="1">
      <c r="A24" s="44" t="s">
        <v>29</v>
      </c>
      <c r="B24" s="45" t="s">
        <v>24</v>
      </c>
      <c r="C24" s="38">
        <v>166</v>
      </c>
      <c r="D24" s="38">
        <v>172</v>
      </c>
      <c r="E24" s="38">
        <v>165</v>
      </c>
      <c r="F24" s="38">
        <v>172</v>
      </c>
      <c r="G24" s="38">
        <v>165</v>
      </c>
      <c r="H24" s="38">
        <v>170</v>
      </c>
      <c r="I24" s="47">
        <f t="shared" si="1"/>
        <v>0.89552238805970152</v>
      </c>
      <c r="J24" s="38">
        <v>153</v>
      </c>
      <c r="K24" s="38">
        <v>158</v>
      </c>
      <c r="L24" s="48">
        <f t="shared" si="2"/>
        <v>8.6816720257234739</v>
      </c>
      <c r="M24" s="50">
        <f t="shared" si="0"/>
        <v>0.29673590504451042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165</v>
      </c>
      <c r="L25" s="48">
        <f t="shared" si="2"/>
        <v>7.8125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110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115</v>
      </c>
      <c r="L33" s="48">
        <f t="shared" si="4"/>
        <v>0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25</v>
      </c>
      <c r="L34" s="48">
        <f t="shared" si="4"/>
        <v>22.222222222222221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50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80</v>
      </c>
      <c r="L36" s="48">
        <f t="shared" ref="L36:L50" si="6">((C36+D36)/2-(J36+K36)/2)/((J36+K36)/2)*100</f>
        <v>-30</v>
      </c>
      <c r="M36" s="50">
        <f>((C36+D36)/2-(E36+F36)/2)/((E36+F36)/2)*100</f>
        <v>5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100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15.789473684210526</v>
      </c>
    </row>
    <row r="39" spans="1:13" s="49" customFormat="1" ht="19.5">
      <c r="A39" s="44" t="s">
        <v>41</v>
      </c>
      <c r="B39" s="45" t="s">
        <v>14</v>
      </c>
      <c r="C39" s="40">
        <v>160</v>
      </c>
      <c r="D39" s="38">
        <v>200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-2.7027027027027026</v>
      </c>
      <c r="J39" s="38">
        <v>130</v>
      </c>
      <c r="K39" s="38">
        <v>200</v>
      </c>
      <c r="L39" s="48">
        <f t="shared" si="6"/>
        <v>9.0909090909090917</v>
      </c>
      <c r="M39" s="50">
        <f t="shared" si="0"/>
        <v>9.0909090909090917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220</v>
      </c>
      <c r="K40" s="38">
        <v>350</v>
      </c>
      <c r="L40" s="48">
        <f t="shared" si="6"/>
        <v>22.807017543859647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120</v>
      </c>
      <c r="D44" s="38">
        <v>140</v>
      </c>
      <c r="E44" s="38">
        <v>130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-3.7037037037037033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130</v>
      </c>
      <c r="K45" s="38">
        <v>260</v>
      </c>
      <c r="L45" s="48">
        <f t="shared" si="6"/>
        <v>-25.641025641025639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-2.1739130434782608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-2.2727272727272729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>
      <c r="A67" s="73" t="s">
        <v>1</v>
      </c>
      <c r="B67" s="73" t="s">
        <v>2</v>
      </c>
      <c r="C67" s="64" t="s">
        <v>3</v>
      </c>
      <c r="D67" s="66"/>
      <c r="E67" s="64" t="s">
        <v>4</v>
      </c>
      <c r="F67" s="66"/>
      <c r="G67" s="64" t="s">
        <v>5</v>
      </c>
      <c r="H67" s="66"/>
      <c r="I67" s="25" t="s">
        <v>6</v>
      </c>
      <c r="J67" s="64" t="s">
        <v>7</v>
      </c>
      <c r="K67" s="66"/>
      <c r="L67" s="25" t="s">
        <v>8</v>
      </c>
    </row>
    <row r="68" spans="1:13" ht="18" customHeight="1">
      <c r="A68" s="74"/>
      <c r="B68" s="74"/>
      <c r="C68" s="75">
        <v>46280</v>
      </c>
      <c r="D68" s="76"/>
      <c r="E68" s="75">
        <v>46273</v>
      </c>
      <c r="F68" s="76"/>
      <c r="G68" s="75">
        <v>46249</v>
      </c>
      <c r="H68" s="76"/>
      <c r="I68" s="25" t="s">
        <v>9</v>
      </c>
      <c r="J68" s="77">
        <v>45915</v>
      </c>
      <c r="K68" s="78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2" t="s">
        <v>10</v>
      </c>
      <c r="K69" s="62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115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38">
        <v>105</v>
      </c>
      <c r="K70" s="38">
        <v>115</v>
      </c>
      <c r="L70" s="48">
        <f t="shared" ref="L70:L76" si="10">((C70+D70)/2-(J70+K70)/2)/((J70+K70)/2)*100</f>
        <v>2.2727272727272729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80</v>
      </c>
      <c r="D74" s="38">
        <v>160</v>
      </c>
      <c r="E74" s="38">
        <v>100</v>
      </c>
      <c r="F74" s="38">
        <v>120</v>
      </c>
      <c r="G74" s="38">
        <v>120</v>
      </c>
      <c r="H74" s="38">
        <v>180</v>
      </c>
      <c r="I74" s="47">
        <f t="shared" si="9"/>
        <v>-20</v>
      </c>
      <c r="J74" s="46">
        <v>180</v>
      </c>
      <c r="K74" s="46">
        <v>220</v>
      </c>
      <c r="L74" s="48">
        <f t="shared" si="10"/>
        <v>-40</v>
      </c>
      <c r="M74" s="50">
        <f t="shared" si="11"/>
        <v>9.0909090909090917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120</v>
      </c>
      <c r="E75" s="38">
        <v>80</v>
      </c>
      <c r="F75" s="38">
        <v>100</v>
      </c>
      <c r="G75" s="38">
        <v>80</v>
      </c>
      <c r="H75" s="38">
        <v>100</v>
      </c>
      <c r="I75" s="47">
        <f t="shared" si="9"/>
        <v>11.111111111111111</v>
      </c>
      <c r="J75" s="46">
        <v>60</v>
      </c>
      <c r="K75" s="46">
        <v>100</v>
      </c>
      <c r="L75" s="48">
        <f t="shared" si="10"/>
        <v>25</v>
      </c>
      <c r="M75" s="50">
        <f t="shared" si="11"/>
        <v>11.111111111111111</v>
      </c>
    </row>
    <row r="76" spans="1:13" s="50" customFormat="1" ht="19.5">
      <c r="A76" s="44" t="s">
        <v>104</v>
      </c>
      <c r="B76" s="51" t="s">
        <v>14</v>
      </c>
      <c r="C76" s="38">
        <v>50</v>
      </c>
      <c r="D76" s="38">
        <v>80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-27.777777777777779</v>
      </c>
      <c r="J76" s="46">
        <v>50</v>
      </c>
      <c r="K76" s="46">
        <v>80</v>
      </c>
      <c r="L76" s="48">
        <f t="shared" si="10"/>
        <v>0</v>
      </c>
      <c r="M76" s="50">
        <f t="shared" si="11"/>
        <v>30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48</v>
      </c>
      <c r="H77" s="43">
        <v>50</v>
      </c>
      <c r="I77" s="47">
        <f t="shared" si="9"/>
        <v>0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8" t="s">
        <v>118</v>
      </c>
      <c r="B81" s="69"/>
      <c r="C81" s="67" t="s">
        <v>119</v>
      </c>
      <c r="D81" s="67"/>
      <c r="E81" s="67"/>
      <c r="F81" s="67"/>
      <c r="G81" s="67"/>
      <c r="H81" s="67"/>
      <c r="I81" s="67"/>
      <c r="J81" s="67"/>
      <c r="K81" s="67"/>
      <c r="L81" s="67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0" t="s">
        <v>135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>
      <c r="A84" s="7"/>
      <c r="B84" s="7" t="s">
        <v>129</v>
      </c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>
      <c r="A85" s="7"/>
      <c r="B85" s="70" t="s">
        <v>136</v>
      </c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1:12">
      <c r="A86" s="7"/>
      <c r="B86" s="7" t="s">
        <v>117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2">
      <c r="A87" s="7" t="s">
        <v>75</v>
      </c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2">
      <c r="A88" s="24" t="s">
        <v>76</v>
      </c>
      <c r="B88" s="25" t="s">
        <v>77</v>
      </c>
      <c r="C88" s="64" t="s">
        <v>3</v>
      </c>
      <c r="D88" s="66"/>
      <c r="E88" s="71" t="s">
        <v>78</v>
      </c>
      <c r="F88" s="72"/>
      <c r="G88" s="26" t="s">
        <v>9</v>
      </c>
      <c r="H88" s="64" t="s">
        <v>79</v>
      </c>
      <c r="I88" s="65"/>
      <c r="J88" s="66"/>
      <c r="K88" s="10"/>
      <c r="L88" s="2"/>
    </row>
    <row r="89" spans="1:12">
      <c r="A89" s="44" t="s">
        <v>21</v>
      </c>
      <c r="B89" s="45" t="s">
        <v>19</v>
      </c>
      <c r="C89" s="38">
        <v>75</v>
      </c>
      <c r="D89" s="38">
        <v>85</v>
      </c>
      <c r="E89" s="38">
        <v>70</v>
      </c>
      <c r="F89" s="38">
        <v>85</v>
      </c>
      <c r="G89" s="31">
        <f t="shared" ref="G89:G101" si="12">((C89+D89)/2-(E89+F89)/2)/((E89+F89)/2)*100</f>
        <v>3.225806451612903</v>
      </c>
      <c r="H89" s="64" t="s">
        <v>126</v>
      </c>
      <c r="I89" s="65"/>
      <c r="J89" s="66"/>
      <c r="K89" s="10"/>
      <c r="L89" s="2"/>
    </row>
    <row r="90" spans="1:12">
      <c r="A90" s="44" t="s">
        <v>25</v>
      </c>
      <c r="B90" s="45" t="s">
        <v>26</v>
      </c>
      <c r="C90" s="38">
        <v>975</v>
      </c>
      <c r="D90" s="38">
        <v>1000</v>
      </c>
      <c r="E90" s="38">
        <v>975</v>
      </c>
      <c r="F90" s="38">
        <v>975</v>
      </c>
      <c r="G90" s="31">
        <f t="shared" si="12"/>
        <v>1.2820512820512819</v>
      </c>
      <c r="H90" s="64" t="s">
        <v>126</v>
      </c>
      <c r="I90" s="65"/>
      <c r="J90" s="66"/>
      <c r="K90" s="10"/>
      <c r="L90" s="2"/>
    </row>
    <row r="91" spans="1:12">
      <c r="A91" s="44" t="s">
        <v>25</v>
      </c>
      <c r="B91" s="45" t="s">
        <v>27</v>
      </c>
      <c r="C91" s="38">
        <v>398</v>
      </c>
      <c r="D91" s="38">
        <v>410</v>
      </c>
      <c r="E91" s="38">
        <v>398</v>
      </c>
      <c r="F91" s="38">
        <v>398</v>
      </c>
      <c r="G91" s="31">
        <f t="shared" si="12"/>
        <v>1.5075376884422109</v>
      </c>
      <c r="H91" s="64" t="s">
        <v>126</v>
      </c>
      <c r="I91" s="65"/>
      <c r="J91" s="66"/>
      <c r="K91" s="10"/>
      <c r="L91" s="2"/>
    </row>
    <row r="92" spans="1:12">
      <c r="A92" s="44" t="s">
        <v>25</v>
      </c>
      <c r="B92" s="45" t="s">
        <v>28</v>
      </c>
      <c r="C92" s="38">
        <v>199</v>
      </c>
      <c r="D92" s="38">
        <v>204</v>
      </c>
      <c r="E92" s="38">
        <v>199</v>
      </c>
      <c r="F92" s="38">
        <v>199</v>
      </c>
      <c r="G92" s="31">
        <f t="shared" si="12"/>
        <v>1.256281407035176</v>
      </c>
      <c r="H92" s="64" t="s">
        <v>124</v>
      </c>
      <c r="I92" s="65"/>
      <c r="J92" s="66"/>
      <c r="K92" s="10"/>
      <c r="L92" s="2"/>
    </row>
    <row r="93" spans="1:12">
      <c r="A93" s="44" t="s">
        <v>29</v>
      </c>
      <c r="B93" s="45" t="s">
        <v>24</v>
      </c>
      <c r="C93" s="38">
        <v>166</v>
      </c>
      <c r="D93" s="38">
        <v>172</v>
      </c>
      <c r="E93" s="38">
        <v>165</v>
      </c>
      <c r="F93" s="38">
        <v>172</v>
      </c>
      <c r="G93" s="31">
        <f t="shared" si="12"/>
        <v>0.29673590504451042</v>
      </c>
      <c r="H93" s="64" t="s">
        <v>128</v>
      </c>
      <c r="I93" s="65"/>
      <c r="J93" s="66"/>
      <c r="K93" s="10"/>
      <c r="L93" s="2"/>
    </row>
    <row r="94" spans="1:12">
      <c r="A94" s="44" t="s">
        <v>123</v>
      </c>
      <c r="B94" s="45" t="s">
        <v>14</v>
      </c>
      <c r="C94" s="40">
        <v>50</v>
      </c>
      <c r="D94" s="40">
        <v>55</v>
      </c>
      <c r="E94" s="40">
        <v>45</v>
      </c>
      <c r="F94" s="40">
        <v>55</v>
      </c>
      <c r="G94" s="31">
        <f t="shared" si="12"/>
        <v>5</v>
      </c>
      <c r="H94" s="64" t="s">
        <v>126</v>
      </c>
      <c r="I94" s="65"/>
      <c r="J94" s="66"/>
      <c r="K94" s="10"/>
      <c r="L94" s="2"/>
    </row>
    <row r="95" spans="1:12">
      <c r="A95" s="44" t="s">
        <v>40</v>
      </c>
      <c r="B95" s="45" t="s">
        <v>14</v>
      </c>
      <c r="C95" s="38">
        <v>100</v>
      </c>
      <c r="D95" s="38">
        <v>120</v>
      </c>
      <c r="E95" s="38">
        <v>70</v>
      </c>
      <c r="F95" s="38">
        <v>120</v>
      </c>
      <c r="G95" s="31">
        <f t="shared" si="12"/>
        <v>15.789473684210526</v>
      </c>
      <c r="H95" s="64" t="s">
        <v>126</v>
      </c>
      <c r="I95" s="65"/>
      <c r="J95" s="66"/>
      <c r="K95" s="10"/>
      <c r="L95" s="2"/>
    </row>
    <row r="96" spans="1:12">
      <c r="A96" s="44" t="s">
        <v>41</v>
      </c>
      <c r="B96" s="45" t="s">
        <v>14</v>
      </c>
      <c r="C96" s="40">
        <v>160</v>
      </c>
      <c r="D96" s="38">
        <v>200</v>
      </c>
      <c r="E96" s="40">
        <v>130</v>
      </c>
      <c r="F96" s="38">
        <v>200</v>
      </c>
      <c r="G96" s="31">
        <f t="shared" si="12"/>
        <v>9.0909090909090917</v>
      </c>
      <c r="H96" s="64" t="s">
        <v>130</v>
      </c>
      <c r="I96" s="65"/>
      <c r="J96" s="66"/>
      <c r="K96" s="10"/>
      <c r="L96" s="2"/>
    </row>
    <row r="97" spans="1:12">
      <c r="A97" s="44" t="s">
        <v>46</v>
      </c>
      <c r="B97" s="45" t="s">
        <v>14</v>
      </c>
      <c r="C97" s="38">
        <v>120</v>
      </c>
      <c r="D97" s="38">
        <v>140</v>
      </c>
      <c r="E97" s="38">
        <v>130</v>
      </c>
      <c r="F97" s="38">
        <v>140</v>
      </c>
      <c r="G97" s="31">
        <f t="shared" si="12"/>
        <v>-3.7037037037037033</v>
      </c>
      <c r="H97" s="64" t="s">
        <v>125</v>
      </c>
      <c r="I97" s="65"/>
      <c r="J97" s="66"/>
      <c r="K97" s="10"/>
      <c r="L97" s="2"/>
    </row>
    <row r="98" spans="1:12">
      <c r="A98" s="44" t="s">
        <v>52</v>
      </c>
      <c r="B98" s="45" t="s">
        <v>14</v>
      </c>
      <c r="C98" s="38">
        <v>200</v>
      </c>
      <c r="D98" s="38">
        <v>250</v>
      </c>
      <c r="E98" s="38">
        <v>200</v>
      </c>
      <c r="F98" s="38">
        <v>260</v>
      </c>
      <c r="G98" s="31">
        <f t="shared" si="12"/>
        <v>-2.1739130434782608</v>
      </c>
      <c r="H98" s="64" t="s">
        <v>125</v>
      </c>
      <c r="I98" s="65"/>
      <c r="J98" s="66"/>
      <c r="K98" s="10"/>
      <c r="L98" s="2"/>
    </row>
    <row r="99" spans="1:12">
      <c r="A99" s="44" t="s">
        <v>102</v>
      </c>
      <c r="B99" s="51" t="s">
        <v>14</v>
      </c>
      <c r="C99" s="38">
        <v>80</v>
      </c>
      <c r="D99" s="38">
        <v>160</v>
      </c>
      <c r="E99" s="38">
        <v>100</v>
      </c>
      <c r="F99" s="38">
        <v>120</v>
      </c>
      <c r="G99" s="31">
        <f t="shared" si="12"/>
        <v>9.0909090909090917</v>
      </c>
      <c r="H99" s="64" t="s">
        <v>126</v>
      </c>
      <c r="I99" s="65"/>
      <c r="J99" s="66"/>
      <c r="K99" s="10"/>
      <c r="L99" s="2"/>
    </row>
    <row r="100" spans="1:12">
      <c r="A100" s="44" t="s">
        <v>103</v>
      </c>
      <c r="B100" s="51" t="s">
        <v>14</v>
      </c>
      <c r="C100" s="38">
        <v>80</v>
      </c>
      <c r="D100" s="38">
        <v>120</v>
      </c>
      <c r="E100" s="38">
        <v>80</v>
      </c>
      <c r="F100" s="38">
        <v>100</v>
      </c>
      <c r="G100" s="31">
        <f t="shared" si="12"/>
        <v>11.111111111111111</v>
      </c>
      <c r="H100" s="64" t="s">
        <v>127</v>
      </c>
      <c r="I100" s="65"/>
      <c r="J100" s="66"/>
      <c r="K100" s="10"/>
      <c r="L100" s="2"/>
    </row>
    <row r="101" spans="1:12">
      <c r="A101" s="44" t="s">
        <v>104</v>
      </c>
      <c r="B101" s="51" t="s">
        <v>14</v>
      </c>
      <c r="C101" s="38">
        <v>50</v>
      </c>
      <c r="D101" s="38">
        <v>80</v>
      </c>
      <c r="E101" s="38">
        <v>40</v>
      </c>
      <c r="F101" s="38">
        <v>60</v>
      </c>
      <c r="G101" s="31">
        <f t="shared" si="12"/>
        <v>30</v>
      </c>
      <c r="H101" s="64" t="s">
        <v>134</v>
      </c>
      <c r="I101" s="65"/>
      <c r="J101" s="66"/>
      <c r="K101" s="10"/>
      <c r="L101" s="2"/>
    </row>
    <row r="102" spans="1:12">
      <c r="A102" s="55"/>
      <c r="B102" s="63"/>
      <c r="C102" s="57"/>
      <c r="D102" s="57"/>
      <c r="E102" s="57"/>
      <c r="F102" s="57"/>
      <c r="G102" s="59"/>
      <c r="H102" s="60"/>
      <c r="I102" s="60"/>
      <c r="J102" s="60"/>
      <c r="K102" s="10"/>
      <c r="L102" s="2"/>
    </row>
    <row r="103" spans="1:12">
      <c r="A103" s="55"/>
      <c r="B103" s="56"/>
      <c r="C103" s="57"/>
      <c r="D103" s="58"/>
      <c r="E103" s="57"/>
      <c r="F103" s="58"/>
      <c r="G103" s="59"/>
      <c r="H103" s="7"/>
      <c r="I103" s="1"/>
      <c r="J103" s="1"/>
      <c r="K103" s="10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4" t="s">
        <v>110</v>
      </c>
      <c r="C105" s="2"/>
      <c r="E105" s="7"/>
      <c r="F105" s="14" t="s">
        <v>121</v>
      </c>
      <c r="G105" s="2"/>
      <c r="I105" s="15"/>
      <c r="J105" s="1"/>
      <c r="K105" s="2"/>
      <c r="L105" s="12"/>
    </row>
    <row r="106" spans="1:12">
      <c r="A106" s="16"/>
      <c r="B106" s="14" t="s">
        <v>109</v>
      </c>
      <c r="C106" s="1"/>
      <c r="E106" s="16"/>
      <c r="F106" s="14" t="s">
        <v>122</v>
      </c>
      <c r="G106" s="1"/>
      <c r="I106" s="2"/>
      <c r="J106" s="1"/>
      <c r="L106" s="12"/>
    </row>
    <row r="107" spans="1:12">
      <c r="A107" s="7"/>
      <c r="C107" s="6"/>
      <c r="D107" s="6"/>
      <c r="E107" s="1"/>
      <c r="F107" s="6"/>
      <c r="G107" s="4"/>
      <c r="H107" s="17"/>
      <c r="I107" s="12"/>
      <c r="J107" s="12"/>
      <c r="K107" s="12"/>
      <c r="L107" s="12"/>
    </row>
    <row r="108" spans="1:12">
      <c r="A108" s="18" t="s">
        <v>86</v>
      </c>
      <c r="B108" s="19"/>
      <c r="C108" s="20"/>
      <c r="D108" s="19"/>
      <c r="E108" s="20"/>
      <c r="F108" s="20"/>
      <c r="G108" s="20"/>
      <c r="H108" s="21"/>
      <c r="I108" s="2"/>
      <c r="J108" s="2"/>
      <c r="K108" s="2"/>
      <c r="L108" s="2"/>
    </row>
    <row r="109" spans="1:12">
      <c r="A109" s="22" t="s">
        <v>111</v>
      </c>
      <c r="B109" s="19"/>
      <c r="C109" s="20"/>
      <c r="D109" s="19"/>
      <c r="E109" s="20"/>
      <c r="F109" s="20"/>
      <c r="G109" s="19"/>
      <c r="H109" s="21"/>
      <c r="I109" s="2"/>
      <c r="J109" s="2"/>
      <c r="K109" s="2"/>
      <c r="L109" s="2"/>
    </row>
    <row r="110" spans="1:12">
      <c r="A110" s="22" t="s">
        <v>105</v>
      </c>
      <c r="B110" s="19"/>
      <c r="C110" s="19"/>
      <c r="D110" s="19"/>
      <c r="E110" s="19"/>
      <c r="F110" s="20"/>
      <c r="G110" s="19"/>
      <c r="H110" s="21"/>
      <c r="I110" s="2"/>
      <c r="J110" s="2"/>
      <c r="K110" s="2"/>
      <c r="L110" s="2"/>
    </row>
    <row r="111" spans="1:12">
      <c r="A111" s="22" t="s">
        <v>80</v>
      </c>
      <c r="B111" s="19"/>
      <c r="C111" s="19"/>
      <c r="D111" s="19"/>
      <c r="E111" s="19"/>
      <c r="F111" s="21"/>
      <c r="G111" s="21"/>
      <c r="H111" s="21"/>
      <c r="I111" s="2"/>
      <c r="J111" s="2"/>
      <c r="K111" s="2"/>
      <c r="L111" s="2"/>
    </row>
    <row r="112" spans="1:12">
      <c r="A112" s="22" t="s">
        <v>106</v>
      </c>
      <c r="B112" s="19"/>
      <c r="C112" s="19"/>
      <c r="D112" s="19"/>
      <c r="E112" s="19"/>
      <c r="F112" s="19"/>
      <c r="G112" s="21"/>
      <c r="H112" s="21"/>
      <c r="I112" s="2"/>
      <c r="J112" s="2"/>
      <c r="K112" s="2"/>
      <c r="L112" s="2"/>
    </row>
    <row r="113" spans="1:12">
      <c r="A113" s="22" t="s">
        <v>89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95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88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87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90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91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107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/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18" t="s">
        <v>82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83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113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114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99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444" spans="2:2">
      <c r="B444" s="11" t="s">
        <v>108</v>
      </c>
    </row>
  </sheetData>
  <mergeCells count="45">
    <mergeCell ref="H98:J98"/>
    <mergeCell ref="H89:J89"/>
    <mergeCell ref="H90:J90"/>
    <mergeCell ref="H91:J91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101:J101"/>
    <mergeCell ref="H96:J96"/>
    <mergeCell ref="C81:L81"/>
    <mergeCell ref="A81:B81"/>
    <mergeCell ref="B83:L83"/>
    <mergeCell ref="H95:J95"/>
    <mergeCell ref="H100:J100"/>
    <mergeCell ref="H99:J99"/>
    <mergeCell ref="B85:L85"/>
    <mergeCell ref="C88:D88"/>
    <mergeCell ref="E88:F88"/>
    <mergeCell ref="H88:J88"/>
    <mergeCell ref="H93:J93"/>
    <mergeCell ref="H92:J92"/>
    <mergeCell ref="H97:J9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2026-09-15T07:09:13Z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