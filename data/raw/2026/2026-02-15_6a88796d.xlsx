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0478FD04-A310-4D52-A43B-83EFF13F99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7" i="4"/>
  <c r="G86" i="4"/>
  <c r="G85" i="4"/>
  <c r="G92" i="4"/>
  <c r="G91" i="4"/>
  <c r="G95" i="4"/>
  <c r="G94" i="4"/>
  <c r="G93" i="4"/>
  <c r="G90" i="4"/>
  <c r="G89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<sst xmlns="http://schemas.openxmlformats.org/spreadsheetml/2006/main" count="244" uniqueCount="128">
  <si>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</si>
  <si>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</si>
  <si>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</si>
  <si>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</si>
  <si>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</si>
  <si>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</si>
  <si>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</si>
  <si>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</si>
  <si>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</si>
  <si>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</si>
  <si>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</si>
  <si>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</si>
  <si>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</si>
  <si>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</si>
  <si>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</si>
  <si>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</si>
  <si>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</si>
  <si>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</si>
  <si>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</si>
  <si>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</si>
  <si>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</si>
  <si>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</si>
  <si>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</si>
  <si>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</si>
  <si>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</si>
  <si>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</si>
  <si>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</si>
  <si>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</si>
  <si>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</si>
  <si>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</si>
  <si>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</si>
  <si>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</si>
  <si>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</si>
  <si>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</si>
  <si>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</si>
  <si>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</si>
  <si>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</si>
  <si>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</si>
  <si>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</si>
  <si>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</si>
  <si>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</si>
  <si>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</si>
  <si>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</si>
  <si>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</si>
  <si>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</si>
  <si>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</si>
  <si>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</si>
  <si>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</si>
  <si>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</si>
  <si>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</si>
  <si>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</si>
  <si>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</si>
  <si>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</si>
  <si>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</si>
  <si>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</si>
  <si>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</si>
  <si>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</si>
  <si>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</si>
  <si>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</si>
  <si>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</si>
  <si>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</si>
  <si>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</si>
  <si>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</si>
  <si>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</si>
  <si>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</si>
  <si>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</si>
  <si>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</si>
  <si>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</si>
  <si>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</si>
  <si>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</si>
  <si>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</si>
  <si>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</si>
  <si>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</si>
  <si>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</si>
  <si>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</si>
  <si>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</si>
  <si>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</si>
  <si>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</si>
  <si>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</si>
  <si>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</si>
  <si>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</si>
  <si>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</si>
  <si>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</si>
  <si>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</si>
  <si>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</si>
  <si>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</si>
  <si>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</si>
  <si>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</si>
  <si>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</si>
  <si>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</si>
  <si>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</si>
  <si>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</si>
  <si>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</si>
  <si>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</si>
  <si>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</si>
  <si>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</si>
  <si>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</si>
  <si>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</si>
  <si>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</si>
  <si>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</si>
  <si>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</si>
  <si>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</si>
  <si>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</si>
  <si>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</si>
  <si>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</si>
  <si>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</si>
  <si>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</si>
  <si>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</si>
  <si>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</si>
  <si>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</si>
  <si>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</si>
  <si>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</si>
  <si>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</si>
  <si>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</si>
  <si>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</si>
  <si>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</si>
  <si>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</si>
  <si>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০৯-০২-২০২৬ তারিখে মূল্য হ্রাস পেয়েছে।</t>
  </si>
  <si>
    <t>স্মারক নং-২৬.০৫.০০০০.০১৭.৩১.০১.২৬-১৩৩</t>
  </si>
  <si>
    <t xml:space="preserve">রবিবার ১৫ ফেব্রুয়ারী ২০২৬ খ্রিঃ, ০২  ফাল্গুন ১৪৩২ বাংলা, ২৬ শাবান ১৪৪৭ হিজরি </t>
  </si>
  <si>
    <t xml:space="preserve">   সিরিয়াল নংঃ     ০৪৩</t>
  </si>
  <si>
    <t>১৫-০২-২০২৬ তারিখে মূল্য হ্রাস পেয়েছে।</t>
  </si>
  <si>
    <t>১৫-০২-২০২৬ তারিখে মূল্য বৃদ্ধি পেয়েছে।</t>
  </si>
  <si>
    <t>(২)   সয়াবিন তেল লুজ, সুপার পাম অয়েল, মসুর ডাল (বড়), পেঁয়াজ (দেশী), রশুন (দেশী), আদা (আম), মুরগী ব্রয়লার    এর মূল্য বৃদ্ধি পেয়েছে।</t>
  </si>
  <si>
    <t>(১)   আটা (খোলা), ময়দা (খোলা), আলু, রশুন (আম)    এর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</si>
  <si>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হল, নিউমার্কেট, মিরপুর-৬, মহাখালী  বাজার।   </t>
  </si>
  <si>
    <t xml:space="preserve"> (মোঃ আনিছুর রহমান)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</si>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</sst>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3"/>
  <sheetViews>
    <sheetView tabSelected="1" zoomScale="112" zoomScaleNormal="112" workbookViewId="0">
      <selection activeCell="H95" sqref="H9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120</v>
      </c>
      <c r="L6" s="87"/>
    </row>
    <row r="7" spans="1:12" ht="19.5" customHeight="1">
      <c r="A7" s="17"/>
      <c r="B7" s="8"/>
      <c r="C7" s="8"/>
      <c r="D7" s="17"/>
      <c r="E7" s="8"/>
      <c r="F7" s="8" t="s">
        <v>119</v>
      </c>
      <c r="G7" s="8"/>
      <c r="H7" s="8"/>
      <c r="I7" s="8"/>
      <c r="J7" s="8"/>
      <c r="K7" s="8"/>
      <c r="L7" s="49"/>
    </row>
    <row r="8" spans="1:12" ht="21.75">
      <c r="A8" s="20" t="s">
        <v>118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46068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46068</v>
      </c>
      <c r="D10" s="87"/>
      <c r="E10" s="88">
        <v>46061</v>
      </c>
      <c r="F10" s="87"/>
      <c r="G10" s="88">
        <v>46037</v>
      </c>
      <c r="H10" s="87"/>
      <c r="I10" s="26" t="s">
        <v>12</v>
      </c>
      <c r="J10" s="88">
        <v>45702</v>
      </c>
      <c r="K10" s="87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50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-4.2553191489361701</v>
      </c>
      <c r="J16" s="29">
        <v>40</v>
      </c>
      <c r="K16" s="29">
        <v>45</v>
      </c>
      <c r="L16" s="31">
        <f>((C16+D16)/2-(J16+K16)/2)/((J16+K16)/2)*100</f>
        <v>5.8823529411764701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65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-3.4188034188034191</v>
      </c>
      <c r="J18" s="29">
        <v>55</v>
      </c>
      <c r="K18" s="29">
        <v>60</v>
      </c>
      <c r="L18" s="31">
        <f>((C18+D18)/2-(J18+K18)/2)/((J18+K18)/2)*100</f>
        <v>-1.7391304347826086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176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180</v>
      </c>
      <c r="K21" s="29">
        <v>185</v>
      </c>
      <c r="L21" s="31">
        <f t="shared" ref="L21:L27" si="1">((C21+D21)/2-(J21+K21)/2)/((J21+K21)/2)*100</f>
        <v>-1.095890410958904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380</v>
      </c>
      <c r="H23" s="29">
        <v>395</v>
      </c>
      <c r="I23" s="30">
        <f t="shared" si="0"/>
        <v>0.64516129032258063</v>
      </c>
      <c r="J23" s="29">
        <v>348</v>
      </c>
      <c r="K23" s="29">
        <v>350</v>
      </c>
      <c r="L23" s="31">
        <f t="shared" si="1"/>
        <v>11.74785100286533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148</v>
      </c>
      <c r="K25" s="29">
        <v>152</v>
      </c>
      <c r="L25" s="31">
        <f t="shared" si="1"/>
        <v>5.6666666666666661</v>
      </c>
    </row>
    <row r="26" spans="1:12" ht="21.75">
      <c r="A26" s="69" t="s">
        <v>104</v>
      </c>
      <c r="B26" s="6" t="s">
        <v>28</v>
      </c>
      <c r="C26" s="29">
        <v>162</v>
      </c>
      <c r="D26" s="29">
        <v>165</v>
      </c>
      <c r="E26" s="29">
        <v>160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110</v>
      </c>
      <c r="K34" s="29">
        <v>120</v>
      </c>
      <c r="L34" s="31">
        <f t="shared" si="3"/>
        <v>-23.913043478260871</v>
      </c>
    </row>
    <row r="35" spans="1:12" ht="21.75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30</v>
      </c>
      <c r="G35" s="29">
        <v>20</v>
      </c>
      <c r="H35" s="29">
        <v>40</v>
      </c>
      <c r="I35" s="30">
        <f t="shared" si="2"/>
        <v>-25</v>
      </c>
      <c r="J35" s="29">
        <v>20</v>
      </c>
      <c r="K35" s="29">
        <v>25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114</v>
      </c>
      <c r="B37" s="6" t="s">
        <v>18</v>
      </c>
      <c r="C37" s="29">
        <v>50</v>
      </c>
      <c r="D37" s="29">
        <v>60</v>
      </c>
      <c r="E37" s="29">
        <v>45</v>
      </c>
      <c r="F37" s="29">
        <v>60</v>
      </c>
      <c r="G37" s="29">
        <v>50</v>
      </c>
      <c r="H37" s="29">
        <v>70</v>
      </c>
      <c r="I37" s="30">
        <f t="shared" ref="I37:I52" si="4">((C37+D37)/2-(G37+H37)/2)/((G37+H37)/2)*100</f>
        <v>-8.3333333333333321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80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90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4.5454545454545459</v>
      </c>
      <c r="J39" s="29">
        <v>140</v>
      </c>
      <c r="K39" s="29">
        <v>240</v>
      </c>
      <c r="L39" s="31">
        <f t="shared" si="5"/>
        <v>-39.473684210526315</v>
      </c>
    </row>
    <row r="40" spans="1:12" ht="21.75">
      <c r="A40" s="69" t="s">
        <v>45</v>
      </c>
      <c r="B40" s="6" t="s">
        <v>18</v>
      </c>
      <c r="C40" s="29">
        <v>160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0</v>
      </c>
      <c r="J40" s="29">
        <v>210</v>
      </c>
      <c r="K40" s="29">
        <v>240</v>
      </c>
      <c r="L40" s="31">
        <f t="shared" si="5"/>
        <v>-20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0</v>
      </c>
      <c r="J45" s="29">
        <v>100</v>
      </c>
      <c r="K45" s="29">
        <v>150</v>
      </c>
      <c r="L45" s="31">
        <f t="shared" si="5"/>
        <v>36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200</v>
      </c>
      <c r="E58" s="29">
        <v>180</v>
      </c>
      <c r="F58" s="29">
        <v>190</v>
      </c>
      <c r="G58" s="29">
        <v>160</v>
      </c>
      <c r="H58" s="29">
        <v>180</v>
      </c>
      <c r="I58" s="30">
        <f t="shared" si="6"/>
        <v>11.76470588235294</v>
      </c>
      <c r="J58" s="29">
        <v>190</v>
      </c>
      <c r="K58" s="29">
        <v>220</v>
      </c>
      <c r="L58" s="31">
        <f t="shared" si="7"/>
        <v>-7.3170731707317067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46068</v>
      </c>
      <c r="D69" s="87"/>
      <c r="E69" s="88">
        <v>46061</v>
      </c>
      <c r="F69" s="87"/>
      <c r="G69" s="88">
        <v>46037</v>
      </c>
      <c r="H69" s="87"/>
      <c r="I69" s="26" t="s">
        <v>12</v>
      </c>
      <c r="J69" s="88">
        <v>45702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40</v>
      </c>
      <c r="K74" s="37">
        <v>45</v>
      </c>
      <c r="L74" s="31">
        <f t="shared" si="8"/>
        <v>-12.941176470588237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92200</v>
      </c>
      <c r="L76" s="31">
        <f t="shared" si="8"/>
        <v>-9.6615720524017465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89" t="s">
        <v>125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124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123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1" t="s">
        <v>6</v>
      </c>
      <c r="D84" s="92"/>
      <c r="E84" s="93" t="s">
        <v>82</v>
      </c>
      <c r="F84" s="94"/>
      <c r="G84" s="77" t="s">
        <v>12</v>
      </c>
      <c r="H84" s="91" t="s">
        <v>83</v>
      </c>
      <c r="I84" s="95"/>
      <c r="J84" s="92"/>
      <c r="K84" s="50"/>
      <c r="L84" s="17"/>
    </row>
    <row r="85" spans="1:12" ht="21.75">
      <c r="A85" s="69" t="s">
        <v>21</v>
      </c>
      <c r="B85" s="6" t="s">
        <v>18</v>
      </c>
      <c r="C85" s="29">
        <v>40</v>
      </c>
      <c r="D85" s="29">
        <v>50</v>
      </c>
      <c r="E85" s="29">
        <v>44</v>
      </c>
      <c r="F85" s="29">
        <v>50</v>
      </c>
      <c r="G85" s="7">
        <f t="shared" ref="G85:G88" si="10">((C85+D85)/2-(E85+F85)/2)/((E85+F85)/2)*100</f>
        <v>-4.2553191489361701</v>
      </c>
      <c r="H85" s="5" t="s">
        <v>121</v>
      </c>
      <c r="I85" s="6"/>
      <c r="J85" s="6"/>
      <c r="K85" s="50"/>
      <c r="L85" s="17"/>
    </row>
    <row r="86" spans="1:12" ht="21.75">
      <c r="A86" s="69" t="s">
        <v>24</v>
      </c>
      <c r="B86" s="6" t="s">
        <v>18</v>
      </c>
      <c r="C86" s="29">
        <v>48</v>
      </c>
      <c r="D86" s="29">
        <v>65</v>
      </c>
      <c r="E86" s="29">
        <v>52</v>
      </c>
      <c r="F86" s="29">
        <v>65</v>
      </c>
      <c r="G86" s="7">
        <f t="shared" si="10"/>
        <v>-3.4188034188034191</v>
      </c>
      <c r="H86" s="5" t="s">
        <v>121</v>
      </c>
      <c r="I86" s="6"/>
      <c r="J86" s="6"/>
      <c r="K86" s="50"/>
      <c r="L86" s="17"/>
    </row>
    <row r="87" spans="1:12" ht="21.75">
      <c r="A87" s="69" t="s">
        <v>27</v>
      </c>
      <c r="B87" s="6" t="s">
        <v>28</v>
      </c>
      <c r="C87" s="29">
        <v>176</v>
      </c>
      <c r="D87" s="29">
        <v>185</v>
      </c>
      <c r="E87" s="29">
        <v>175</v>
      </c>
      <c r="F87" s="29">
        <v>185</v>
      </c>
      <c r="G87" s="7">
        <f t="shared" si="10"/>
        <v>0.27777777777777779</v>
      </c>
      <c r="H87" s="5" t="s">
        <v>122</v>
      </c>
      <c r="I87" s="6"/>
      <c r="J87" s="6"/>
      <c r="K87" s="50"/>
      <c r="L87" s="17"/>
    </row>
    <row r="88" spans="1:12" ht="21.75">
      <c r="A88" s="69" t="s">
        <v>104</v>
      </c>
      <c r="B88" s="6" t="s">
        <v>28</v>
      </c>
      <c r="C88" s="29">
        <v>162</v>
      </c>
      <c r="D88" s="29">
        <v>165</v>
      </c>
      <c r="E88" s="29">
        <v>160</v>
      </c>
      <c r="F88" s="29">
        <v>165</v>
      </c>
      <c r="G88" s="7">
        <f t="shared" si="10"/>
        <v>0.61538461538461542</v>
      </c>
      <c r="H88" s="5" t="s">
        <v>122</v>
      </c>
      <c r="I88" s="6"/>
      <c r="J88" s="6"/>
      <c r="K88" s="50"/>
      <c r="L88" s="17"/>
    </row>
    <row r="89" spans="1:12" ht="21.75">
      <c r="A89" s="69" t="s">
        <v>37</v>
      </c>
      <c r="B89" s="6" t="s">
        <v>18</v>
      </c>
      <c r="C89" s="29">
        <v>85</v>
      </c>
      <c r="D89" s="29">
        <v>105</v>
      </c>
      <c r="E89" s="29">
        <v>80</v>
      </c>
      <c r="F89" s="29">
        <v>105</v>
      </c>
      <c r="G89" s="7">
        <f>((C89+D89)/2-(E89+F89)/2)/((E89+F89)/2)*100</f>
        <v>2.7027027027027026</v>
      </c>
      <c r="H89" s="5" t="s">
        <v>122</v>
      </c>
      <c r="I89" s="6"/>
      <c r="J89" s="6"/>
      <c r="K89" s="50"/>
      <c r="L89" s="17"/>
    </row>
    <row r="90" spans="1:12" ht="21.75">
      <c r="A90" s="69" t="s">
        <v>113</v>
      </c>
      <c r="B90" s="6" t="s">
        <v>18</v>
      </c>
      <c r="C90" s="29">
        <v>20</v>
      </c>
      <c r="D90" s="29">
        <v>25</v>
      </c>
      <c r="E90" s="29">
        <v>20</v>
      </c>
      <c r="F90" s="29">
        <v>30</v>
      </c>
      <c r="G90" s="7">
        <f t="shared" ref="G90:G92" si="11">((C90+D90)/2-(E90+F90)/2)/((E90+F90)/2)*100</f>
        <v>-10</v>
      </c>
      <c r="H90" s="5" t="s">
        <v>117</v>
      </c>
      <c r="I90" s="6"/>
      <c r="J90" s="6"/>
      <c r="K90" s="50"/>
      <c r="L90" s="17"/>
    </row>
    <row r="91" spans="1:12" ht="21.75">
      <c r="A91" s="82" t="s">
        <v>114</v>
      </c>
      <c r="B91" s="6" t="s">
        <v>18</v>
      </c>
      <c r="C91" s="29">
        <v>50</v>
      </c>
      <c r="D91" s="29">
        <v>60</v>
      </c>
      <c r="E91" s="29">
        <v>45</v>
      </c>
      <c r="F91" s="29">
        <v>60</v>
      </c>
      <c r="G91" s="7">
        <f t="shared" si="11"/>
        <v>4.7619047619047619</v>
      </c>
      <c r="H91" s="5" t="s">
        <v>122</v>
      </c>
      <c r="I91" s="6"/>
      <c r="J91" s="6"/>
      <c r="K91" s="50"/>
      <c r="L91" s="17"/>
    </row>
    <row r="92" spans="1:12" ht="21.75">
      <c r="A92" s="69" t="s">
        <v>44</v>
      </c>
      <c r="B92" s="6" t="s">
        <v>18</v>
      </c>
      <c r="C92" s="29">
        <v>90</v>
      </c>
      <c r="D92" s="29">
        <v>140</v>
      </c>
      <c r="E92" s="29">
        <v>80</v>
      </c>
      <c r="F92" s="29">
        <v>140</v>
      </c>
      <c r="G92" s="7">
        <f t="shared" si="11"/>
        <v>4.5454545454545459</v>
      </c>
      <c r="H92" s="5" t="s">
        <v>122</v>
      </c>
      <c r="I92" s="6"/>
      <c r="J92" s="6"/>
      <c r="K92" s="50"/>
      <c r="L92" s="17"/>
    </row>
    <row r="93" spans="1:12" ht="24.75">
      <c r="A93" s="69" t="s">
        <v>45</v>
      </c>
      <c r="B93" s="6" t="s">
        <v>18</v>
      </c>
      <c r="C93" s="29">
        <v>160</v>
      </c>
      <c r="D93" s="29">
        <v>200</v>
      </c>
      <c r="E93" s="29">
        <v>180</v>
      </c>
      <c r="F93" s="29">
        <v>200</v>
      </c>
      <c r="G93" s="7">
        <f>((C93+D93)/2-(E93+F93)/2)/((E93+F93)/2)*100</f>
        <v>-5.2631578947368416</v>
      </c>
      <c r="H93" s="5" t="s">
        <v>121</v>
      </c>
      <c r="I93" s="6"/>
      <c r="J93" s="6"/>
      <c r="K93" s="40"/>
      <c r="L93" s="11"/>
    </row>
    <row r="94" spans="1:12" ht="24.75">
      <c r="A94" s="69" t="s">
        <v>51</v>
      </c>
      <c r="B94" s="6" t="s">
        <v>18</v>
      </c>
      <c r="C94" s="29">
        <v>150</v>
      </c>
      <c r="D94" s="29">
        <v>220</v>
      </c>
      <c r="E94" s="29">
        <v>140</v>
      </c>
      <c r="F94" s="29">
        <v>220</v>
      </c>
      <c r="G94" s="7">
        <f t="shared" ref="G94:G95" si="12">((C94+D94)/2-(E94+F94)/2)/((E94+F94)/2)*100</f>
        <v>2.7777777777777777</v>
      </c>
      <c r="H94" s="5" t="s">
        <v>122</v>
      </c>
      <c r="I94" s="6"/>
      <c r="J94" s="6"/>
      <c r="K94" s="40"/>
      <c r="L94" s="11"/>
    </row>
    <row r="95" spans="1:12" ht="24.75">
      <c r="A95" s="69" t="s">
        <v>61</v>
      </c>
      <c r="B95" s="6" t="s">
        <v>18</v>
      </c>
      <c r="C95" s="29">
        <v>180</v>
      </c>
      <c r="D95" s="29">
        <v>200</v>
      </c>
      <c r="E95" s="29">
        <v>180</v>
      </c>
      <c r="F95" s="29">
        <v>190</v>
      </c>
      <c r="G95" s="7">
        <f t="shared" si="12"/>
        <v>2.7027027027027026</v>
      </c>
      <c r="H95" s="5" t="s">
        <v>122</v>
      </c>
      <c r="I95" s="6"/>
      <c r="J95" s="6"/>
      <c r="K95" s="40"/>
      <c r="L95" s="11"/>
    </row>
    <row r="96" spans="1:12" ht="24.75">
      <c r="A96" s="96"/>
      <c r="B96" s="97"/>
      <c r="C96" s="78"/>
      <c r="D96" s="78"/>
      <c r="E96" s="78"/>
      <c r="F96" s="78"/>
      <c r="G96" s="9"/>
      <c r="H96" s="98"/>
      <c r="I96" s="97"/>
      <c r="J96" s="97"/>
      <c r="K96" s="40"/>
      <c r="L96" s="11"/>
    </row>
    <row r="97" spans="1:12" ht="24.75">
      <c r="A97" s="96"/>
      <c r="B97" s="97"/>
      <c r="C97" s="78"/>
      <c r="D97" s="78"/>
      <c r="E97" s="78"/>
      <c r="F97" s="78"/>
      <c r="G97" s="9"/>
      <c r="H97" s="98"/>
      <c r="I97" s="97"/>
      <c r="J97" s="97"/>
      <c r="K97" s="40"/>
      <c r="L97" s="11"/>
    </row>
    <row r="98" spans="1:12" ht="24.75">
      <c r="A98" s="72"/>
      <c r="B98" s="3"/>
      <c r="C98" s="78"/>
      <c r="D98" s="78"/>
      <c r="E98" s="78"/>
      <c r="F98" s="78"/>
      <c r="G98" s="38"/>
      <c r="H98" s="39"/>
      <c r="I98" s="40"/>
      <c r="J98" s="40"/>
      <c r="K98" s="40"/>
      <c r="L98" s="11"/>
    </row>
    <row r="99" spans="1:12" ht="24.75">
      <c r="A99" s="1"/>
      <c r="C99" s="14"/>
      <c r="D99" s="14"/>
      <c r="E99" s="13"/>
      <c r="F99" s="14"/>
      <c r="G99" s="38"/>
      <c r="H99" s="39"/>
      <c r="I99" s="40"/>
      <c r="J99" s="40"/>
      <c r="K99" s="40"/>
      <c r="L99" s="11"/>
    </row>
    <row r="100" spans="1:12" ht="24.75">
      <c r="A100" s="41"/>
      <c r="B100" s="42" t="s">
        <v>115</v>
      </c>
      <c r="C100" s="10"/>
      <c r="E100" s="83"/>
      <c r="F100" s="84"/>
      <c r="G100" s="85"/>
      <c r="I100" s="12"/>
      <c r="J100" s="13" t="s">
        <v>126</v>
      </c>
      <c r="K100" s="10"/>
    </row>
    <row r="101" spans="1:12" ht="24.75">
      <c r="A101" s="43"/>
      <c r="B101" s="42" t="s">
        <v>116</v>
      </c>
      <c r="C101" s="13"/>
      <c r="E101" s="43"/>
      <c r="F101" s="84"/>
      <c r="G101" s="85"/>
      <c r="I101" s="76"/>
      <c r="J101" s="13" t="s">
        <v>127</v>
      </c>
    </row>
    <row r="102" spans="1:12" ht="24.75">
      <c r="A102" s="1"/>
      <c r="B102" s="13"/>
      <c r="C102" s="14"/>
      <c r="D102" s="13"/>
      <c r="E102" s="14"/>
      <c r="F102" s="44"/>
      <c r="G102" s="46"/>
      <c r="H102" s="46"/>
      <c r="I102" s="45"/>
      <c r="J102" s="10"/>
      <c r="K102" s="10"/>
      <c r="L102" s="2"/>
    </row>
    <row r="103" spans="1:12" ht="19.5">
      <c r="A103" s="55" t="s">
        <v>91</v>
      </c>
      <c r="B103" s="53"/>
      <c r="C103" s="51"/>
      <c r="D103" s="53"/>
      <c r="E103" s="51"/>
      <c r="F103" s="51"/>
      <c r="G103" s="51"/>
      <c r="H103" s="52"/>
      <c r="I103" s="57"/>
      <c r="J103" s="2"/>
      <c r="K103" s="2"/>
      <c r="L103" s="2"/>
    </row>
    <row r="104" spans="1:12" ht="19.5">
      <c r="A104" s="54" t="s">
        <v>97</v>
      </c>
      <c r="B104" s="53"/>
      <c r="C104" s="51"/>
      <c r="D104" s="53"/>
      <c r="E104" s="51"/>
      <c r="F104" s="51"/>
      <c r="G104" s="53"/>
      <c r="H104" s="52"/>
      <c r="I104" s="57"/>
      <c r="J104" s="2"/>
      <c r="K104" s="2"/>
      <c r="L104" s="2"/>
    </row>
    <row r="105" spans="1:12" ht="19.5">
      <c r="A105" s="54" t="s">
        <v>96</v>
      </c>
      <c r="B105" s="53"/>
      <c r="C105" s="53"/>
      <c r="D105" s="53"/>
      <c r="E105" s="53"/>
      <c r="F105" s="51"/>
      <c r="G105" s="53"/>
      <c r="H105" s="52"/>
      <c r="I105" s="57"/>
      <c r="J105" s="2"/>
      <c r="K105" s="2"/>
      <c r="L105" s="2"/>
    </row>
    <row r="106" spans="1:12" ht="19.5">
      <c r="A106" s="54" t="s">
        <v>84</v>
      </c>
      <c r="B106" s="53"/>
      <c r="C106" s="53"/>
      <c r="D106" s="53"/>
      <c r="E106" s="53"/>
      <c r="F106" s="52"/>
      <c r="G106" s="52"/>
      <c r="H106" s="52"/>
      <c r="I106" s="57"/>
      <c r="J106" s="2"/>
      <c r="K106" s="2"/>
      <c r="L106" s="2"/>
    </row>
    <row r="107" spans="1:12" ht="19.5">
      <c r="A107" s="54" t="s">
        <v>95</v>
      </c>
      <c r="B107" s="53"/>
      <c r="C107" s="53"/>
      <c r="D107" s="53"/>
      <c r="E107" s="53"/>
      <c r="F107" s="53"/>
      <c r="G107" s="52"/>
      <c r="H107" s="52"/>
      <c r="I107" s="57"/>
      <c r="J107" s="2"/>
      <c r="K107" s="2"/>
      <c r="L107" s="2"/>
    </row>
    <row r="108" spans="1:12" ht="19.5">
      <c r="A108" s="54" t="s">
        <v>94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85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99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98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100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86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/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5" t="s">
        <v>87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88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111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110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109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2026-02-15T07:59:03Z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