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91" i="4" l="1"/>
  <c r="G90" i="4"/>
  <c r="G89" i="4"/>
  <c r="G88" i="4"/>
  <c r="G99" i="4"/>
  <c r="G100" i="4"/>
  <c r="G96" i="4"/>
  <c r="G97" i="4"/>
  <c r="G93" i="4"/>
  <c r="G101" i="4"/>
  <c r="G102" i="4"/>
  <c r="G103" i="4"/>
  <c r="G95" i="4"/>
  <c r="G94" i="4"/>
  <c r="G104" i="4"/>
  <c r="G98" i="4"/>
  <c r="G92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<sst xmlns="http://schemas.openxmlformats.org/spreadsheetml/2006/main" count="270" uniqueCount="138">
  <si>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</si>
  <si>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</si>
  <si>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</si>
  <si>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</si>
  <si>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</si>
  <si>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</si>
  <si>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</si>
  <si>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</si>
  <si>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</si>
  <si>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</si>
  <si>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</si>
  <si>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</si>
  <si>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</si>
  <si>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</si>
  <si>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</si>
  <si>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</si>
  <si>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</si>
  <si>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</si>
  <si>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</si>
  <si>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</si>
  <si>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</si>
  <si>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</si>
  <si>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</si>
  <si>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</si>
  <si>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</si>
  <si>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</si>
  <si>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</si>
  <si>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</si>
  <si>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</si>
  <si>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</si>
  <si>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</si>
  <si>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</si>
  <si>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</si>
  <si>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</si>
  <si>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</si>
  <si>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</si>
  <si>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</si>
  <si>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</si>
  <si>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</si>
  <si>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</si>
  <si>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</si>
  <si>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</si>
  <si>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</si>
  <si>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</si>
  <si>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</si>
  <si>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</si>
  <si>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</si>
  <si>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</si>
  <si>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</si>
  <si>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</si>
  <si>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</si>
  <si>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</si>
  <si>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</si>
  <si>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</si>
  <si>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</si>
  <si>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</si>
  <si>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</si>
  <si>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</si>
  <si>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</si>
  <si>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</si>
  <si>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</si>
  <si>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</si>
  <si>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</si>
  <si>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</si>
  <si>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</si>
  <si>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</si>
  <si>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</si>
  <si>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</si>
  <si>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</si>
  <si>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</si>
  <si>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</si>
  <si>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</si>
  <si>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</si>
  <si>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</si>
  <si>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</si>
  <si>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</si>
  <si>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</si>
  <si>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</si>
  <si>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</si>
  <si>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</si>
  <si>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</si>
  <si>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</si>
  <si>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</si>
  <si>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</si>
  <si>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</si>
  <si>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</si>
  <si>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</si>
  <si>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</si>
  <si>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</si>
  <si>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</si>
  <si>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</si>
  <si>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</si>
  <si>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</si>
  <si>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</si>
  <si>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</si>
  <si>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</si>
  <si>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</si>
  <si>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</si>
  <si>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</si>
  <si>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</si>
  <si>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</si>
  <si>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</si>
  <si>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</si>
  <si>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</si>
  <si>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</si>
  <si>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</si>
  <si>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</si>
  <si>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</si>
  <si>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</si>
  <si>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</si>
  <si>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</si>
  <si>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</si>
  <si>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</si>
  <si>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</si>
  <si>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</si>
  <si>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</si>
  <si>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</si>
  <si>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</si>
  <si>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</si>
  <si>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</si>
  <si>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</si>
  <si>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</si>
  <si>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০৬-০৪-২০২৬ তারিখে মূল্য বৃদ্ধি পেয়েছে।</t>
  </si>
  <si>
    <t>০৬-০৪-২০২৬ তারিখে মূল্য হ্রাস পেয়েছে।</t>
  </si>
  <si>
    <t>০৭-০৪-২০২৬ তারিখে মূল্য বৃদ্ধি পেয়েছে।</t>
  </si>
  <si>
    <t>০৮-০৪-২০২৬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</si>
  <si>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মালিবাগ, মিরপুর-৬, মোহাম্মদপুর টাউন হল, নিউমার্কেট, রামপুরা, মহাখালী  বাজার।   </t>
  </si>
  <si>
    <t>০৯-০৪-২০২৬ তারিখে মূল্য বৃদ্ধি পেয়েছে।</t>
  </si>
  <si>
    <t>১০-০৪-২০২৬ তারিখে মূল্য বৃদ্ধি পেয়েছে।</t>
  </si>
  <si>
    <t>১১-০৪-২০২৬ তারিখে মূল্য হ্রাস পেয়েছে।</t>
  </si>
  <si>
    <t>১২-০৪-২০২৬ তারিখে মূল্য হ্রাস পেয়েছে।</t>
  </si>
  <si>
    <t>১২-০৪-২০২৬ তারিখে মূল্য বৃদ্ধি পেয়েছে।</t>
  </si>
  <si>
    <t xml:space="preserve">      আদা (দেশী), চিনি, মুরগী ব্রয়লার, কাঁচামরিচ, বেগুন, শসা   এর মূল্য বৃদ্ধি পেয়েছে।</t>
  </si>
  <si>
    <t xml:space="preserve">(২)   চাল (বড়), আটা (খোলা), ময়দা (খোলা, প্যঃ), পাম অয়েল (লুজ, সুপার), আলু, রশুন (দেশী), </t>
  </si>
  <si>
    <t>(১)   সয়াবিন লুজ, পেঁয়াজ (দেশী), রশুন (আম)  এর মূল্য হ্রাস পেয়েছে।</t>
  </si>
  <si>
    <t>স্মারক নং-২৬.০৫.০০০০.০১৭.৩১.০১.২৬-২৭৭</t>
  </si>
  <si>
    <t xml:space="preserve">   সিরিয়াল নংঃ     ০৮৮</t>
  </si>
  <si>
    <t xml:space="preserve">রবিবার ১২ এপ্রিল ২০২৬ খ্রিঃ, ২৯ চৈত্র ১৪৩২ বাংলা, ২৩ শাওয়াল ১৪৪৭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</si>
</sst>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243281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31"/>
  <sheetViews>
    <sheetView tabSelected="1" topLeftCell="A2" zoomScale="130" zoomScaleNormal="130" workbookViewId="0">
      <selection activeCell="F6" sqref="F6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3" t="s">
        <v>136</v>
      </c>
      <c r="L5" s="72"/>
    </row>
    <row r="6" spans="1:12" ht="19.5" customHeight="1">
      <c r="A6" s="10"/>
      <c r="B6" s="8"/>
      <c r="C6" s="8"/>
      <c r="D6" s="10"/>
      <c r="E6" s="8"/>
      <c r="F6" s="8" t="s">
        <v>137</v>
      </c>
      <c r="G6" s="8"/>
      <c r="H6" s="8"/>
      <c r="I6" s="8"/>
      <c r="J6" s="8"/>
      <c r="K6" s="8"/>
      <c r="L6" s="30"/>
    </row>
    <row r="7" spans="1:12" ht="21.75">
      <c r="A7" s="13" t="s">
        <v>135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46124</v>
      </c>
    </row>
    <row r="8" spans="1:12" ht="19.5">
      <c r="A8" s="5" t="s">
        <v>4</v>
      </c>
      <c r="B8" s="6" t="s">
        <v>5</v>
      </c>
      <c r="C8" s="69" t="s">
        <v>6</v>
      </c>
      <c r="D8" s="70"/>
      <c r="E8" s="69" t="s">
        <v>7</v>
      </c>
      <c r="F8" s="70"/>
      <c r="G8" s="69" t="s">
        <v>8</v>
      </c>
      <c r="H8" s="70"/>
      <c r="I8" s="6" t="s">
        <v>9</v>
      </c>
      <c r="J8" s="69" t="s">
        <v>10</v>
      </c>
      <c r="K8" s="70"/>
      <c r="L8" s="55" t="s">
        <v>11</v>
      </c>
    </row>
    <row r="9" spans="1:12" ht="21.75">
      <c r="A9" s="5"/>
      <c r="B9" s="6"/>
      <c r="C9" s="71">
        <v>46124</v>
      </c>
      <c r="D9" s="72"/>
      <c r="E9" s="71">
        <v>46117</v>
      </c>
      <c r="F9" s="72"/>
      <c r="G9" s="71">
        <v>46093</v>
      </c>
      <c r="H9" s="72"/>
      <c r="I9" s="18" t="s">
        <v>12</v>
      </c>
      <c r="J9" s="71">
        <v>45759</v>
      </c>
      <c r="K9" s="72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55</v>
      </c>
      <c r="D13" s="20">
        <v>60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4.5454545454545459</v>
      </c>
      <c r="J13" s="20">
        <v>50</v>
      </c>
      <c r="K13" s="20">
        <v>55</v>
      </c>
      <c r="L13" s="22">
        <f>((C13+D13)/2-(J13+K13)/2)/((J13+K13)/2)*100</f>
        <v>9.5238095238095237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42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2.3529411764705883</v>
      </c>
      <c r="J15" s="20">
        <v>40</v>
      </c>
      <c r="K15" s="20">
        <v>45</v>
      </c>
      <c r="L15" s="22">
        <f>((C15+D15)/2-(J15+K15)/2)/((J15+K15)/2)*100</f>
        <v>2.3529411764705883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.75">
      <c r="A17" s="61" t="s">
        <v>23</v>
      </c>
      <c r="B17" s="6" t="s">
        <v>17</v>
      </c>
      <c r="C17" s="20">
        <v>50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1.8518518518518516</v>
      </c>
      <c r="J17" s="20">
        <v>50</v>
      </c>
      <c r="K17" s="20">
        <v>60</v>
      </c>
      <c r="L17" s="22">
        <f>((C17+D17)/2-(J17+K17)/2)/((J17+K17)/2)*100</f>
        <v>0</v>
      </c>
    </row>
    <row r="18" spans="1:12" ht="21.75">
      <c r="A18" s="61" t="s">
        <v>24</v>
      </c>
      <c r="B18" s="6" t="s">
        <v>22</v>
      </c>
      <c r="C18" s="20">
        <v>65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3.7037037037037033</v>
      </c>
      <c r="J18" s="20">
        <v>60</v>
      </c>
      <c r="K18" s="20">
        <v>70</v>
      </c>
      <c r="L18" s="22">
        <f>((C18+D18)/2-(J18+K18)/2)/((J18+K18)/2)*100</f>
        <v>7.6923076923076925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192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-0.26455026455026454</v>
      </c>
      <c r="J20" s="20">
        <v>158</v>
      </c>
      <c r="K20" s="20">
        <v>168</v>
      </c>
      <c r="L20" s="22">
        <f t="shared" ref="L20:L26" si="1">((C20+D20)/2-(J20+K20)/2)/((J20+K20)/2)*100</f>
        <v>15.644171779141105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164</v>
      </c>
      <c r="D24" s="20">
        <v>168</v>
      </c>
      <c r="E24" s="20">
        <v>162</v>
      </c>
      <c r="F24" s="20">
        <v>168</v>
      </c>
      <c r="G24" s="20">
        <v>163</v>
      </c>
      <c r="H24" s="20">
        <v>168</v>
      </c>
      <c r="I24" s="21">
        <f t="shared" si="0"/>
        <v>0.30211480362537763</v>
      </c>
      <c r="J24" s="20">
        <v>144</v>
      </c>
      <c r="K24" s="20">
        <v>153</v>
      </c>
      <c r="L24" s="22">
        <f t="shared" si="1"/>
        <v>11.784511784511785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155</v>
      </c>
      <c r="L25" s="22">
        <f t="shared" si="1"/>
        <v>10.491803278688524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25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30</v>
      </c>
      <c r="D36" s="20">
        <v>40</v>
      </c>
      <c r="E36" s="20">
        <v>30</v>
      </c>
      <c r="F36" s="20">
        <v>45</v>
      </c>
      <c r="G36" s="20">
        <v>30</v>
      </c>
      <c r="H36" s="20">
        <v>50</v>
      </c>
      <c r="I36" s="21">
        <f t="shared" ref="I36:I51" si="4">((C36+D36)/2-(G36+H36)/2)/((G36+H36)/2)*100</f>
        <v>-12.5</v>
      </c>
      <c r="J36" s="20">
        <v>30</v>
      </c>
      <c r="K36" s="20">
        <v>50</v>
      </c>
      <c r="L36" s="22">
        <f t="shared" ref="L36:L51" si="5">((C36+D36)/2-(J36+K36)/2)/((J36+K36)/2)*100</f>
        <v>-12.5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100</v>
      </c>
      <c r="D38" s="20">
        <v>140</v>
      </c>
      <c r="E38" s="20">
        <v>70</v>
      </c>
      <c r="F38" s="20">
        <v>130</v>
      </c>
      <c r="G38" s="20">
        <v>60</v>
      </c>
      <c r="H38" s="20">
        <v>130</v>
      </c>
      <c r="I38" s="21">
        <f t="shared" si="4"/>
        <v>26.315789473684209</v>
      </c>
      <c r="J38" s="20">
        <v>80</v>
      </c>
      <c r="K38" s="20">
        <v>160</v>
      </c>
      <c r="L38" s="22">
        <f t="shared" si="5"/>
        <v>0</v>
      </c>
    </row>
    <row r="39" spans="1:12" ht="21.75">
      <c r="A39" s="61" t="s">
        <v>44</v>
      </c>
      <c r="B39" s="6" t="s">
        <v>17</v>
      </c>
      <c r="C39" s="20">
        <v>160</v>
      </c>
      <c r="D39" s="20">
        <v>220</v>
      </c>
      <c r="E39" s="20">
        <v>170</v>
      </c>
      <c r="F39" s="20">
        <v>220</v>
      </c>
      <c r="G39" s="20">
        <v>200</v>
      </c>
      <c r="H39" s="20">
        <v>240</v>
      </c>
      <c r="I39" s="21">
        <f t="shared" si="4"/>
        <v>-13.636363636363635</v>
      </c>
      <c r="J39" s="20">
        <v>190</v>
      </c>
      <c r="K39" s="20">
        <v>240</v>
      </c>
      <c r="L39" s="22">
        <f t="shared" si="5"/>
        <v>-11.627906976744185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140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13.333333333333334</v>
      </c>
      <c r="J44" s="20">
        <v>100</v>
      </c>
      <c r="K44" s="20">
        <v>200</v>
      </c>
      <c r="L44" s="22">
        <f t="shared" si="5"/>
        <v>13.333333333333334</v>
      </c>
    </row>
    <row r="45" spans="1:12" ht="21.75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240</v>
      </c>
      <c r="I45" s="21">
        <f t="shared" si="4"/>
        <v>-8.3333333333333321</v>
      </c>
      <c r="J45" s="20">
        <v>100</v>
      </c>
      <c r="K45" s="20">
        <v>200</v>
      </c>
      <c r="L45" s="22">
        <f t="shared" si="5"/>
        <v>10</v>
      </c>
    </row>
    <row r="46" spans="1:12" ht="21.75">
      <c r="A46" s="61" t="s">
        <v>51</v>
      </c>
      <c r="B46" s="6" t="s">
        <v>17</v>
      </c>
      <c r="C46" s="20">
        <v>620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.75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0</v>
      </c>
      <c r="J47" s="20">
        <v>500</v>
      </c>
      <c r="K47" s="20">
        <v>550</v>
      </c>
      <c r="L47" s="22">
        <f t="shared" si="5"/>
        <v>-4.7619047619047619</v>
      </c>
    </row>
    <row r="48" spans="1:12" ht="21.75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1350</v>
      </c>
      <c r="K48" s="20">
        <v>1600</v>
      </c>
      <c r="L48" s="22">
        <f t="shared" si="5"/>
        <v>1.6949152542372881</v>
      </c>
    </row>
    <row r="49" spans="1:12" ht="21.75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180</v>
      </c>
      <c r="D57" s="20">
        <v>200</v>
      </c>
      <c r="E57" s="20">
        <v>170</v>
      </c>
      <c r="F57" s="20">
        <v>200</v>
      </c>
      <c r="G57" s="20">
        <v>200</v>
      </c>
      <c r="H57" s="20">
        <v>220</v>
      </c>
      <c r="I57" s="21">
        <f t="shared" si="6"/>
        <v>-9.5238095238095237</v>
      </c>
      <c r="J57" s="20">
        <v>185</v>
      </c>
      <c r="K57" s="20">
        <v>220</v>
      </c>
      <c r="L57" s="22">
        <f t="shared" si="7"/>
        <v>-6.1728395061728394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69" t="s">
        <v>6</v>
      </c>
      <c r="D66" s="70"/>
      <c r="E66" s="69" t="s">
        <v>7</v>
      </c>
      <c r="F66" s="70"/>
      <c r="G66" s="69" t="s">
        <v>8</v>
      </c>
      <c r="H66" s="70"/>
      <c r="I66" s="6" t="s">
        <v>9</v>
      </c>
      <c r="J66" s="69" t="s">
        <v>10</v>
      </c>
      <c r="K66" s="70"/>
      <c r="L66" s="18" t="s">
        <v>11</v>
      </c>
    </row>
    <row r="67" spans="1:12" ht="18" customHeight="1">
      <c r="A67" s="66"/>
      <c r="B67" s="59"/>
      <c r="C67" s="71">
        <v>46124</v>
      </c>
      <c r="D67" s="72"/>
      <c r="E67" s="71">
        <v>46117</v>
      </c>
      <c r="F67" s="72"/>
      <c r="G67" s="71">
        <v>46093</v>
      </c>
      <c r="H67" s="72"/>
      <c r="I67" s="18" t="s">
        <v>12</v>
      </c>
      <c r="J67" s="71">
        <v>45759</v>
      </c>
      <c r="K67" s="72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60</v>
      </c>
      <c r="I72" s="21">
        <f t="shared" si="9"/>
        <v>-22.222222222222221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40</v>
      </c>
      <c r="D73" s="20">
        <v>160</v>
      </c>
      <c r="E73" s="20">
        <v>40</v>
      </c>
      <c r="F73" s="20">
        <v>80</v>
      </c>
      <c r="G73" s="20">
        <v>80</v>
      </c>
      <c r="H73" s="20">
        <v>160</v>
      </c>
      <c r="I73" s="21">
        <f t="shared" si="9"/>
        <v>-16.666666666666664</v>
      </c>
      <c r="J73" s="20">
        <v>60</v>
      </c>
      <c r="K73" s="20">
        <v>80</v>
      </c>
      <c r="L73" s="22">
        <f t="shared" si="8"/>
        <v>42.857142857142854</v>
      </c>
    </row>
    <row r="74" spans="1:12" ht="21.75">
      <c r="A74" s="61" t="s">
        <v>114</v>
      </c>
      <c r="B74" s="53" t="s">
        <v>17</v>
      </c>
      <c r="C74" s="20">
        <v>80</v>
      </c>
      <c r="D74" s="20">
        <v>120</v>
      </c>
      <c r="E74" s="20">
        <v>40</v>
      </c>
      <c r="F74" s="20">
        <v>70</v>
      </c>
      <c r="G74" s="20">
        <v>40</v>
      </c>
      <c r="H74" s="20">
        <v>70</v>
      </c>
      <c r="I74" s="21">
        <f t="shared" si="9"/>
        <v>81.818181818181827</v>
      </c>
      <c r="J74" s="20">
        <v>50</v>
      </c>
      <c r="K74" s="20">
        <v>80</v>
      </c>
      <c r="L74" s="22">
        <f t="shared" si="8"/>
        <v>53.846153846153847</v>
      </c>
    </row>
    <row r="75" spans="1:12" ht="21.75">
      <c r="A75" s="61" t="s">
        <v>115</v>
      </c>
      <c r="B75" s="53" t="s">
        <v>17</v>
      </c>
      <c r="C75" s="20">
        <v>40</v>
      </c>
      <c r="D75" s="20">
        <v>80</v>
      </c>
      <c r="E75" s="20">
        <v>30</v>
      </c>
      <c r="F75" s="20">
        <v>70</v>
      </c>
      <c r="G75" s="20">
        <v>30</v>
      </c>
      <c r="H75" s="20">
        <v>80</v>
      </c>
      <c r="I75" s="21">
        <f t="shared" si="9"/>
        <v>9.0909090909090917</v>
      </c>
      <c r="J75" s="20">
        <v>50</v>
      </c>
      <c r="K75" s="20">
        <v>80</v>
      </c>
      <c r="L75" s="22">
        <f t="shared" si="8"/>
        <v>-7.6923076923076925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44</v>
      </c>
      <c r="L76" s="22">
        <f t="shared" si="8"/>
        <v>-9.7560975609756095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>
      <c r="A80" s="74" t="s">
        <v>126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134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133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132</v>
      </c>
      <c r="C84" s="2"/>
      <c r="D84" s="2"/>
      <c r="E84" s="2"/>
      <c r="F84" s="2"/>
      <c r="G84" s="2"/>
      <c r="H84" s="3"/>
      <c r="I84" s="3"/>
      <c r="J84" s="3"/>
      <c r="K84" s="3"/>
      <c r="L84" s="3"/>
    </row>
    <row r="85" spans="1:12" ht="19.5">
      <c r="A85" s="1"/>
      <c r="B85" s="1" t="s">
        <v>107</v>
      </c>
      <c r="C85" s="2"/>
      <c r="D85" s="2"/>
      <c r="E85" s="2"/>
      <c r="F85" s="2"/>
      <c r="G85" s="3"/>
      <c r="H85" s="3"/>
      <c r="I85" s="3"/>
      <c r="J85" s="3"/>
      <c r="K85" s="2"/>
      <c r="L85" s="3"/>
    </row>
    <row r="86" spans="1:12" ht="19.5">
      <c r="A86" s="1" t="s">
        <v>78</v>
      </c>
      <c r="B86" s="2"/>
      <c r="C86" s="3"/>
      <c r="D86" s="3"/>
      <c r="E86" s="3"/>
      <c r="F86" s="3"/>
      <c r="G86" s="4"/>
      <c r="H86" s="4"/>
      <c r="I86" s="3"/>
      <c r="J86" s="3"/>
      <c r="K86" s="3"/>
      <c r="L86" s="3"/>
    </row>
    <row r="87" spans="1:12" ht="19.5">
      <c r="A87" s="5" t="s">
        <v>79</v>
      </c>
      <c r="B87" s="6" t="s">
        <v>80</v>
      </c>
      <c r="C87" s="69" t="s">
        <v>6</v>
      </c>
      <c r="D87" s="70"/>
      <c r="E87" s="76" t="s">
        <v>81</v>
      </c>
      <c r="F87" s="77"/>
      <c r="G87" s="41" t="s">
        <v>12</v>
      </c>
      <c r="H87" s="69" t="s">
        <v>82</v>
      </c>
      <c r="I87" s="78"/>
      <c r="J87" s="70"/>
      <c r="K87" s="44"/>
      <c r="L87" s="2"/>
    </row>
    <row r="88" spans="1:12" ht="19.5">
      <c r="A88" s="61" t="s">
        <v>18</v>
      </c>
      <c r="B88" s="6" t="s">
        <v>17</v>
      </c>
      <c r="C88" s="42">
        <v>55</v>
      </c>
      <c r="D88" s="42">
        <v>60</v>
      </c>
      <c r="E88" s="42">
        <v>50</v>
      </c>
      <c r="F88" s="42">
        <v>55</v>
      </c>
      <c r="G88" s="7">
        <f t="shared" ref="G88:G91" si="10">((C88+D88)/2-(E88+F88)/2)/((E88+F88)/2)*100</f>
        <v>9.5238095238095237</v>
      </c>
      <c r="H88" s="5" t="s">
        <v>131</v>
      </c>
      <c r="I88" s="6"/>
      <c r="J88" s="6"/>
      <c r="K88" s="44"/>
      <c r="L88" s="2"/>
    </row>
    <row r="89" spans="1:12" ht="19.5">
      <c r="A89" s="61" t="s">
        <v>20</v>
      </c>
      <c r="B89" s="6" t="s">
        <v>17</v>
      </c>
      <c r="C89" s="42">
        <v>42</v>
      </c>
      <c r="D89" s="42">
        <v>45</v>
      </c>
      <c r="E89" s="42">
        <v>40</v>
      </c>
      <c r="F89" s="42">
        <v>45</v>
      </c>
      <c r="G89" s="7">
        <f t="shared" si="10"/>
        <v>2.3529411764705883</v>
      </c>
      <c r="H89" s="5" t="s">
        <v>131</v>
      </c>
      <c r="I89" s="6"/>
      <c r="J89" s="6"/>
      <c r="K89" s="44"/>
      <c r="L89" s="2"/>
    </row>
    <row r="90" spans="1:12" ht="19.5">
      <c r="A90" s="61" t="s">
        <v>23</v>
      </c>
      <c r="B90" s="6" t="s">
        <v>17</v>
      </c>
      <c r="C90" s="42">
        <v>50</v>
      </c>
      <c r="D90" s="42">
        <v>60</v>
      </c>
      <c r="E90" s="42">
        <v>48</v>
      </c>
      <c r="F90" s="42">
        <v>60</v>
      </c>
      <c r="G90" s="7">
        <f t="shared" si="10"/>
        <v>1.8518518518518516</v>
      </c>
      <c r="H90" s="5" t="s">
        <v>131</v>
      </c>
      <c r="I90" s="6"/>
      <c r="J90" s="6"/>
      <c r="K90" s="44"/>
      <c r="L90" s="2"/>
    </row>
    <row r="91" spans="1:12" ht="19.5">
      <c r="A91" s="61" t="s">
        <v>24</v>
      </c>
      <c r="B91" s="6" t="s">
        <v>22</v>
      </c>
      <c r="C91" s="42">
        <v>65</v>
      </c>
      <c r="D91" s="42">
        <v>75</v>
      </c>
      <c r="E91" s="42">
        <v>60</v>
      </c>
      <c r="F91" s="42">
        <v>75</v>
      </c>
      <c r="G91" s="7">
        <f t="shared" si="10"/>
        <v>3.7037037037037033</v>
      </c>
      <c r="H91" s="5" t="s">
        <v>131</v>
      </c>
      <c r="I91" s="6"/>
      <c r="J91" s="6"/>
      <c r="K91" s="44"/>
      <c r="L91" s="2"/>
    </row>
    <row r="92" spans="1:12" ht="19.5">
      <c r="A92" s="61" t="s">
        <v>26</v>
      </c>
      <c r="B92" s="6" t="s">
        <v>27</v>
      </c>
      <c r="C92" s="42">
        <v>185</v>
      </c>
      <c r="D92" s="42">
        <v>192</v>
      </c>
      <c r="E92" s="42">
        <v>185</v>
      </c>
      <c r="F92" s="42">
        <v>196</v>
      </c>
      <c r="G92" s="7">
        <f t="shared" ref="G92:G96" si="11">((C92+D92)/2-(E92+F92)/2)/((E92+F92)/2)*100</f>
        <v>-1.0498687664041995</v>
      </c>
      <c r="H92" s="5" t="s">
        <v>130</v>
      </c>
      <c r="I92" s="6"/>
      <c r="J92" s="6"/>
      <c r="K92" s="44"/>
      <c r="L92" s="2"/>
    </row>
    <row r="93" spans="1:12" ht="19.5">
      <c r="A93" s="61" t="s">
        <v>32</v>
      </c>
      <c r="B93" s="6" t="s">
        <v>27</v>
      </c>
      <c r="C93" s="42">
        <v>164</v>
      </c>
      <c r="D93" s="42">
        <v>168</v>
      </c>
      <c r="E93" s="42">
        <v>162</v>
      </c>
      <c r="F93" s="42">
        <v>168</v>
      </c>
      <c r="G93" s="7">
        <f>((C93+D93)/2-(E93+F93)/2)/((E93+F93)/2)*100</f>
        <v>0.60606060606060608</v>
      </c>
      <c r="H93" s="5" t="s">
        <v>124</v>
      </c>
      <c r="I93" s="6"/>
      <c r="J93" s="6"/>
      <c r="K93" s="44"/>
      <c r="L93" s="2"/>
    </row>
    <row r="94" spans="1:12" ht="19.5">
      <c r="A94" s="61" t="s">
        <v>99</v>
      </c>
      <c r="B94" s="6" t="s">
        <v>27</v>
      </c>
      <c r="C94" s="42">
        <v>165</v>
      </c>
      <c r="D94" s="42">
        <v>172</v>
      </c>
      <c r="E94" s="42">
        <v>165</v>
      </c>
      <c r="F94" s="42">
        <v>170</v>
      </c>
      <c r="G94" s="7">
        <f t="shared" si="11"/>
        <v>0.59701492537313439</v>
      </c>
      <c r="H94" s="5" t="s">
        <v>122</v>
      </c>
      <c r="I94" s="6"/>
      <c r="J94" s="6"/>
      <c r="K94" s="44"/>
      <c r="L94" s="2"/>
    </row>
    <row r="95" spans="1:12" ht="19.5">
      <c r="A95" s="61" t="s">
        <v>108</v>
      </c>
      <c r="B95" s="6" t="s">
        <v>17</v>
      </c>
      <c r="C95" s="42">
        <v>25</v>
      </c>
      <c r="D95" s="42">
        <v>30</v>
      </c>
      <c r="E95" s="42">
        <v>20</v>
      </c>
      <c r="F95" s="42">
        <v>25</v>
      </c>
      <c r="G95" s="7">
        <f t="shared" si="11"/>
        <v>22.222222222222221</v>
      </c>
      <c r="H95" s="5" t="s">
        <v>125</v>
      </c>
      <c r="I95" s="6"/>
      <c r="J95" s="6"/>
      <c r="K95" s="44"/>
      <c r="L95" s="2"/>
    </row>
    <row r="96" spans="1:12" ht="19.5">
      <c r="A96" s="61" t="s">
        <v>109</v>
      </c>
      <c r="B96" s="6" t="s">
        <v>17</v>
      </c>
      <c r="C96" s="42">
        <v>30</v>
      </c>
      <c r="D96" s="42">
        <v>40</v>
      </c>
      <c r="E96" s="42">
        <v>30</v>
      </c>
      <c r="F96" s="42">
        <v>45</v>
      </c>
      <c r="G96" s="7">
        <f t="shared" si="11"/>
        <v>-6.666666666666667</v>
      </c>
      <c r="H96" s="5" t="s">
        <v>129</v>
      </c>
      <c r="I96" s="6"/>
      <c r="J96" s="6"/>
      <c r="K96" s="44"/>
      <c r="L96" s="2"/>
    </row>
    <row r="97" spans="1:12" ht="19.5">
      <c r="A97" s="61" t="s">
        <v>43</v>
      </c>
      <c r="B97" s="6" t="s">
        <v>17</v>
      </c>
      <c r="C97" s="42">
        <v>100</v>
      </c>
      <c r="D97" s="42">
        <v>140</v>
      </c>
      <c r="E97" s="42">
        <v>70</v>
      </c>
      <c r="F97" s="42">
        <v>130</v>
      </c>
      <c r="G97" s="7">
        <f t="shared" ref="G97:G100" si="12">((C97+D97)/2-(E97+F97)/2)/((E97+F97)/2)*100</f>
        <v>20</v>
      </c>
      <c r="H97" s="5" t="s">
        <v>131</v>
      </c>
      <c r="I97" s="6"/>
      <c r="J97" s="6"/>
      <c r="K97" s="44"/>
      <c r="L97" s="2"/>
    </row>
    <row r="98" spans="1:12" ht="19.5">
      <c r="A98" s="61" t="s">
        <v>44</v>
      </c>
      <c r="B98" s="6" t="s">
        <v>17</v>
      </c>
      <c r="C98" s="42">
        <v>160</v>
      </c>
      <c r="D98" s="42">
        <v>220</v>
      </c>
      <c r="E98" s="42">
        <v>170</v>
      </c>
      <c r="F98" s="42">
        <v>220</v>
      </c>
      <c r="G98" s="7">
        <f t="shared" si="12"/>
        <v>-2.5641025641025639</v>
      </c>
      <c r="H98" s="5" t="s">
        <v>123</v>
      </c>
      <c r="I98" s="6"/>
      <c r="J98" s="6"/>
      <c r="K98" s="44"/>
      <c r="L98" s="2"/>
    </row>
    <row r="99" spans="1:12" ht="19.5">
      <c r="A99" s="61" t="s">
        <v>49</v>
      </c>
      <c r="B99" s="6" t="s">
        <v>17</v>
      </c>
      <c r="C99" s="42">
        <v>140</v>
      </c>
      <c r="D99" s="42">
        <v>200</v>
      </c>
      <c r="E99" s="42">
        <v>100</v>
      </c>
      <c r="F99" s="42">
        <v>200</v>
      </c>
      <c r="G99" s="7">
        <f t="shared" si="12"/>
        <v>13.333333333333334</v>
      </c>
      <c r="H99" s="5" t="s">
        <v>131</v>
      </c>
      <c r="I99" s="6"/>
      <c r="J99" s="6"/>
      <c r="K99" s="44"/>
      <c r="L99" s="2"/>
    </row>
    <row r="100" spans="1:12" ht="21" customHeight="1">
      <c r="A100" s="61" t="s">
        <v>60</v>
      </c>
      <c r="B100" s="6" t="s">
        <v>17</v>
      </c>
      <c r="C100" s="42">
        <v>180</v>
      </c>
      <c r="D100" s="42">
        <v>200</v>
      </c>
      <c r="E100" s="42">
        <v>170</v>
      </c>
      <c r="F100" s="42">
        <v>200</v>
      </c>
      <c r="G100" s="7">
        <f t="shared" si="12"/>
        <v>2.7027027027027026</v>
      </c>
      <c r="H100" s="5" t="s">
        <v>128</v>
      </c>
      <c r="I100" s="6"/>
      <c r="J100" s="6"/>
      <c r="K100" s="44"/>
      <c r="L100" s="2"/>
    </row>
    <row r="101" spans="1:12" ht="19.5">
      <c r="A101" s="61" t="s">
        <v>113</v>
      </c>
      <c r="B101" s="53" t="s">
        <v>17</v>
      </c>
      <c r="C101" s="42">
        <v>40</v>
      </c>
      <c r="D101" s="42">
        <v>160</v>
      </c>
      <c r="E101" s="42">
        <v>40</v>
      </c>
      <c r="F101" s="42">
        <v>80</v>
      </c>
      <c r="G101" s="7">
        <f t="shared" ref="G101:G104" si="13">((C101+D101)/2-(E101+F101)/2)/((E101+F101)/2)*100</f>
        <v>66.666666666666657</v>
      </c>
      <c r="H101" s="5" t="s">
        <v>131</v>
      </c>
      <c r="I101" s="6"/>
      <c r="J101" s="6"/>
      <c r="K101" s="44"/>
      <c r="L101" s="45"/>
    </row>
    <row r="102" spans="1:12" ht="19.5">
      <c r="A102" s="61" t="s">
        <v>114</v>
      </c>
      <c r="B102" s="53" t="s">
        <v>17</v>
      </c>
      <c r="C102" s="42">
        <v>80</v>
      </c>
      <c r="D102" s="42">
        <v>120</v>
      </c>
      <c r="E102" s="42">
        <v>40</v>
      </c>
      <c r="F102" s="42">
        <v>70</v>
      </c>
      <c r="G102" s="7">
        <f t="shared" si="13"/>
        <v>81.818181818181827</v>
      </c>
      <c r="H102" s="5" t="s">
        <v>131</v>
      </c>
      <c r="I102" s="6"/>
      <c r="J102" s="6"/>
      <c r="K102" s="44"/>
      <c r="L102" s="45"/>
    </row>
    <row r="103" spans="1:12" ht="19.5">
      <c r="A103" s="61" t="s">
        <v>115</v>
      </c>
      <c r="B103" s="53" t="s">
        <v>17</v>
      </c>
      <c r="C103" s="42">
        <v>40</v>
      </c>
      <c r="D103" s="42">
        <v>80</v>
      </c>
      <c r="E103" s="42">
        <v>30</v>
      </c>
      <c r="F103" s="42">
        <v>70</v>
      </c>
      <c r="G103" s="7">
        <f t="shared" si="13"/>
        <v>20</v>
      </c>
      <c r="H103" s="5" t="s">
        <v>131</v>
      </c>
      <c r="I103" s="6"/>
      <c r="J103" s="6"/>
      <c r="K103" s="44"/>
      <c r="L103" s="45"/>
    </row>
    <row r="104" spans="1:12" ht="19.5">
      <c r="A104" s="61" t="s">
        <v>69</v>
      </c>
      <c r="B104" s="6" t="s">
        <v>17</v>
      </c>
      <c r="C104" s="42">
        <v>100</v>
      </c>
      <c r="D104" s="42">
        <v>110</v>
      </c>
      <c r="E104" s="42">
        <v>100</v>
      </c>
      <c r="F104" s="42">
        <v>105</v>
      </c>
      <c r="G104" s="7">
        <f t="shared" si="13"/>
        <v>2.4390243902439024</v>
      </c>
      <c r="H104" s="5" t="s">
        <v>127</v>
      </c>
      <c r="I104" s="6"/>
      <c r="J104" s="6"/>
      <c r="K104" s="45"/>
      <c r="L104" s="45"/>
    </row>
    <row r="105" spans="1:12" ht="19.5">
      <c r="A105" s="1"/>
      <c r="B105" s="54"/>
      <c r="C105" s="37"/>
      <c r="D105" s="37"/>
      <c r="E105" s="37"/>
      <c r="F105" s="37"/>
      <c r="G105" s="9"/>
      <c r="H105" s="1"/>
      <c r="I105" s="3"/>
      <c r="J105" s="3"/>
      <c r="K105" s="45"/>
      <c r="L105" s="45"/>
    </row>
    <row r="106" spans="1:12" ht="19.5">
      <c r="A106" s="1"/>
      <c r="B106" s="3"/>
      <c r="C106" s="37"/>
      <c r="D106" s="37"/>
      <c r="E106" s="37"/>
      <c r="F106" s="37"/>
      <c r="G106" s="9"/>
      <c r="H106" s="46"/>
      <c r="I106" s="45"/>
      <c r="J106" s="45"/>
      <c r="K106" s="45"/>
      <c r="L106" s="45"/>
    </row>
    <row r="107" spans="1:12" ht="19.5">
      <c r="A107" s="1"/>
      <c r="B107" s="47"/>
      <c r="C107" s="48"/>
      <c r="D107" s="48"/>
      <c r="E107" s="3"/>
      <c r="F107" s="48"/>
      <c r="G107" s="9"/>
      <c r="H107" s="46"/>
      <c r="I107" s="45"/>
      <c r="J107" s="45"/>
      <c r="K107" s="45"/>
      <c r="L107" s="45"/>
    </row>
    <row r="108" spans="1:12" ht="19.5">
      <c r="A108" s="47"/>
      <c r="B108" s="1"/>
      <c r="C108" s="49" t="s">
        <v>110</v>
      </c>
      <c r="D108" s="2"/>
      <c r="E108" s="47"/>
      <c r="F108" s="50"/>
      <c r="G108" s="3" t="s">
        <v>120</v>
      </c>
      <c r="H108" s="2"/>
      <c r="I108" s="47"/>
    </row>
    <row r="109" spans="1:12" ht="19.5">
      <c r="A109" s="47"/>
      <c r="B109" s="51"/>
      <c r="C109" s="49" t="s">
        <v>111</v>
      </c>
      <c r="D109" s="3"/>
      <c r="E109" s="47"/>
      <c r="F109" s="52"/>
      <c r="G109" s="3" t="s">
        <v>121</v>
      </c>
      <c r="H109" s="47"/>
      <c r="I109" s="47"/>
    </row>
    <row r="110" spans="1:12" ht="19.5">
      <c r="A110" s="1"/>
      <c r="B110" s="3"/>
      <c r="C110" s="48"/>
      <c r="D110" s="3"/>
      <c r="E110" s="48"/>
      <c r="F110" s="1"/>
      <c r="G110" s="3"/>
      <c r="H110" s="3"/>
      <c r="I110" s="2"/>
      <c r="J110" s="2"/>
      <c r="K110" s="2"/>
      <c r="L110" s="2"/>
    </row>
    <row r="111" spans="1:12" ht="19.5">
      <c r="A111" s="35" t="s">
        <v>89</v>
      </c>
      <c r="B111" s="33"/>
      <c r="C111" s="31"/>
      <c r="D111" s="33"/>
      <c r="E111" s="31"/>
      <c r="F111" s="31"/>
      <c r="G111" s="31"/>
      <c r="H111" s="32"/>
      <c r="I111" s="2"/>
      <c r="J111" s="2"/>
      <c r="K111" s="2"/>
      <c r="L111" s="2"/>
    </row>
    <row r="112" spans="1:12" ht="19.5">
      <c r="A112" s="34" t="s">
        <v>93</v>
      </c>
      <c r="B112" s="33"/>
      <c r="C112" s="31"/>
      <c r="D112" s="33"/>
      <c r="E112" s="31"/>
      <c r="F112" s="31"/>
      <c r="G112" s="33"/>
      <c r="H112" s="32"/>
      <c r="I112" s="2"/>
      <c r="J112" s="2"/>
      <c r="K112" s="2"/>
      <c r="L112" s="2"/>
    </row>
    <row r="113" spans="1:12" ht="19.5">
      <c r="A113" s="34" t="s">
        <v>117</v>
      </c>
      <c r="B113" s="33"/>
      <c r="C113" s="33"/>
      <c r="D113" s="33"/>
      <c r="E113" s="33"/>
      <c r="F113" s="31"/>
      <c r="G113" s="33"/>
      <c r="H113" s="32"/>
      <c r="I113" s="2"/>
      <c r="J113" s="2"/>
      <c r="K113" s="2"/>
      <c r="L113" s="2"/>
    </row>
    <row r="114" spans="1:12" ht="19.5">
      <c r="A114" s="34" t="s">
        <v>83</v>
      </c>
      <c r="B114" s="33"/>
      <c r="C114" s="33"/>
      <c r="D114" s="33"/>
      <c r="E114" s="33"/>
      <c r="F114" s="32"/>
      <c r="G114" s="32"/>
      <c r="H114" s="32"/>
      <c r="I114" s="2"/>
      <c r="J114" s="2"/>
      <c r="K114" s="2"/>
      <c r="L114" s="2"/>
    </row>
    <row r="115" spans="1:12" ht="19.5">
      <c r="A115" s="34" t="s">
        <v>118</v>
      </c>
      <c r="B115" s="33"/>
      <c r="C115" s="33"/>
      <c r="D115" s="33"/>
      <c r="E115" s="33"/>
      <c r="F115" s="33"/>
      <c r="G115" s="32"/>
      <c r="H115" s="32"/>
      <c r="I115" s="2"/>
      <c r="J115" s="2"/>
      <c r="K115" s="2"/>
      <c r="L115" s="2"/>
    </row>
    <row r="116" spans="1:12" ht="19.5">
      <c r="A116" s="34" t="s">
        <v>92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100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91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90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84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94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9.5">
      <c r="A122" s="34" t="s">
        <v>116</v>
      </c>
      <c r="B122" s="33"/>
      <c r="C122" s="33"/>
      <c r="D122" s="33"/>
      <c r="E122" s="33"/>
      <c r="F122" s="33"/>
      <c r="G122" s="33"/>
      <c r="H122" s="32"/>
      <c r="I122" s="2"/>
      <c r="J122" s="2"/>
      <c r="K122" s="2"/>
      <c r="L122" s="2"/>
    </row>
    <row r="123" spans="1:12" ht="19.5">
      <c r="A123" s="34" t="s">
        <v>95</v>
      </c>
      <c r="B123" s="33"/>
      <c r="C123" s="33"/>
      <c r="D123" s="33"/>
      <c r="E123" s="33"/>
      <c r="F123" s="33"/>
      <c r="G123" s="33"/>
      <c r="H123" s="32"/>
      <c r="I123" s="2"/>
      <c r="J123" s="2"/>
      <c r="K123" s="2"/>
      <c r="L123" s="2"/>
    </row>
    <row r="124" spans="1:12" ht="19.5">
      <c r="A124" s="34" t="s">
        <v>96</v>
      </c>
      <c r="B124" s="33"/>
      <c r="C124" s="33"/>
      <c r="D124" s="33"/>
      <c r="E124" s="33"/>
      <c r="F124" s="33"/>
      <c r="G124" s="33"/>
      <c r="H124" s="32"/>
      <c r="I124" s="2"/>
      <c r="J124" s="2"/>
      <c r="K124" s="2"/>
      <c r="L124" s="2"/>
    </row>
    <row r="125" spans="1:12" ht="19.5">
      <c r="A125" s="34" t="s">
        <v>119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  <row r="126" spans="1:12" ht="19.5">
      <c r="A126" s="34"/>
      <c r="B126" s="33"/>
      <c r="C126" s="33"/>
      <c r="D126" s="33"/>
      <c r="E126" s="33"/>
      <c r="F126" s="33"/>
      <c r="G126" s="33"/>
      <c r="H126" s="36"/>
      <c r="I126" s="45"/>
      <c r="J126" s="45"/>
      <c r="K126" s="45"/>
      <c r="L126" s="45"/>
    </row>
    <row r="127" spans="1:12" ht="19.5">
      <c r="A127" s="35" t="s">
        <v>85</v>
      </c>
      <c r="B127" s="33"/>
      <c r="C127" s="33"/>
      <c r="D127" s="33"/>
      <c r="E127" s="33"/>
      <c r="F127" s="33"/>
      <c r="G127" s="33"/>
      <c r="H127" s="36"/>
      <c r="I127" s="45"/>
      <c r="J127" s="45"/>
      <c r="K127" s="45"/>
      <c r="L127" s="45"/>
    </row>
    <row r="128" spans="1:12" ht="19.5">
      <c r="A128" s="34" t="s">
        <v>86</v>
      </c>
      <c r="B128" s="33"/>
      <c r="C128" s="33"/>
      <c r="D128" s="33"/>
      <c r="E128" s="33"/>
      <c r="F128" s="33"/>
      <c r="G128" s="33"/>
      <c r="H128" s="36"/>
      <c r="I128" s="45"/>
      <c r="J128" s="45"/>
      <c r="K128" s="45"/>
      <c r="L128" s="45"/>
    </row>
    <row r="129" spans="1:12" ht="19.5">
      <c r="A129" s="34" t="s">
        <v>106</v>
      </c>
      <c r="B129" s="33"/>
      <c r="C129" s="33"/>
      <c r="D129" s="33"/>
      <c r="E129" s="33"/>
      <c r="F129" s="33"/>
      <c r="G129" s="33"/>
      <c r="H129" s="36"/>
      <c r="I129" s="45"/>
      <c r="J129" s="45"/>
      <c r="K129" s="45"/>
      <c r="L129" s="45"/>
    </row>
    <row r="130" spans="1:12" ht="19.5">
      <c r="A130" s="34" t="s">
        <v>105</v>
      </c>
      <c r="B130" s="33"/>
      <c r="C130" s="33"/>
      <c r="D130" s="33"/>
      <c r="E130" s="33"/>
      <c r="F130" s="33"/>
      <c r="G130" s="33"/>
      <c r="H130" s="36"/>
      <c r="I130" s="45"/>
      <c r="J130" s="45"/>
      <c r="K130" s="45"/>
      <c r="L130" s="45"/>
    </row>
    <row r="131" spans="1:12" ht="19.5">
      <c r="A131" s="34" t="s">
        <v>104</v>
      </c>
      <c r="B131" s="33"/>
      <c r="C131" s="33"/>
      <c r="D131" s="33"/>
      <c r="E131" s="33"/>
      <c r="F131" s="33"/>
      <c r="G131" s="33"/>
      <c r="H131" s="36"/>
      <c r="I131" s="45"/>
      <c r="J131" s="45"/>
      <c r="K131" s="45"/>
      <c r="L131" s="45"/>
    </row>
  </sheetData>
  <mergeCells count="21">
    <mergeCell ref="K5:L5"/>
    <mergeCell ref="G66:H66"/>
    <mergeCell ref="G67:H67"/>
    <mergeCell ref="A80:L80"/>
    <mergeCell ref="C87:D87"/>
    <mergeCell ref="E87:F87"/>
    <mergeCell ref="H87:J87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2026-03-30T06:41:09Z</cp:lastPrinted>
  <dcterms:created xsi:type="dcterms:W3CDTF">2021-06-05T07:13:00Z</dcterms:created>
  <dcterms:modified xsi:type="dcterms:W3CDTF">2026-04-12T08:09:44Z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