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13_ncr:1_{4E966380-0C50-4AFF-BA7E-E83B3EF8975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3" i="4"/>
  <c r="G84" i="4"/>
  <c r="G86" i="4"/>
  <c r="G87" i="4"/>
  <c r="G92" i="4"/>
  <c r="G89" i="4"/>
  <c r="G90" i="4"/>
  <c r="G91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<sst xmlns="http://schemas.openxmlformats.org/spreadsheetml/2006/main" count="241" uniqueCount="130">
  <si>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</si>
  <si>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</si>
  <si>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</si>
  <si>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</si>
  <si>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</si>
  <si>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</si>
  <si>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</si>
  <si>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</si>
  <si>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</si>
  <si>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</si>
  <si>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</si>
  <si>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</si>
  <si>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</si>
  <si>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</si>
  <si>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</si>
  <si>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</si>
  <si>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</si>
  <si>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</si>
  <si>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</si>
  <si>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</si>
  <si>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</si>
  <si>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</si>
  <si>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</si>
  <si>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</si>
  <si>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</si>
  <si>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</si>
  <si>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</si>
  <si>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</si>
  <si>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</si>
  <si>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</si>
  <si>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</si>
  <si>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</si>
  <si>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</si>
  <si>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</si>
  <si>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</si>
  <si>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</si>
  <si>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</si>
  <si>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</si>
  <si>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</si>
  <si>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</si>
  <si>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</si>
  <si>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</si>
  <si>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</si>
  <si>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</si>
  <si>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</si>
  <si>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</si>
  <si>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</si>
  <si>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</si>
  <si>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</si>
  <si>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</si>
  <si>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</si>
  <si>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</si>
  <si>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</si>
  <si>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</si>
  <si>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</si>
  <si>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</si>
  <si>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</si>
  <si>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</si>
  <si>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</si>
  <si>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</si>
  <si>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</si>
  <si>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</si>
  <si>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</si>
  <si>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</si>
  <si>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</si>
  <si>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</si>
  <si>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</si>
  <si>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</si>
  <si>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</si>
  <si>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</si>
  <si>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</si>
  <si>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</si>
  <si>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</si>
  <si>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</si>
  <si>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</si>
  <si>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</si>
  <si>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</si>
  <si>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</si>
  <si>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</si>
  <si>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</si>
  <si>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</si>
  <si>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</si>
  <si>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</si>
  <si>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</si>
  <si>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</si>
  <si>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</si>
  <si>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</si>
  <si>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</si>
  <si>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</si>
  <si>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</si>
  <si>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</si>
  <si>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</si>
  <si>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</si>
  <si>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</si>
  <si>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</si>
  <si>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</si>
  <si>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</si>
  <si>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</si>
  <si>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</si>
  <si>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</si>
  <si>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</si>
  <si>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</si>
  <si>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</si>
  <si>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</si>
  <si>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</si>
  <si>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</si>
  <si>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</si>
  <si>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</si>
  <si>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</si>
  <si>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</si>
  <si>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</si>
  <si>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</si>
  <si>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</si>
  <si>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</si>
  <si>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</si>
  <si>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</si>
  <si>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</si>
  <si>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১৫-০১-২০২৬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</si>
  <si>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</si>
  <si>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</si>
  <si>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১৯-০১-২০২৬ তারিখে মূল্য বৃদ্ধি পেয়েছে।</t>
  </si>
  <si>
    <t>১৯-০১-২০২৬ তারিখে মূল্য হ্রাস পেয়েছে।</t>
  </si>
  <si>
    <t>২০-০১-২০২৬ তারিখে মূল্য হ্রাস পেয়েছে।</t>
  </si>
  <si>
    <t>স্মারক নং-২৬.০৫.০০০০.০১৭.৩১.০১.২৬-০৬৬</t>
  </si>
  <si>
    <t xml:space="preserve">বুধবার ২১ জানুয়ারী ২০২৬ খ্রিঃ, ০৭ মাঘ ১৪৩২ বাংলা, ০১ শাবান ১৪৪৭ হিজরি </t>
  </si>
  <si>
    <t xml:space="preserve">   সিরিয়াল নংঃ     ০২১</t>
  </si>
  <si>
    <t>২১-০১-২০২৬ তারিখে মূল্য হ্রাস পেয়েছে।</t>
  </si>
  <si>
    <t>(১)   পাম অয়েল লুজ, সয়াবিন তেল (১লি:, ৫লি: বোতল), আলু, পেঁয়াজ (আম), হলুদ (আম), ডিম    এর মূল্য হ্রাস পেয়েছে।</t>
  </si>
  <si>
    <t>(২)  সয়াবিন তেল (২লিঃ বোতল), আদা (দেশী), মুরগী ব্রয়লার   এর মূল্য বৃদ্ধি পেয়েছে।</t>
  </si>
  <si>
    <t xml:space="preserve">যে সকল বাজার হতে তথ্য সংগ্রহ করা হয়েছেঃ- মোহাম্মদপুর টাউন হল বাজার, মহাখালী, মিরপুর-৬, নিউমার্কেট, রামপুরা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</si>
</sst>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64" zoomScale="106" zoomScaleNormal="106" workbookViewId="0">
      <selection activeCell="A76" sqref="A76:L7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125</v>
      </c>
      <c r="L4" s="88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46043</v>
      </c>
    </row>
    <row r="7" spans="1:12" ht="21.7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.75">
      <c r="A8" s="25"/>
      <c r="B8" s="26"/>
      <c r="C8" s="89">
        <v>46043</v>
      </c>
      <c r="D8" s="88"/>
      <c r="E8" s="89">
        <v>46036</v>
      </c>
      <c r="F8" s="88"/>
      <c r="G8" s="89">
        <v>46012</v>
      </c>
      <c r="H8" s="88"/>
      <c r="I8" s="26" t="s">
        <v>12</v>
      </c>
      <c r="J8" s="89">
        <v>45678</v>
      </c>
      <c r="K8" s="88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84</v>
      </c>
      <c r="L10" s="31">
        <f>((C10+D10)/2-(J10+K10)/2)/((J10+K10)/2)*100</f>
        <v>0.64935064935064934</v>
      </c>
    </row>
    <row r="11" spans="1:12" ht="21.75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.75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44</v>
      </c>
      <c r="D14" s="29">
        <v>50</v>
      </c>
      <c r="E14" s="29">
        <v>44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52</v>
      </c>
      <c r="D16" s="29">
        <v>65</v>
      </c>
      <c r="E16" s="29">
        <v>52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72</v>
      </c>
      <c r="L17" s="31">
        <f>((C17+D17)/2-(J17+K17)/2)/((J17+K17)/2)*100</f>
        <v>2.1897810218978102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175</v>
      </c>
      <c r="D19" s="29">
        <v>185</v>
      </c>
      <c r="E19" s="29">
        <v>175</v>
      </c>
      <c r="F19" s="29">
        <v>185</v>
      </c>
      <c r="G19" s="29">
        <v>172</v>
      </c>
      <c r="H19" s="29">
        <v>185</v>
      </c>
      <c r="I19" s="30">
        <f t="shared" ref="I19:I25" si="0">((C19+D19)/2-(G19+H19)/2)/((G19+H19)/2)*100</f>
        <v>0.84033613445378152</v>
      </c>
      <c r="J19" s="29">
        <v>170</v>
      </c>
      <c r="K19" s="29">
        <v>172</v>
      </c>
      <c r="L19" s="31">
        <f t="shared" ref="L19:L25" si="1">((C19+D19)/2-(J19+K19)/2)/((J19+K19)/2)*100</f>
        <v>5.2631578947368416</v>
      </c>
    </row>
    <row r="20" spans="1:12" ht="21.75">
      <c r="A20" s="69" t="s">
        <v>29</v>
      </c>
      <c r="B20" s="6" t="s">
        <v>30</v>
      </c>
      <c r="C20" s="29">
        <v>920</v>
      </c>
      <c r="D20" s="29">
        <v>955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-0.53050397877984079</v>
      </c>
      <c r="J20" s="29">
        <v>840</v>
      </c>
      <c r="K20" s="29">
        <v>850</v>
      </c>
      <c r="L20" s="31">
        <f t="shared" si="1"/>
        <v>10.946745562130179</v>
      </c>
    </row>
    <row r="21" spans="1:12" ht="21.75">
      <c r="A21" s="69" t="s">
        <v>29</v>
      </c>
      <c r="B21" s="6" t="s">
        <v>31</v>
      </c>
      <c r="C21" s="29">
        <v>390</v>
      </c>
      <c r="D21" s="29">
        <v>395</v>
      </c>
      <c r="E21" s="29">
        <v>380</v>
      </c>
      <c r="F21" s="29">
        <v>395</v>
      </c>
      <c r="G21" s="29">
        <v>378</v>
      </c>
      <c r="H21" s="29">
        <v>395</v>
      </c>
      <c r="I21" s="30">
        <f t="shared" si="0"/>
        <v>1.5523932729624839</v>
      </c>
      <c r="J21" s="29">
        <v>345</v>
      </c>
      <c r="K21" s="29">
        <v>350</v>
      </c>
      <c r="L21" s="31">
        <f t="shared" si="1"/>
        <v>12.949640287769784</v>
      </c>
    </row>
    <row r="22" spans="1:12" ht="21.75">
      <c r="A22" s="69" t="s">
        <v>29</v>
      </c>
      <c r="B22" s="6" t="s">
        <v>32</v>
      </c>
      <c r="C22" s="29">
        <v>190</v>
      </c>
      <c r="D22" s="29">
        <v>195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-0.516795865633075</v>
      </c>
      <c r="J22" s="29">
        <v>174</v>
      </c>
      <c r="K22" s="29">
        <v>175</v>
      </c>
      <c r="L22" s="31">
        <f t="shared" si="1"/>
        <v>10.315186246418339</v>
      </c>
    </row>
    <row r="23" spans="1:12" ht="21.75">
      <c r="A23" s="69" t="s">
        <v>33</v>
      </c>
      <c r="B23" s="6" t="s">
        <v>28</v>
      </c>
      <c r="C23" s="29">
        <v>148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-1.2738853503184715</v>
      </c>
      <c r="J23" s="29">
        <v>156</v>
      </c>
      <c r="K23" s="29">
        <v>158</v>
      </c>
      <c r="L23" s="31">
        <f t="shared" si="1"/>
        <v>-1.2738853503184715</v>
      </c>
    </row>
    <row r="24" spans="1:12" ht="21.75">
      <c r="A24" s="69" t="s">
        <v>104</v>
      </c>
      <c r="B24" s="6" t="s">
        <v>28</v>
      </c>
      <c r="C24" s="29">
        <v>155</v>
      </c>
      <c r="D24" s="29">
        <v>165</v>
      </c>
      <c r="E24" s="29">
        <v>160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1060</v>
      </c>
      <c r="L25" s="31">
        <f t="shared" si="1"/>
        <v>3.4313725490196081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.75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120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.75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.75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80</v>
      </c>
      <c r="H32" s="29">
        <v>110</v>
      </c>
      <c r="I32" s="30">
        <f t="shared" si="2"/>
        <v>-7.8947368421052628</v>
      </c>
      <c r="J32" s="29">
        <v>120</v>
      </c>
      <c r="K32" s="29">
        <v>130</v>
      </c>
      <c r="L32" s="31">
        <f t="shared" si="3"/>
        <v>-30</v>
      </c>
    </row>
    <row r="33" spans="1:12" ht="21.75">
      <c r="A33" s="69" t="s">
        <v>113</v>
      </c>
      <c r="B33" s="6" t="s">
        <v>18</v>
      </c>
      <c r="C33" s="29">
        <v>20</v>
      </c>
      <c r="D33" s="29">
        <v>35</v>
      </c>
      <c r="E33" s="29">
        <v>20</v>
      </c>
      <c r="F33" s="29">
        <v>40</v>
      </c>
      <c r="G33" s="29">
        <v>20</v>
      </c>
      <c r="H33" s="29">
        <v>30</v>
      </c>
      <c r="I33" s="30">
        <f t="shared" si="2"/>
        <v>10</v>
      </c>
      <c r="J33" s="29">
        <v>25</v>
      </c>
      <c r="K33" s="29">
        <v>40</v>
      </c>
      <c r="L33" s="31">
        <f t="shared" si="3"/>
        <v>-15.384615384615385</v>
      </c>
    </row>
    <row r="34" spans="1:12" ht="21.75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83" t="s">
        <v>114</v>
      </c>
      <c r="B35" s="6" t="s">
        <v>18</v>
      </c>
      <c r="C35" s="29">
        <v>50</v>
      </c>
      <c r="D35" s="29">
        <v>70</v>
      </c>
      <c r="E35" s="29">
        <v>50</v>
      </c>
      <c r="F35" s="29">
        <v>70</v>
      </c>
      <c r="G35" s="29">
        <v>70</v>
      </c>
      <c r="H35" s="29">
        <v>140</v>
      </c>
      <c r="I35" s="30">
        <f t="shared" ref="I35:I50" si="4">((C35+D35)/2-(G35+H35)/2)/((G35+H35)/2)*100</f>
        <v>-42.857142857142854</v>
      </c>
      <c r="J35" s="29">
        <v>50</v>
      </c>
      <c r="K35" s="29">
        <v>70</v>
      </c>
      <c r="L35" s="31">
        <f t="shared" ref="L35:L50" si="5">((C35+D35)/2-(J35+K35)/2)/((J35+K35)/2)*100</f>
        <v>0</v>
      </c>
    </row>
    <row r="36" spans="1:12" ht="21.75">
      <c r="A36" s="69" t="s">
        <v>43</v>
      </c>
      <c r="B36" s="6" t="s">
        <v>18</v>
      </c>
      <c r="C36" s="29">
        <v>70</v>
      </c>
      <c r="D36" s="29">
        <v>75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-30.952380952380953</v>
      </c>
      <c r="J36" s="29">
        <v>55</v>
      </c>
      <c r="K36" s="29">
        <v>70</v>
      </c>
      <c r="L36" s="31">
        <f t="shared" si="5"/>
        <v>16</v>
      </c>
    </row>
    <row r="37" spans="1:12" ht="21.75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240</v>
      </c>
      <c r="K37" s="29">
        <v>260</v>
      </c>
      <c r="L37" s="31">
        <f t="shared" si="5"/>
        <v>-56.000000000000007</v>
      </c>
    </row>
    <row r="38" spans="1:12" ht="21.75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.75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.75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.75">
      <c r="A42" s="69" t="s">
        <v>49</v>
      </c>
      <c r="B42" s="6" t="s">
        <v>18</v>
      </c>
      <c r="C42" s="29">
        <v>280</v>
      </c>
      <c r="D42" s="29">
        <v>400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-5.5555555555555554</v>
      </c>
      <c r="J42" s="29">
        <v>250</v>
      </c>
      <c r="K42" s="29">
        <v>300</v>
      </c>
      <c r="L42" s="31">
        <f t="shared" si="5"/>
        <v>23.636363636363637</v>
      </c>
    </row>
    <row r="43" spans="1:12" ht="21.75">
      <c r="A43" s="69" t="s">
        <v>50</v>
      </c>
      <c r="B43" s="6" t="s">
        <v>18</v>
      </c>
      <c r="C43" s="29">
        <v>140</v>
      </c>
      <c r="D43" s="29">
        <v>200</v>
      </c>
      <c r="E43" s="29">
        <v>140</v>
      </c>
      <c r="F43" s="29">
        <v>170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.75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.75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800</v>
      </c>
      <c r="L45" s="31">
        <f t="shared" si="5"/>
        <v>-11.864406779661017</v>
      </c>
    </row>
    <row r="46" spans="1:12" ht="21.75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.75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.75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4000</v>
      </c>
      <c r="K48" s="29">
        <v>5000</v>
      </c>
      <c r="L48" s="31">
        <f t="shared" si="5"/>
        <v>11.111111111111111</v>
      </c>
    </row>
    <row r="49" spans="1:12" ht="21.75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.75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.75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.75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650</v>
      </c>
      <c r="K53" s="29">
        <v>1600</v>
      </c>
      <c r="L53" s="31">
        <f t="shared" si="7"/>
        <v>64.444444444444443</v>
      </c>
    </row>
    <row r="54" spans="1:12" ht="21.75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.75">
      <c r="A56" s="69" t="s">
        <v>61</v>
      </c>
      <c r="B56" s="6" t="s">
        <v>18</v>
      </c>
      <c r="C56" s="29">
        <v>165</v>
      </c>
      <c r="D56" s="29">
        <v>180</v>
      </c>
      <c r="E56" s="29">
        <v>160</v>
      </c>
      <c r="F56" s="29">
        <v>180</v>
      </c>
      <c r="G56" s="29">
        <v>150</v>
      </c>
      <c r="H56" s="29">
        <v>170</v>
      </c>
      <c r="I56" s="30">
        <f t="shared" si="6"/>
        <v>7.8125</v>
      </c>
      <c r="J56" s="29">
        <v>190</v>
      </c>
      <c r="K56" s="29">
        <v>210</v>
      </c>
      <c r="L56" s="31">
        <f t="shared" si="7"/>
        <v>-13.750000000000002</v>
      </c>
    </row>
    <row r="57" spans="1:12" ht="21.75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>
      <c r="A67" s="73"/>
      <c r="B67" s="64"/>
      <c r="C67" s="89">
        <v>46043</v>
      </c>
      <c r="D67" s="88"/>
      <c r="E67" s="89">
        <v>46036</v>
      </c>
      <c r="F67" s="88"/>
      <c r="G67" s="89">
        <v>46012</v>
      </c>
      <c r="H67" s="88"/>
      <c r="I67" s="26" t="s">
        <v>12</v>
      </c>
      <c r="J67" s="89">
        <v>45678</v>
      </c>
      <c r="K67" s="88"/>
      <c r="L67" s="26" t="s">
        <v>12</v>
      </c>
    </row>
    <row r="68" spans="1:12" ht="21.7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70</v>
      </c>
      <c r="B69" s="6" t="s">
        <v>18</v>
      </c>
      <c r="C69" s="29">
        <v>98</v>
      </c>
      <c r="D69" s="29">
        <v>110</v>
      </c>
      <c r="E69" s="29">
        <v>98</v>
      </c>
      <c r="F69" s="29">
        <v>110</v>
      </c>
      <c r="G69" s="29">
        <v>95</v>
      </c>
      <c r="H69" s="29">
        <v>110</v>
      </c>
      <c r="I69" s="30">
        <f>((C69+D69)/2-(G69+H69)/2)/((G69+H69)/2)*100</f>
        <v>1.4634146341463417</v>
      </c>
      <c r="J69" s="29">
        <v>120</v>
      </c>
      <c r="K69" s="29">
        <v>125</v>
      </c>
      <c r="L69" s="31">
        <f t="shared" ref="L69:L75" si="8">((C69+D69)/2-(J69+K69)/2)/((J69+K69)/2)*100</f>
        <v>-15.102040816326531</v>
      </c>
    </row>
    <row r="70" spans="1:12" ht="21.75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.75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72</v>
      </c>
      <c r="B72" s="6" t="s">
        <v>73</v>
      </c>
      <c r="C72" s="37">
        <v>34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-2.4691358024691357</v>
      </c>
      <c r="J72" s="37">
        <v>44</v>
      </c>
      <c r="K72" s="37">
        <v>48</v>
      </c>
      <c r="L72" s="31">
        <f t="shared" si="8"/>
        <v>-14.130434782608695</v>
      </c>
    </row>
    <row r="73" spans="1:12" ht="21.75">
      <c r="A73" s="69" t="s">
        <v>74</v>
      </c>
      <c r="B73" s="6" t="s">
        <v>75</v>
      </c>
      <c r="C73" s="37">
        <v>34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5.7142857142857144</v>
      </c>
      <c r="J73" s="37">
        <v>30</v>
      </c>
      <c r="K73" s="37">
        <v>40</v>
      </c>
      <c r="L73" s="31">
        <f t="shared" si="8"/>
        <v>5.7142857142857144</v>
      </c>
    </row>
    <row r="74" spans="1:12" ht="21.75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.75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>
      <c r="A76" s="90" t="s">
        <v>129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.7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.75">
      <c r="A83" s="69" t="s">
        <v>29</v>
      </c>
      <c r="B83" s="6" t="s">
        <v>30</v>
      </c>
      <c r="C83" s="29">
        <v>920</v>
      </c>
      <c r="D83" s="29">
        <v>955</v>
      </c>
      <c r="E83" s="29">
        <v>920</v>
      </c>
      <c r="F83" s="29">
        <v>965</v>
      </c>
      <c r="G83" s="7">
        <f>((C83+D83)/2-(E83+F83)/2)/((E83+F83)/2)*100</f>
        <v>-0.53050397877984079</v>
      </c>
      <c r="H83" s="5" t="s">
        <v>121</v>
      </c>
      <c r="I83" s="6"/>
      <c r="J83" s="6"/>
      <c r="K83" s="50"/>
      <c r="L83" s="17"/>
    </row>
    <row r="84" spans="1:12" ht="21.75">
      <c r="A84" s="69" t="s">
        <v>29</v>
      </c>
      <c r="B84" s="6" t="s">
        <v>31</v>
      </c>
      <c r="C84" s="29">
        <v>390</v>
      </c>
      <c r="D84" s="29">
        <v>395</v>
      </c>
      <c r="E84" s="29">
        <v>380</v>
      </c>
      <c r="F84" s="29">
        <v>395</v>
      </c>
      <c r="G84" s="7">
        <f>((C84+D84)/2-(E84+F84)/2)/((E84+F84)/2)*100</f>
        <v>1.2903225806451613</v>
      </c>
      <c r="H84" s="5" t="s">
        <v>120</v>
      </c>
      <c r="I84" s="6"/>
      <c r="J84" s="6"/>
      <c r="K84" s="50"/>
      <c r="L84" s="17"/>
    </row>
    <row r="85" spans="1:12" ht="21.75">
      <c r="A85" s="69" t="s">
        <v>29</v>
      </c>
      <c r="B85" s="6" t="s">
        <v>32</v>
      </c>
      <c r="C85" s="29">
        <v>190</v>
      </c>
      <c r="D85" s="29">
        <v>195</v>
      </c>
      <c r="E85" s="29">
        <v>190</v>
      </c>
      <c r="F85" s="29">
        <v>198</v>
      </c>
      <c r="G85" s="7">
        <f>((C85+D85)/2-(E85+F85)/2)/((E85+F85)/2)*100</f>
        <v>-0.77319587628865982</v>
      </c>
      <c r="H85" s="5" t="s">
        <v>121</v>
      </c>
      <c r="I85" s="6"/>
      <c r="J85" s="6"/>
      <c r="K85" s="50"/>
      <c r="L85" s="17"/>
    </row>
    <row r="86" spans="1:12" ht="21.75">
      <c r="A86" s="69" t="s">
        <v>33</v>
      </c>
      <c r="B86" s="6" t="s">
        <v>28</v>
      </c>
      <c r="C86" s="29">
        <v>148</v>
      </c>
      <c r="D86" s="29">
        <v>162</v>
      </c>
      <c r="E86" s="29">
        <v>152</v>
      </c>
      <c r="F86" s="29">
        <v>162</v>
      </c>
      <c r="G86" s="7">
        <f>((C86+D86)/2-(E86+F86)/2)/((E86+F86)/2)*100</f>
        <v>-1.2738853503184715</v>
      </c>
      <c r="H86" s="5" t="s">
        <v>121</v>
      </c>
      <c r="I86" s="6"/>
      <c r="J86" s="6"/>
      <c r="K86" s="50"/>
      <c r="L86" s="17"/>
    </row>
    <row r="87" spans="1:12" ht="21.75">
      <c r="A87" s="69" t="s">
        <v>113</v>
      </c>
      <c r="B87" s="6" t="s">
        <v>18</v>
      </c>
      <c r="C87" s="29">
        <v>20</v>
      </c>
      <c r="D87" s="29">
        <v>35</v>
      </c>
      <c r="E87" s="29">
        <v>20</v>
      </c>
      <c r="F87" s="29">
        <v>40</v>
      </c>
      <c r="G87" s="7">
        <f>((C87+D87)/2-(E87+F87)/2)/((E87+F87)/2)*100</f>
        <v>-8.3333333333333321</v>
      </c>
      <c r="H87" s="5" t="s">
        <v>121</v>
      </c>
      <c r="I87" s="6"/>
      <c r="J87" s="6"/>
      <c r="K87" s="50"/>
      <c r="L87" s="17"/>
    </row>
    <row r="88" spans="1:12" ht="21.75">
      <c r="A88" s="69" t="s">
        <v>43</v>
      </c>
      <c r="B88" s="6" t="s">
        <v>18</v>
      </c>
      <c r="C88" s="29">
        <v>70</v>
      </c>
      <c r="D88" s="29">
        <v>75</v>
      </c>
      <c r="E88" s="29">
        <v>70</v>
      </c>
      <c r="F88" s="29">
        <v>80</v>
      </c>
      <c r="G88" s="7">
        <f t="shared" ref="G88:G89" si="10">((C88+D88)/2-(E88+F88)/2)/((E88+F88)/2)*100</f>
        <v>-3.3333333333333335</v>
      </c>
      <c r="H88" s="5" t="s">
        <v>126</v>
      </c>
      <c r="I88" s="6"/>
      <c r="J88" s="6"/>
      <c r="K88" s="50"/>
      <c r="L88" s="17"/>
    </row>
    <row r="89" spans="1:12" ht="21.75">
      <c r="A89" s="69" t="s">
        <v>49</v>
      </c>
      <c r="B89" s="6" t="s">
        <v>18</v>
      </c>
      <c r="C89" s="29">
        <v>280</v>
      </c>
      <c r="D89" s="29">
        <v>400</v>
      </c>
      <c r="E89" s="29">
        <v>300</v>
      </c>
      <c r="F89" s="29">
        <v>420</v>
      </c>
      <c r="G89" s="7">
        <f t="shared" si="10"/>
        <v>-5.5555555555555554</v>
      </c>
      <c r="H89" s="5" t="s">
        <v>122</v>
      </c>
      <c r="I89" s="6"/>
      <c r="J89" s="6"/>
      <c r="K89" s="50"/>
      <c r="L89" s="17"/>
    </row>
    <row r="90" spans="1:12" ht="21.75">
      <c r="A90" s="69" t="s">
        <v>50</v>
      </c>
      <c r="B90" s="6" t="s">
        <v>18</v>
      </c>
      <c r="C90" s="29">
        <v>140</v>
      </c>
      <c r="D90" s="29">
        <v>200</v>
      </c>
      <c r="E90" s="29">
        <v>140</v>
      </c>
      <c r="F90" s="29">
        <v>170</v>
      </c>
      <c r="G90" s="7">
        <f>((C90+D90)/2-(E90+F90)/2)/((E90+F90)/2)*100</f>
        <v>9.67741935483871</v>
      </c>
      <c r="H90" s="5" t="s">
        <v>117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165</v>
      </c>
      <c r="D91" s="29">
        <v>180</v>
      </c>
      <c r="E91" s="29">
        <v>160</v>
      </c>
      <c r="F91" s="29">
        <v>180</v>
      </c>
      <c r="G91" s="7">
        <f>((C91+D91)/2-(E91+F91)/2)/((E91+F91)/2)*100</f>
        <v>1.4705882352941175</v>
      </c>
      <c r="H91" s="5" t="s">
        <v>120</v>
      </c>
      <c r="I91" s="6"/>
      <c r="J91" s="6"/>
      <c r="K91" s="50"/>
      <c r="L91" s="17"/>
    </row>
    <row r="92" spans="1:12" ht="24.75">
      <c r="A92" s="69" t="s">
        <v>72</v>
      </c>
      <c r="B92" s="6" t="s">
        <v>73</v>
      </c>
      <c r="C92" s="37">
        <v>34</v>
      </c>
      <c r="D92" s="37">
        <v>45</v>
      </c>
      <c r="E92" s="37">
        <v>36</v>
      </c>
      <c r="F92" s="37">
        <v>45</v>
      </c>
      <c r="G92" s="7">
        <f>((C92+D92)/2-(E92+F92)/2)/((E92+F92)/2)*100</f>
        <v>-2.4691358024691357</v>
      </c>
      <c r="H92" s="5" t="s">
        <v>121</v>
      </c>
      <c r="I92" s="6"/>
      <c r="J92" s="6"/>
      <c r="K92" s="40"/>
      <c r="L92" s="11"/>
    </row>
    <row r="93" spans="1:12" ht="24.75">
      <c r="A93" s="72"/>
      <c r="B93" s="3"/>
      <c r="C93" s="78"/>
      <c r="D93" s="78"/>
      <c r="E93" s="78"/>
      <c r="F93" s="78"/>
      <c r="G93" s="9"/>
      <c r="H93" s="1"/>
      <c r="I93" s="3"/>
      <c r="J93" s="3"/>
      <c r="K93" s="40"/>
      <c r="L93" s="11"/>
    </row>
    <row r="94" spans="1:12" ht="24.75">
      <c r="A94" s="1"/>
      <c r="B94" s="3"/>
      <c r="C94" s="82"/>
      <c r="D94" s="82"/>
      <c r="E94" s="8"/>
      <c r="F94" s="82"/>
      <c r="G94" s="38"/>
      <c r="H94" s="39"/>
      <c r="I94" s="40"/>
      <c r="J94" s="40"/>
      <c r="K94" s="40"/>
      <c r="L94" s="11"/>
    </row>
    <row r="95" spans="1:12" ht="24.75">
      <c r="A95" s="1"/>
      <c r="B95" s="13"/>
      <c r="C95" s="14"/>
      <c r="D95" s="14"/>
      <c r="E95" s="13"/>
      <c r="F95" s="14"/>
      <c r="G95" s="38"/>
      <c r="H95" s="39"/>
      <c r="I95" s="40"/>
      <c r="J95" s="40"/>
      <c r="K95" s="40"/>
      <c r="L95" s="11"/>
    </row>
    <row r="96" spans="1:12" ht="24.75">
      <c r="A96" s="41"/>
      <c r="B96" s="42" t="s">
        <v>115</v>
      </c>
      <c r="C96" s="10"/>
      <c r="E96" s="84"/>
      <c r="F96" s="85"/>
      <c r="G96" s="86"/>
      <c r="I96" s="12"/>
      <c r="J96" s="13" t="s">
        <v>118</v>
      </c>
      <c r="K96" s="10"/>
    </row>
    <row r="97" spans="1:12" ht="24.75">
      <c r="A97" s="43"/>
      <c r="B97" s="42" t="s">
        <v>116</v>
      </c>
      <c r="C97" s="13"/>
      <c r="E97" s="43"/>
      <c r="F97" s="85"/>
      <c r="G97" s="86"/>
      <c r="I97" s="76"/>
      <c r="J97" s="13" t="s">
        <v>119</v>
      </c>
    </row>
    <row r="98" spans="1:12" ht="24.75">
      <c r="A98" s="1"/>
      <c r="B98" s="13"/>
      <c r="C98" s="14"/>
      <c r="D98" s="13"/>
      <c r="E98" s="14"/>
      <c r="F98" s="44"/>
      <c r="G98" s="46"/>
      <c r="H98" s="46"/>
      <c r="I98" s="45"/>
      <c r="J98" s="10"/>
      <c r="K98" s="10"/>
      <c r="L98" s="2"/>
    </row>
    <row r="99" spans="1:12" ht="19.5">
      <c r="A99" s="55" t="s">
        <v>91</v>
      </c>
      <c r="B99" s="53"/>
      <c r="C99" s="51"/>
      <c r="D99" s="53"/>
      <c r="E99" s="51"/>
      <c r="F99" s="51"/>
      <c r="G99" s="51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1"/>
      <c r="D100" s="53"/>
      <c r="E100" s="51"/>
      <c r="F100" s="51"/>
      <c r="G100" s="53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84</v>
      </c>
      <c r="B102" s="53"/>
      <c r="C102" s="53"/>
      <c r="D102" s="53"/>
      <c r="E102" s="53"/>
      <c r="F102" s="52"/>
      <c r="G102" s="52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2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105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92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85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99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98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101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86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/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5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111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110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109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2026-01-21T08:04:04Z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