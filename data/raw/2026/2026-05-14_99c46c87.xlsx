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337B3838-0120-44AB-BA26-45B9CFAF77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92" i="4"/>
  <c r="G89" i="4"/>
  <c r="G88" i="4"/>
  <c r="G87" i="4"/>
  <c r="G94" i="4"/>
  <c r="G93" i="4"/>
  <c r="G95" i="4"/>
  <c r="G97" i="4"/>
  <c r="G91" i="4"/>
  <c r="G96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<sst xmlns="http://schemas.openxmlformats.org/spreadsheetml/2006/main" count="254" uniqueCount="138">
  <si>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</si>
  <si>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</si>
  <si>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</si>
  <si>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</si>
  <si>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</si>
  <si>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</si>
  <si>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</si>
  <si>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</si>
  <si>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</si>
  <si>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</si>
  <si>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</si>
  <si>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</si>
  <si>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</si>
  <si>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</si>
  <si>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</si>
  <si>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</si>
  <si>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</si>
  <si>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</si>
  <si>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</si>
  <si>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</si>
  <si>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</si>
  <si>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</si>
  <si>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</si>
  <si>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</si>
  <si>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</si>
  <si>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</si>
  <si>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</si>
  <si>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</si>
  <si>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</si>
  <si>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</si>
  <si>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</si>
  <si>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</si>
  <si>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</si>
  <si>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</si>
  <si>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</si>
  <si>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</si>
  <si>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</si>
  <si>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</si>
  <si>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</si>
  <si>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</si>
  <si>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</si>
  <si>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</si>
  <si>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</si>
  <si>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</si>
  <si>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</si>
  <si>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</si>
  <si>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</si>
  <si>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</si>
  <si>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</si>
  <si>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</si>
  <si>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</si>
  <si>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</si>
  <si>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</si>
  <si>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</si>
  <si>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</si>
  <si>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</si>
  <si>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</si>
  <si>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</si>
  <si>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</si>
  <si>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</si>
  <si>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</si>
  <si>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</si>
  <si>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</si>
  <si>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</si>
  <si>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</si>
  <si>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</si>
  <si>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</si>
  <si>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</si>
  <si>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</si>
  <si>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</si>
  <si>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</si>
  <si>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</si>
  <si>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</si>
  <si>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</si>
  <si>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</si>
  <si>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</si>
  <si>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</si>
  <si>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</si>
  <si>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</si>
  <si>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</si>
  <si>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</si>
  <si>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</si>
  <si>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</si>
  <si>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</si>
  <si>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</si>
  <si>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</si>
  <si>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</si>
  <si>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</si>
  <si>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</si>
  <si>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</si>
  <si>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</si>
  <si>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</si>
  <si>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</si>
  <si>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</si>
  <si>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</si>
  <si>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</si>
  <si>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</si>
  <si>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</si>
  <si>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</si>
  <si>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</si>
  <si>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</si>
  <si>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</si>
  <si>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</si>
  <si>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</si>
  <si>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</si>
  <si>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</si>
  <si>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</si>
  <si>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</si>
  <si>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</si>
  <si>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</si>
  <si>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</si>
  <si>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</si>
  <si>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</si>
  <si>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</si>
  <si>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</si>
  <si>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</si>
  <si>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</si>
  <si>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</si>
  <si>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</si>
  <si>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</si>
  <si>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 xml:space="preserve"> (মোঃ গোলাম খোরশেদ)   </t>
  </si>
  <si>
    <t xml:space="preserve"> অতিরিক্ত পরিচালক (বাণিজ্যিক)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</si>
  <si>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</si>
  <si>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</si>
  <si>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</si>
  <si>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</si>
  <si>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>১০-০৫-২০২৬ তারিখে মূল্য বৃদ্ধি পেয়েছে।</t>
  </si>
  <si>
    <t>১১-০৫-২০২৬ তারিখে মূল্য হ্রাস পেয়েছে।</t>
  </si>
  <si>
    <t>১২-০৫-২০২৬ তারিখে মূল্য বৃদ্ধি পেয়েছে।</t>
  </si>
  <si>
    <t>১২-০৫-২০২৬ তারিখে মূল্য হ্রাস পেয়েছে।</t>
  </si>
  <si>
    <t>১৩-০৫-২০২৬ তারিখে মূল্য বৃদ্ধি পেয়েছে।</t>
  </si>
  <si>
    <t>১৩-০৫-২০২৬ তারিখে মূল্য হ্রাস পেয়েছে।</t>
  </si>
  <si>
    <t>(১)   চাল (মাঝারী, মোটা), রসুন (আম), বেগুন  এর মূল্য হ্রাস পেয়েছে।</t>
  </si>
  <si>
    <t>স্মারক নং-২৬.০৫.০০০০.০১৭.৩১.০১.২৬-৩৮৯</t>
  </si>
  <si>
    <t xml:space="preserve">বৃহস্পতিবার ১৪ মে ২০২৬ খ্রিঃ, ৩১ বৈশাখ ১৪৩৩ বাংলা, ২৬ জিলকদ ১৪৪৭ হিজরি </t>
  </si>
  <si>
    <t xml:space="preserve">   সিরিয়াল নংঃ     ১১৮</t>
  </si>
  <si>
    <t>১৪-০৫-২০২৬ তারিখে মূল্য বৃদ্ধি পেয়েছে।</t>
  </si>
  <si>
    <t>(২)   ময়দা (প্যাঃ), পাম অয়েল (লুজ, সুপার), মসুর ডাল (ছোট), পেঁয়াজ (দেশী), আদা (আম), শসা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</si>
</sst>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6" fontId="6" fillId="6" borderId="1" xfId="1" applyNumberFormat="1" applyFont="1" applyFill="1" applyBorder="1" applyAlignment="1">
      <alignment horizont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2"/>
  <sheetViews>
    <sheetView tabSelected="1" topLeftCell="A70" zoomScale="95" zoomScaleNormal="95" workbookViewId="0">
      <selection activeCell="C49" sqref="C49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96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135</v>
      </c>
      <c r="L5" s="75"/>
    </row>
    <row r="6" spans="1:12" ht="21.75">
      <c r="A6" s="10"/>
      <c r="B6" s="8"/>
      <c r="C6" s="8"/>
      <c r="D6" s="10"/>
      <c r="E6" s="8"/>
      <c r="F6" s="8" t="s">
        <v>134</v>
      </c>
      <c r="G6" s="8"/>
      <c r="H6" s="8"/>
      <c r="I6" s="8"/>
      <c r="J6" s="8"/>
      <c r="K6" s="8"/>
      <c r="L6" s="30"/>
    </row>
    <row r="7" spans="1:12" ht="21.75">
      <c r="A7" s="13" t="s">
        <v>133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46156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46156</v>
      </c>
      <c r="D9" s="75"/>
      <c r="E9" s="74">
        <v>46149</v>
      </c>
      <c r="F9" s="75"/>
      <c r="G9" s="74">
        <v>46125</v>
      </c>
      <c r="H9" s="75"/>
      <c r="I9" s="18" t="s">
        <v>12</v>
      </c>
      <c r="J9" s="74">
        <v>45791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70</v>
      </c>
      <c r="K11" s="20">
        <v>85</v>
      </c>
      <c r="L11" s="22">
        <f>((C11+D11)/2-(J11+K11)/2)/((J11+K11)/2)*100</f>
        <v>0</v>
      </c>
    </row>
    <row r="12" spans="1:12" ht="21.75">
      <c r="A12" s="56" t="s">
        <v>97</v>
      </c>
      <c r="B12" s="6" t="s">
        <v>17</v>
      </c>
      <c r="C12" s="20">
        <v>52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-2.4390243902439024</v>
      </c>
      <c r="J12" s="20">
        <v>56</v>
      </c>
      <c r="K12" s="20">
        <v>65</v>
      </c>
      <c r="L12" s="22">
        <f>((C12+D12)/2-(J12+K12)/2)/((J12+K12)/2)*100</f>
        <v>-0.82644628099173556</v>
      </c>
    </row>
    <row r="13" spans="1:12" ht="21.75">
      <c r="A13" s="56" t="s">
        <v>18</v>
      </c>
      <c r="B13" s="6" t="s">
        <v>17</v>
      </c>
      <c r="C13" s="20">
        <v>48</v>
      </c>
      <c r="D13" s="20">
        <v>60</v>
      </c>
      <c r="E13" s="20">
        <v>55</v>
      </c>
      <c r="F13" s="20">
        <v>60</v>
      </c>
      <c r="G13" s="20">
        <v>55</v>
      </c>
      <c r="H13" s="20">
        <v>60</v>
      </c>
      <c r="I13" s="21">
        <f>((C13+D13)/2-(G13+H13)/2)/((G13+H13)/2)*100</f>
        <v>-6.0869565217391308</v>
      </c>
      <c r="J13" s="20">
        <v>50</v>
      </c>
      <c r="K13" s="20">
        <v>55</v>
      </c>
      <c r="L13" s="22">
        <f>((C13+D13)/2-(J13+K13)/2)/((J13+K13)/2)*100</f>
        <v>2.8571428571428572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50</v>
      </c>
      <c r="K16" s="20">
        <v>55</v>
      </c>
      <c r="L16" s="22">
        <f>((C16+D16)/2-(J16+K16)/2)/((J16+K16)/2)*100</f>
        <v>9.5238095238095237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50</v>
      </c>
      <c r="H17" s="20">
        <v>60</v>
      </c>
      <c r="I17" s="21">
        <f>((C17+D17)/2-(G17+H17)/2)/((G17+H17)/2)*100</f>
        <v>4.5454545454545459</v>
      </c>
      <c r="J17" s="20">
        <v>55</v>
      </c>
      <c r="K17" s="20">
        <v>60</v>
      </c>
      <c r="L17" s="22">
        <f>((C17+D17)/2-(J17+K17)/2)/((J17+K17)/2)*100</f>
        <v>0</v>
      </c>
    </row>
    <row r="18" spans="1:12" ht="21.75">
      <c r="A18" s="56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0</v>
      </c>
      <c r="J18" s="20">
        <v>64</v>
      </c>
      <c r="K18" s="20">
        <v>70</v>
      </c>
      <c r="L18" s="22">
        <f>((C18+D18)/2-(J18+K18)/2)/((J18+K18)/2)*100</f>
        <v>0.74626865671641784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186</v>
      </c>
      <c r="F20" s="20">
        <v>195</v>
      </c>
      <c r="G20" s="20">
        <v>185</v>
      </c>
      <c r="H20" s="20">
        <v>192</v>
      </c>
      <c r="I20" s="21">
        <f t="shared" ref="I20:I26" si="0">((C20+D20)/2-(G20+H20)/2)/((G20+H20)/2)*100</f>
        <v>1.0610079575596816</v>
      </c>
      <c r="J20" s="20">
        <v>160</v>
      </c>
      <c r="K20" s="20">
        <v>168</v>
      </c>
      <c r="L20" s="22">
        <f t="shared" ref="L20:L26" si="1">((C20+D20)/2-(J20+K20)/2)/((J20+K20)/2)*100</f>
        <v>16.158536585365855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975</v>
      </c>
      <c r="G21" s="20">
        <v>950</v>
      </c>
      <c r="H21" s="20">
        <v>955</v>
      </c>
      <c r="I21" s="21">
        <f t="shared" si="0"/>
        <v>1.0498687664041995</v>
      </c>
      <c r="J21" s="20">
        <v>910</v>
      </c>
      <c r="K21" s="20">
        <v>920</v>
      </c>
      <c r="L21" s="22">
        <f t="shared" si="1"/>
        <v>5.1912568306010929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398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199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170</v>
      </c>
      <c r="E24" s="20">
        <v>162</v>
      </c>
      <c r="F24" s="20">
        <v>168</v>
      </c>
      <c r="G24" s="20">
        <v>164</v>
      </c>
      <c r="H24" s="20">
        <v>168</v>
      </c>
      <c r="I24" s="21">
        <f t="shared" si="0"/>
        <v>0</v>
      </c>
      <c r="J24" s="20">
        <v>148</v>
      </c>
      <c r="K24" s="20">
        <v>155</v>
      </c>
      <c r="L24" s="22">
        <f t="shared" si="1"/>
        <v>9.5709570957095718</v>
      </c>
    </row>
    <row r="25" spans="1:12" ht="21.75">
      <c r="A25" s="56" t="s">
        <v>98</v>
      </c>
      <c r="B25" s="6" t="s">
        <v>27</v>
      </c>
      <c r="C25" s="20">
        <v>170</v>
      </c>
      <c r="D25" s="20">
        <v>175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2.3738872403560833</v>
      </c>
      <c r="J25" s="20">
        <v>152</v>
      </c>
      <c r="K25" s="20">
        <v>162</v>
      </c>
      <c r="L25" s="22">
        <f t="shared" si="1"/>
        <v>9.8726114649681538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1140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2.8436018957345972</v>
      </c>
      <c r="J26" s="20">
        <v>1050</v>
      </c>
      <c r="K26" s="20">
        <v>1070</v>
      </c>
      <c r="L26" s="22">
        <f t="shared" si="1"/>
        <v>2.358490566037736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95</v>
      </c>
      <c r="K28" s="20">
        <v>110</v>
      </c>
      <c r="L28" s="22">
        <f t="shared" ref="L28:L34" si="3">((C28+D28)/2-(J28+K28)/2)/((J28+K28)/2)*100</f>
        <v>-4.8780487804878048</v>
      </c>
    </row>
    <row r="29" spans="1:12" ht="21.75">
      <c r="A29" s="56" t="s">
        <v>102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105</v>
      </c>
      <c r="K29" s="20">
        <v>120</v>
      </c>
      <c r="L29" s="22">
        <f t="shared" si="3"/>
        <v>4.4444444444444446</v>
      </c>
    </row>
    <row r="30" spans="1:12" ht="21.75">
      <c r="A30" s="56" t="s">
        <v>37</v>
      </c>
      <c r="B30" s="6" t="s">
        <v>17</v>
      </c>
      <c r="C30" s="20">
        <v>150</v>
      </c>
      <c r="D30" s="20">
        <v>160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6.8965517241379306</v>
      </c>
      <c r="J30" s="20">
        <v>125</v>
      </c>
      <c r="K30" s="20">
        <v>135</v>
      </c>
      <c r="L30" s="22">
        <f t="shared" si="3"/>
        <v>19.230769230769234</v>
      </c>
    </row>
    <row r="31" spans="1:12" ht="21.75">
      <c r="A31" s="56" t="s">
        <v>38</v>
      </c>
      <c r="B31" s="6" t="s">
        <v>17</v>
      </c>
      <c r="C31" s="20">
        <v>130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56" t="s">
        <v>39</v>
      </c>
      <c r="B32" s="6" t="s">
        <v>17</v>
      </c>
      <c r="C32" s="20">
        <v>60</v>
      </c>
      <c r="D32" s="20">
        <v>75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3.8461538461538463</v>
      </c>
      <c r="J32" s="20">
        <v>60</v>
      </c>
      <c r="K32" s="20">
        <v>80</v>
      </c>
      <c r="L32" s="22">
        <f t="shared" si="3"/>
        <v>-3.5714285714285712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85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105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106</v>
      </c>
      <c r="B36" s="6" t="s">
        <v>17</v>
      </c>
      <c r="C36" s="82">
        <v>40</v>
      </c>
      <c r="D36" s="82">
        <v>50</v>
      </c>
      <c r="E36" s="20">
        <v>35</v>
      </c>
      <c r="F36" s="20">
        <v>40</v>
      </c>
      <c r="G36" s="20">
        <v>35</v>
      </c>
      <c r="H36" s="20">
        <v>40</v>
      </c>
      <c r="I36" s="21">
        <f t="shared" ref="I36:I51" si="4">((C36+D36)/2-(G36+H36)/2)/((G36+H36)/2)*100</f>
        <v>20</v>
      </c>
      <c r="J36" s="20">
        <v>48</v>
      </c>
      <c r="K36" s="20">
        <v>60</v>
      </c>
      <c r="L36" s="22">
        <f t="shared" ref="L36:L51" si="5">((C36+D36)/2-(J36+K36)/2)/((J36+K36)/2)*100</f>
        <v>-16.666666666666664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60</v>
      </c>
      <c r="K37" s="20">
        <v>65</v>
      </c>
      <c r="L37" s="22">
        <f t="shared" si="5"/>
        <v>-100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70</v>
      </c>
      <c r="F38" s="20">
        <v>140</v>
      </c>
      <c r="G38" s="20">
        <v>70</v>
      </c>
      <c r="H38" s="20">
        <v>140</v>
      </c>
      <c r="I38" s="21">
        <f t="shared" si="4"/>
        <v>-4.7619047619047619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82">
        <v>130</v>
      </c>
      <c r="D39" s="20">
        <v>220</v>
      </c>
      <c r="E39" s="20">
        <v>140</v>
      </c>
      <c r="F39" s="20">
        <v>220</v>
      </c>
      <c r="G39" s="20">
        <v>160</v>
      </c>
      <c r="H39" s="20">
        <v>220</v>
      </c>
      <c r="I39" s="21">
        <f t="shared" si="4"/>
        <v>-7.8947368421052628</v>
      </c>
      <c r="J39" s="20">
        <v>170</v>
      </c>
      <c r="K39" s="20">
        <v>240</v>
      </c>
      <c r="L39" s="22">
        <f t="shared" si="5"/>
        <v>-14.634146341463413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250</v>
      </c>
      <c r="K40" s="20">
        <v>330</v>
      </c>
      <c r="L40" s="22">
        <f t="shared" si="5"/>
        <v>27.586206896551722</v>
      </c>
    </row>
    <row r="41" spans="1:12" ht="21.75">
      <c r="A41" s="56" t="s">
        <v>46</v>
      </c>
      <c r="B41" s="6" t="s">
        <v>17</v>
      </c>
      <c r="C41" s="82">
        <v>440</v>
      </c>
      <c r="D41" s="82">
        <v>460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-4.2553191489361701</v>
      </c>
      <c r="J41" s="20">
        <v>280</v>
      </c>
      <c r="K41" s="20">
        <v>430</v>
      </c>
      <c r="L41" s="22">
        <f t="shared" si="5"/>
        <v>26.760563380281688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250</v>
      </c>
      <c r="K42" s="20">
        <v>400</v>
      </c>
      <c r="L42" s="22">
        <f t="shared" si="5"/>
        <v>0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140</v>
      </c>
      <c r="H44" s="20">
        <v>200</v>
      </c>
      <c r="I44" s="21">
        <f t="shared" si="4"/>
        <v>-11.76470588235294</v>
      </c>
      <c r="J44" s="20">
        <v>120</v>
      </c>
      <c r="K44" s="20">
        <v>250</v>
      </c>
      <c r="L44" s="22">
        <f t="shared" si="5"/>
        <v>-18.918918918918919</v>
      </c>
    </row>
    <row r="45" spans="1:12" ht="21.75">
      <c r="A45" s="56" t="s">
        <v>50</v>
      </c>
      <c r="B45" s="6" t="s">
        <v>17</v>
      </c>
      <c r="C45" s="20">
        <v>150</v>
      </c>
      <c r="D45" s="20">
        <v>200</v>
      </c>
      <c r="E45" s="20">
        <v>120</v>
      </c>
      <c r="F45" s="20">
        <v>200</v>
      </c>
      <c r="G45" s="20">
        <v>150</v>
      </c>
      <c r="H45" s="20">
        <v>210</v>
      </c>
      <c r="I45" s="21">
        <f t="shared" si="4"/>
        <v>-2.7777777777777777</v>
      </c>
      <c r="J45" s="20">
        <v>110</v>
      </c>
      <c r="K45" s="20">
        <v>220</v>
      </c>
      <c r="L45" s="22">
        <f t="shared" si="5"/>
        <v>6.0606060606060606</v>
      </c>
    </row>
    <row r="46" spans="1:12" ht="21.75">
      <c r="A46" s="56" t="s">
        <v>51</v>
      </c>
      <c r="B46" s="6" t="s">
        <v>17</v>
      </c>
      <c r="C46" s="82">
        <v>600</v>
      </c>
      <c r="D46" s="20">
        <v>700</v>
      </c>
      <c r="E46" s="20">
        <v>600</v>
      </c>
      <c r="F46" s="20">
        <v>700</v>
      </c>
      <c r="G46" s="20">
        <v>610</v>
      </c>
      <c r="H46" s="20">
        <v>700</v>
      </c>
      <c r="I46" s="21">
        <f t="shared" si="4"/>
        <v>-0.76335877862595414</v>
      </c>
      <c r="J46" s="20">
        <v>630</v>
      </c>
      <c r="K46" s="20">
        <v>750</v>
      </c>
      <c r="L46" s="22">
        <f t="shared" si="5"/>
        <v>-5.7971014492753623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470</v>
      </c>
      <c r="H47" s="20">
        <v>600</v>
      </c>
      <c r="I47" s="21">
        <f t="shared" si="4"/>
        <v>2.8037383177570092</v>
      </c>
      <c r="J47" s="20">
        <v>500</v>
      </c>
      <c r="K47" s="20">
        <v>600</v>
      </c>
      <c r="L47" s="22">
        <f t="shared" si="5"/>
        <v>0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1380</v>
      </c>
      <c r="H48" s="20">
        <v>1600</v>
      </c>
      <c r="I48" s="21">
        <f t="shared" si="4"/>
        <v>0.67114093959731547</v>
      </c>
      <c r="J48" s="20">
        <v>1360</v>
      </c>
      <c r="K48" s="20">
        <v>1600</v>
      </c>
      <c r="L48" s="22">
        <f t="shared" si="5"/>
        <v>1.3513513513513513</v>
      </c>
    </row>
    <row r="49" spans="1:12" ht="21.75">
      <c r="A49" s="56" t="s">
        <v>54</v>
      </c>
      <c r="B49" s="6" t="s">
        <v>17</v>
      </c>
      <c r="C49" s="82">
        <v>4600</v>
      </c>
      <c r="D49" s="20">
        <v>5500</v>
      </c>
      <c r="E49" s="20">
        <v>4600</v>
      </c>
      <c r="F49" s="20">
        <v>5500</v>
      </c>
      <c r="G49" s="20">
        <v>4350</v>
      </c>
      <c r="H49" s="20">
        <v>5500</v>
      </c>
      <c r="I49" s="21">
        <f t="shared" si="4"/>
        <v>2.5380710659898478</v>
      </c>
      <c r="J49" s="20">
        <v>4500</v>
      </c>
      <c r="K49" s="20">
        <v>5500</v>
      </c>
      <c r="L49" s="22">
        <f t="shared" si="5"/>
        <v>1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200</v>
      </c>
      <c r="K50" s="20">
        <v>280</v>
      </c>
      <c r="L50" s="22">
        <f t="shared" si="5"/>
        <v>0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110</v>
      </c>
      <c r="K51" s="20">
        <v>220</v>
      </c>
      <c r="L51" s="22">
        <f t="shared" si="5"/>
        <v>21.212121212121211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1800</v>
      </c>
      <c r="L54" s="22">
        <f t="shared" si="7"/>
        <v>1.9607843137254901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180</v>
      </c>
      <c r="H57" s="20">
        <v>200</v>
      </c>
      <c r="I57" s="21">
        <f t="shared" si="6"/>
        <v>0</v>
      </c>
      <c r="J57" s="20">
        <v>160</v>
      </c>
      <c r="K57" s="20">
        <v>200</v>
      </c>
      <c r="L57" s="22">
        <f t="shared" si="7"/>
        <v>5.5555555555555554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600</v>
      </c>
      <c r="F58" s="20">
        <v>750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840</v>
      </c>
      <c r="L62" s="22">
        <f>((C62+D62)/2-(J62+K62)/2)/((J62+K62)/2)*100</f>
        <v>6.5015479876160995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860</v>
      </c>
      <c r="L63" s="22">
        <f>((C63+D63)/2-(J63+K63)/2)/((J63+K63)/2)*100</f>
        <v>5.4878048780487809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46156</v>
      </c>
      <c r="D67" s="75"/>
      <c r="E67" s="74">
        <v>46149</v>
      </c>
      <c r="F67" s="75"/>
      <c r="G67" s="74">
        <v>46125</v>
      </c>
      <c r="H67" s="75"/>
      <c r="I67" s="18" t="s">
        <v>12</v>
      </c>
      <c r="J67" s="74">
        <v>45791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110</v>
      </c>
      <c r="I69" s="21">
        <f>((C69+D69)/2-(G69+H69)/2)/((G69+H69)/2)*100</f>
        <v>2.3809523809523809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100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109</v>
      </c>
      <c r="B72" s="48" t="s">
        <v>72</v>
      </c>
      <c r="C72" s="20">
        <v>15</v>
      </c>
      <c r="D72" s="20">
        <v>40</v>
      </c>
      <c r="E72" s="20">
        <v>15</v>
      </c>
      <c r="F72" s="20">
        <v>40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110</v>
      </c>
      <c r="B73" s="48" t="s">
        <v>17</v>
      </c>
      <c r="C73" s="20">
        <v>80</v>
      </c>
      <c r="D73" s="20">
        <v>120</v>
      </c>
      <c r="E73" s="20">
        <v>80</v>
      </c>
      <c r="F73" s="20">
        <v>160</v>
      </c>
      <c r="G73" s="20">
        <v>40</v>
      </c>
      <c r="H73" s="20">
        <v>160</v>
      </c>
      <c r="I73" s="21">
        <f t="shared" si="9"/>
        <v>0</v>
      </c>
      <c r="J73" s="20">
        <v>60</v>
      </c>
      <c r="K73" s="20">
        <v>120</v>
      </c>
      <c r="L73" s="22">
        <f t="shared" si="8"/>
        <v>11.111111111111111</v>
      </c>
    </row>
    <row r="74" spans="1:12" ht="21.75">
      <c r="A74" s="56" t="s">
        <v>111</v>
      </c>
      <c r="B74" s="48" t="s">
        <v>17</v>
      </c>
      <c r="C74" s="20">
        <v>80</v>
      </c>
      <c r="D74" s="20">
        <v>110</v>
      </c>
      <c r="E74" s="20">
        <v>80</v>
      </c>
      <c r="F74" s="20">
        <v>120</v>
      </c>
      <c r="G74" s="20">
        <v>80</v>
      </c>
      <c r="H74" s="20">
        <v>120</v>
      </c>
      <c r="I74" s="21">
        <f t="shared" si="9"/>
        <v>-5</v>
      </c>
      <c r="J74" s="20">
        <v>60</v>
      </c>
      <c r="K74" s="20">
        <v>100</v>
      </c>
      <c r="L74" s="22">
        <f t="shared" si="8"/>
        <v>18.75</v>
      </c>
    </row>
    <row r="75" spans="1:12" ht="21.75">
      <c r="A75" s="56" t="s">
        <v>112</v>
      </c>
      <c r="B75" s="48" t="s">
        <v>17</v>
      </c>
      <c r="C75" s="20">
        <v>50</v>
      </c>
      <c r="D75" s="20">
        <v>100</v>
      </c>
      <c r="E75" s="20">
        <v>50</v>
      </c>
      <c r="F75" s="20">
        <v>80</v>
      </c>
      <c r="G75" s="20">
        <v>40</v>
      </c>
      <c r="H75" s="20">
        <v>80</v>
      </c>
      <c r="I75" s="21">
        <f t="shared" si="9"/>
        <v>25</v>
      </c>
      <c r="J75" s="20">
        <v>50</v>
      </c>
      <c r="K75" s="20">
        <v>80</v>
      </c>
      <c r="L75" s="22">
        <f t="shared" si="8"/>
        <v>15.384615384615385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50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87000</v>
      </c>
      <c r="K78" s="20">
        <v>92200</v>
      </c>
      <c r="L78" s="22">
        <f t="shared" si="8"/>
        <v>-2.34375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72000</v>
      </c>
      <c r="K79" s="28">
        <v>73500</v>
      </c>
      <c r="L79" s="22">
        <f t="shared" si="8"/>
        <v>12.714776632302405</v>
      </c>
    </row>
    <row r="80" spans="1:12" ht="23.25" customHeight="1">
      <c r="A80" s="77" t="s">
        <v>116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101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132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137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104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97</v>
      </c>
      <c r="B87" s="6" t="s">
        <v>17</v>
      </c>
      <c r="C87" s="20">
        <v>52</v>
      </c>
      <c r="D87" s="20">
        <v>68</v>
      </c>
      <c r="E87" s="20">
        <v>60</v>
      </c>
      <c r="F87" s="20">
        <v>68</v>
      </c>
      <c r="G87" s="7">
        <f t="shared" ref="G87:G89" si="10">((C87+D87)/2-(E87+F87)/2)/((E87+F87)/2)*100</f>
        <v>-6.25</v>
      </c>
      <c r="H87" s="5" t="s">
        <v>131</v>
      </c>
      <c r="I87" s="6"/>
      <c r="J87" s="6"/>
      <c r="K87" s="43"/>
      <c r="L87" s="2"/>
    </row>
    <row r="88" spans="1:12" ht="21.75">
      <c r="A88" s="56" t="s">
        <v>18</v>
      </c>
      <c r="B88" s="6" t="s">
        <v>17</v>
      </c>
      <c r="C88" s="20">
        <v>48</v>
      </c>
      <c r="D88" s="20">
        <v>60</v>
      </c>
      <c r="E88" s="20">
        <v>55</v>
      </c>
      <c r="F88" s="20">
        <v>60</v>
      </c>
      <c r="G88" s="7">
        <f t="shared" si="10"/>
        <v>-6.0869565217391308</v>
      </c>
      <c r="H88" s="5" t="s">
        <v>131</v>
      </c>
      <c r="I88" s="6"/>
      <c r="J88" s="6"/>
      <c r="K88" s="43"/>
      <c r="L88" s="2"/>
    </row>
    <row r="89" spans="1:12" ht="21.75">
      <c r="A89" s="56" t="s">
        <v>24</v>
      </c>
      <c r="B89" s="6" t="s">
        <v>22</v>
      </c>
      <c r="C89" s="20">
        <v>60</v>
      </c>
      <c r="D89" s="20">
        <v>75</v>
      </c>
      <c r="E89" s="20">
        <v>60</v>
      </c>
      <c r="F89" s="20">
        <v>72</v>
      </c>
      <c r="G89" s="7">
        <f t="shared" si="10"/>
        <v>2.2727272727272729</v>
      </c>
      <c r="H89" s="5" t="s">
        <v>130</v>
      </c>
      <c r="I89" s="6"/>
      <c r="J89" s="6"/>
      <c r="K89" s="43"/>
      <c r="L89" s="2"/>
    </row>
    <row r="90" spans="1:12" ht="21.75">
      <c r="A90" s="56" t="s">
        <v>32</v>
      </c>
      <c r="B90" s="6" t="s">
        <v>27</v>
      </c>
      <c r="C90" s="20">
        <v>162</v>
      </c>
      <c r="D90" s="20">
        <v>170</v>
      </c>
      <c r="E90" s="20">
        <v>162</v>
      </c>
      <c r="F90" s="20">
        <v>168</v>
      </c>
      <c r="G90" s="7">
        <f t="shared" ref="G90:G95" si="11">((C90+D90)/2-(E90+F90)/2)/((E90+F90)/2)*100</f>
        <v>0.60606060606060608</v>
      </c>
      <c r="H90" s="5" t="s">
        <v>136</v>
      </c>
      <c r="I90" s="6"/>
      <c r="J90" s="6"/>
      <c r="K90" s="43"/>
      <c r="L90" s="2"/>
    </row>
    <row r="91" spans="1:12" ht="21.75">
      <c r="A91" s="56" t="s">
        <v>98</v>
      </c>
      <c r="B91" s="6" t="s">
        <v>27</v>
      </c>
      <c r="C91" s="20">
        <v>170</v>
      </c>
      <c r="D91" s="20">
        <v>175</v>
      </c>
      <c r="E91" s="20">
        <v>168</v>
      </c>
      <c r="F91" s="20">
        <v>172</v>
      </c>
      <c r="G91" s="7">
        <f t="shared" si="11"/>
        <v>1.4705882352941175</v>
      </c>
      <c r="H91" s="5" t="s">
        <v>130</v>
      </c>
      <c r="I91" s="6"/>
      <c r="J91" s="6"/>
      <c r="K91" s="43"/>
      <c r="L91" s="2"/>
    </row>
    <row r="92" spans="1:12" ht="21.75">
      <c r="A92" s="56" t="s">
        <v>37</v>
      </c>
      <c r="B92" s="6" t="s">
        <v>17</v>
      </c>
      <c r="C92" s="20">
        <v>150</v>
      </c>
      <c r="D92" s="20">
        <v>160</v>
      </c>
      <c r="E92" s="20">
        <v>140</v>
      </c>
      <c r="F92" s="20">
        <v>150</v>
      </c>
      <c r="G92" s="7">
        <f t="shared" si="11"/>
        <v>6.8965517241379306</v>
      </c>
      <c r="H92" s="5" t="s">
        <v>130</v>
      </c>
      <c r="I92" s="6"/>
      <c r="J92" s="6"/>
      <c r="K92" s="43"/>
      <c r="L92" s="2"/>
    </row>
    <row r="93" spans="1:12" ht="21.75">
      <c r="A93" s="56" t="s">
        <v>106</v>
      </c>
      <c r="B93" s="6" t="s">
        <v>17</v>
      </c>
      <c r="C93" s="82">
        <v>40</v>
      </c>
      <c r="D93" s="82">
        <v>50</v>
      </c>
      <c r="E93" s="20">
        <v>35</v>
      </c>
      <c r="F93" s="20">
        <v>40</v>
      </c>
      <c r="G93" s="7">
        <f t="shared" si="11"/>
        <v>20</v>
      </c>
      <c r="H93" s="5" t="s">
        <v>128</v>
      </c>
      <c r="I93" s="6"/>
      <c r="J93" s="6"/>
      <c r="K93" s="43"/>
      <c r="L93" s="2"/>
    </row>
    <row r="94" spans="1:12" ht="21.75">
      <c r="A94" s="56" t="s">
        <v>44</v>
      </c>
      <c r="B94" s="6" t="s">
        <v>17</v>
      </c>
      <c r="C94" s="82">
        <v>130</v>
      </c>
      <c r="D94" s="20">
        <v>220</v>
      </c>
      <c r="E94" s="20">
        <v>140</v>
      </c>
      <c r="F94" s="20">
        <v>220</v>
      </c>
      <c r="G94" s="7">
        <f t="shared" si="11"/>
        <v>-2.7777777777777777</v>
      </c>
      <c r="H94" s="5" t="s">
        <v>129</v>
      </c>
      <c r="I94" s="6"/>
      <c r="J94" s="6"/>
      <c r="K94" s="43"/>
      <c r="L94" s="2"/>
    </row>
    <row r="95" spans="1:12" ht="21.75">
      <c r="A95" s="56" t="s">
        <v>50</v>
      </c>
      <c r="B95" s="6" t="s">
        <v>17</v>
      </c>
      <c r="C95" s="20">
        <v>150</v>
      </c>
      <c r="D95" s="20">
        <v>200</v>
      </c>
      <c r="E95" s="20">
        <v>120</v>
      </c>
      <c r="F95" s="20">
        <v>200</v>
      </c>
      <c r="G95" s="7">
        <f t="shared" si="11"/>
        <v>9.375</v>
      </c>
      <c r="H95" s="5" t="s">
        <v>128</v>
      </c>
      <c r="I95" s="6"/>
      <c r="J95" s="6"/>
      <c r="K95" s="43"/>
      <c r="L95" s="2"/>
    </row>
    <row r="96" spans="1:12" ht="21.75">
      <c r="A96" s="56" t="s">
        <v>111</v>
      </c>
      <c r="B96" s="48" t="s">
        <v>17</v>
      </c>
      <c r="C96" s="20">
        <v>80</v>
      </c>
      <c r="D96" s="20">
        <v>110</v>
      </c>
      <c r="E96" s="20">
        <v>80</v>
      </c>
      <c r="F96" s="20">
        <v>120</v>
      </c>
      <c r="G96" s="7">
        <f t="shared" ref="G96:G97" si="12">((C96+D96)/2-(E96+F96)/2)/((E96+F96)/2)*100</f>
        <v>-5</v>
      </c>
      <c r="H96" s="5" t="s">
        <v>127</v>
      </c>
      <c r="I96" s="6"/>
      <c r="J96" s="6"/>
      <c r="K96" s="43"/>
      <c r="L96" s="2"/>
    </row>
    <row r="97" spans="1:12" ht="21.75">
      <c r="A97" s="56" t="s">
        <v>112</v>
      </c>
      <c r="B97" s="48" t="s">
        <v>17</v>
      </c>
      <c r="C97" s="20">
        <v>50</v>
      </c>
      <c r="D97" s="20">
        <v>100</v>
      </c>
      <c r="E97" s="20">
        <v>50</v>
      </c>
      <c r="F97" s="20">
        <v>80</v>
      </c>
      <c r="G97" s="7">
        <f t="shared" si="12"/>
        <v>15.384615384615385</v>
      </c>
      <c r="H97" s="5" t="s">
        <v>126</v>
      </c>
      <c r="I97" s="6"/>
      <c r="J97" s="6"/>
      <c r="K97" s="43"/>
      <c r="L97" s="2"/>
    </row>
    <row r="98" spans="1:12" ht="21.75">
      <c r="A98" s="60"/>
      <c r="B98" s="3"/>
      <c r="C98" s="71"/>
      <c r="D98" s="71"/>
      <c r="E98" s="71"/>
      <c r="F98" s="71"/>
      <c r="G98" s="9"/>
      <c r="H98" s="1"/>
      <c r="I98" s="3"/>
      <c r="J98" s="3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19.5">
      <c r="A100" s="1"/>
      <c r="B100" s="49"/>
      <c r="C100" s="37"/>
      <c r="D100" s="37"/>
      <c r="E100" s="37"/>
      <c r="F100" s="37"/>
      <c r="G100" s="9"/>
      <c r="H100" s="1"/>
      <c r="I100" s="3"/>
      <c r="J100" s="3"/>
      <c r="K100" s="44"/>
      <c r="L100" s="44"/>
    </row>
    <row r="101" spans="1:12" ht="24.75">
      <c r="A101" s="64"/>
      <c r="B101" s="65" t="s">
        <v>119</v>
      </c>
      <c r="C101" s="66"/>
      <c r="E101" s="64"/>
      <c r="F101" s="65" t="s">
        <v>107</v>
      </c>
      <c r="G101" s="66"/>
      <c r="I101" s="67"/>
      <c r="J101" s="68" t="s">
        <v>120</v>
      </c>
      <c r="K101" s="66"/>
      <c r="L101" s="44"/>
    </row>
    <row r="102" spans="1:12" ht="24.75">
      <c r="A102" s="69"/>
      <c r="B102" s="65" t="s">
        <v>118</v>
      </c>
      <c r="C102" s="68"/>
      <c r="E102" s="69"/>
      <c r="F102" s="65" t="s">
        <v>108</v>
      </c>
      <c r="G102" s="68"/>
      <c r="I102" s="70"/>
      <c r="J102" s="68" t="s">
        <v>121</v>
      </c>
      <c r="L102" s="44"/>
    </row>
    <row r="103" spans="1:12" ht="19.5">
      <c r="A103" s="1"/>
      <c r="B103" s="49"/>
      <c r="C103" s="37"/>
      <c r="D103" s="37"/>
      <c r="E103" s="37"/>
      <c r="F103" s="37"/>
      <c r="G103" s="9"/>
      <c r="H103" s="1"/>
      <c r="I103" s="3"/>
      <c r="J103" s="3"/>
      <c r="K103" s="44"/>
      <c r="L103" s="44"/>
    </row>
    <row r="104" spans="1:12" ht="19.5">
      <c r="A104" s="1"/>
      <c r="B104" s="3"/>
      <c r="C104" s="37"/>
      <c r="D104" s="37"/>
      <c r="E104" s="37"/>
      <c r="F104" s="37"/>
      <c r="G104" s="9"/>
      <c r="H104" s="45"/>
      <c r="I104" s="44"/>
      <c r="J104" s="44"/>
      <c r="K104" s="44"/>
      <c r="L104" s="44"/>
    </row>
    <row r="105" spans="1:12" ht="19.5">
      <c r="A105" s="1"/>
      <c r="B105" s="46"/>
      <c r="C105" s="47"/>
      <c r="D105" s="47"/>
      <c r="E105" s="3"/>
      <c r="F105" s="47"/>
      <c r="G105" s="9"/>
      <c r="H105" s="45"/>
      <c r="I105" s="44"/>
      <c r="J105" s="44"/>
      <c r="K105" s="44"/>
      <c r="L105" s="44"/>
    </row>
    <row r="106" spans="1:12" ht="19.5">
      <c r="A106" s="35" t="s">
        <v>89</v>
      </c>
      <c r="B106" s="33"/>
      <c r="C106" s="31"/>
      <c r="D106" s="33"/>
      <c r="E106" s="31"/>
      <c r="F106" s="31"/>
      <c r="G106" s="31"/>
      <c r="H106" s="32"/>
      <c r="I106" s="2"/>
      <c r="J106" s="2"/>
      <c r="K106" s="2"/>
      <c r="L106" s="2"/>
    </row>
    <row r="107" spans="1:12" ht="19.5">
      <c r="A107" s="34" t="s">
        <v>122</v>
      </c>
      <c r="B107" s="33"/>
      <c r="C107" s="31"/>
      <c r="D107" s="33"/>
      <c r="E107" s="31"/>
      <c r="F107" s="31"/>
      <c r="G107" s="33"/>
      <c r="H107" s="32"/>
      <c r="I107" s="2"/>
      <c r="J107" s="2"/>
      <c r="K107" s="2"/>
      <c r="L107" s="2"/>
    </row>
    <row r="108" spans="1:12" ht="19.5">
      <c r="A108" s="34" t="s">
        <v>113</v>
      </c>
      <c r="B108" s="33"/>
      <c r="C108" s="33"/>
      <c r="D108" s="33"/>
      <c r="E108" s="33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83</v>
      </c>
      <c r="B109" s="33"/>
      <c r="C109" s="33"/>
      <c r="D109" s="33"/>
      <c r="E109" s="33"/>
      <c r="F109" s="32"/>
      <c r="G109" s="32"/>
      <c r="H109" s="32"/>
      <c r="I109" s="2"/>
      <c r="J109" s="2"/>
      <c r="K109" s="2"/>
      <c r="L109" s="2"/>
    </row>
    <row r="110" spans="1:12" ht="19.5">
      <c r="A110" s="34" t="s">
        <v>114</v>
      </c>
      <c r="B110" s="33"/>
      <c r="C110" s="33"/>
      <c r="D110" s="33"/>
      <c r="E110" s="33"/>
      <c r="F110" s="33"/>
      <c r="G110" s="32"/>
      <c r="H110" s="32"/>
      <c r="I110" s="2"/>
      <c r="J110" s="2"/>
      <c r="K110" s="2"/>
      <c r="L110" s="2"/>
    </row>
    <row r="111" spans="1:12" ht="19.5">
      <c r="A111" s="34" t="s">
        <v>92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99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91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84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93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123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95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115</v>
      </c>
      <c r="B120" s="33"/>
      <c r="C120" s="33"/>
      <c r="D120" s="33"/>
      <c r="E120" s="33"/>
      <c r="F120" s="33"/>
      <c r="G120" s="33"/>
      <c r="H120" s="36"/>
      <c r="I120" s="44"/>
      <c r="J120" s="44"/>
      <c r="K120" s="44"/>
      <c r="L120" s="44"/>
    </row>
    <row r="121" spans="1:12" ht="19.5">
      <c r="A121" s="34"/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5" t="s">
        <v>85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 t="s">
        <v>86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124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125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103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442" spans="2:2">
      <c r="B442" t="s">
        <v>117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2026-05-14T08:28:50Z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