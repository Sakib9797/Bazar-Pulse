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EC8CE5E3-F6B7-084D-A410-5CB52D7924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4" l="1"/>
  <c r="G84" i="4"/>
  <c r="G86" i="4"/>
  <c r="G83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<sst xmlns="http://schemas.openxmlformats.org/spreadsheetml/2006/main" count="226" uniqueCount="131">
  <si>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</si>
  <si>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</si>
  <si>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</si>
  <si>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</si>
  <si>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</si>
  <si>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</si>
  <si>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</si>
  <si>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</si>
  <si>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</si>
  <si>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</si>
  <si>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</si>
  <si>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</si>
  <si>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</si>
  <si>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</si>
  <si>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</si>
  <si>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</si>
  <si>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</si>
  <si>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</si>
  <si>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</si>
  <si>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</si>
  <si>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</si>
  <si>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</si>
  <si>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</si>
  <si>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</si>
  <si>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</si>
  <si>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</si>
  <si>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</si>
  <si>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</si>
  <si>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</si>
  <si>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</si>
  <si>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</si>
  <si>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</si>
  <si>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</si>
  <si>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</si>
  <si>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</si>
  <si>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</si>
  <si>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</si>
  <si>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</si>
  <si>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</si>
  <si>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</si>
  <si>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</si>
  <si>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</si>
  <si>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</si>
  <si>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</si>
  <si>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</si>
  <si>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</si>
  <si>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</si>
  <si>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</si>
  <si>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</si>
  <si>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</si>
  <si>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</si>
  <si>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</si>
  <si>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</si>
  <si>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</si>
  <si>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</si>
  <si>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</si>
  <si>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</si>
  <si>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</si>
  <si>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</si>
  <si>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</si>
  <si>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</si>
  <si>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</si>
  <si>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</si>
  <si>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</si>
  <si>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</si>
  <si>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</si>
  <si>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</si>
  <si>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</si>
  <si>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</si>
  <si>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</si>
  <si>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</si>
  <si>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</si>
  <si>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</si>
  <si>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</si>
  <si>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</si>
  <si>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</si>
  <si>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</si>
  <si>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</si>
  <si>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</si>
  <si>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</si>
  <si>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</si>
  <si>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</si>
  <si>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</si>
  <si>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</si>
  <si>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</si>
  <si>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</si>
  <si>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</si>
  <si>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</si>
  <si>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</si>
  <si>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</si>
  <si>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</si>
  <si>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</si>
  <si>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</si>
  <si>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</si>
  <si>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</si>
  <si>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</si>
  <si>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</si>
  <si>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</si>
  <si>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</si>
  <si>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</si>
  <si>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</si>
  <si>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</si>
  <si>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</si>
  <si>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</si>
  <si>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</si>
  <si>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</si>
  <si>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</si>
  <si>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</si>
  <si>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</si>
  <si>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</si>
  <si>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</si>
  <si>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</si>
  <si>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</si>
  <si>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</si>
  <si>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</si>
  <si>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</si>
  <si>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</si>
  <si>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</si>
  <si>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</si>
  <si>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</si>
  <si>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২৯-১২-২০২৫ তারিখে মূল্য বৃদ্ধি পেয়েছে।</t>
  </si>
  <si>
    <t>৩০-১২-২০২৫ তারিখে মূল্য হ্রাস পেয়েছে।</t>
  </si>
  <si>
    <t>৩০-১২-২০২৫ তারিখে মূল্য বৃদ্ধি পেয়েছে।</t>
  </si>
  <si>
    <t>(১)     পেঁয়াজ (দেশী, আম), আদা (দেশী)    এর মূল্য হ্রাস পেয়েছে।</t>
  </si>
  <si>
    <t>(২)      মসুর ডাল (ছোট), চিনি  এর মূল্য বৃদ্ধি পেয়েছে।</t>
  </si>
  <si>
    <t>০১-০১-২০২৬ তারিখে মূল্য হ্রাস পেয়েছে।</t>
  </si>
  <si>
    <t xml:space="preserve">শুক্রবার ০২ জানুয়ারী ২০২৬ খ্রিঃ, ১৮ পৌষ ১৪৩২ বাংলা, ১২ রজব ১৪৪৭ হিজরি </t>
  </si>
  <si>
    <t xml:space="preserve">   সিরিয়াল নংঃ     ০০২</t>
  </si>
  <si>
    <t>স্মারক নং-২৬.০৫.০০০০.০১৭.৩১.০১.২৬-০০৪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</si>
</sst>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4"/>
  <sheetViews>
    <sheetView tabSelected="1" topLeftCell="I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127</v>
      </c>
      <c r="L4" s="88"/>
    </row>
    <row r="5" spans="1:12" ht="19.5" customHeight="1" x14ac:dyDescent="0.25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" x14ac:dyDescent="0.25">
      <c r="A6" s="20" t="s">
        <v>128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46024</v>
      </c>
    </row>
    <row r="7" spans="1:12" ht="21" x14ac:dyDescent="0.2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" x14ac:dyDescent="0.25">
      <c r="A8" s="25"/>
      <c r="B8" s="26"/>
      <c r="C8" s="89">
        <v>46024</v>
      </c>
      <c r="D8" s="88"/>
      <c r="E8" s="89">
        <v>46017</v>
      </c>
      <c r="F8" s="88"/>
      <c r="G8" s="89">
        <v>45993</v>
      </c>
      <c r="H8" s="88"/>
      <c r="I8" s="26" t="s">
        <v>12</v>
      </c>
      <c r="J8" s="89">
        <v>45659</v>
      </c>
      <c r="K8" s="88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58</v>
      </c>
      <c r="K11" s="29">
        <v>65</v>
      </c>
      <c r="L11" s="31">
        <f>((C11+D11)/2-(J11+K11)/2)/((J11+K11)/2)*100</f>
        <v>2.4390243902439024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166</v>
      </c>
      <c r="L19" s="31">
        <f t="shared" ref="L19:L25" si="1">((C19+D19)/2-(J19+K19)/2)/((J19+K19)/2)*100</f>
        <v>8.5106382978723403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" x14ac:dyDescent="0.3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370</v>
      </c>
      <c r="H21" s="29">
        <v>385</v>
      </c>
      <c r="I21" s="30">
        <f t="shared" si="0"/>
        <v>2.3841059602649008</v>
      </c>
      <c r="J21" s="29">
        <v>335</v>
      </c>
      <c r="K21" s="29">
        <v>350</v>
      </c>
      <c r="L21" s="31">
        <f t="shared" si="1"/>
        <v>12.846715328467154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157</v>
      </c>
      <c r="L23" s="31">
        <f t="shared" si="1"/>
        <v>0.64102564102564097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85</v>
      </c>
      <c r="H27" s="29">
        <v>110</v>
      </c>
      <c r="I27" s="30">
        <f t="shared" ref="I27:I33" si="2">((C27+D27)/2-(G27+H27)/2)/((G27+H27)/2)*100</f>
        <v>-2.5641025641025639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" x14ac:dyDescent="0.3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160</v>
      </c>
      <c r="D29" s="29">
        <v>170</v>
      </c>
      <c r="E29" s="29">
        <v>150</v>
      </c>
      <c r="F29" s="29">
        <v>165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140</v>
      </c>
      <c r="L29" s="31">
        <f t="shared" si="3"/>
        <v>22.222222222222221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-14.814814814814813</v>
      </c>
      <c r="J31" s="29">
        <v>70</v>
      </c>
      <c r="K31" s="29">
        <v>80</v>
      </c>
      <c r="L31" s="31">
        <f t="shared" si="3"/>
        <v>-23.333333333333332</v>
      </c>
    </row>
    <row r="32" spans="1:12" ht="21" x14ac:dyDescent="0.3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-7.3170731707317067</v>
      </c>
      <c r="J32" s="29">
        <v>120</v>
      </c>
      <c r="K32" s="29">
        <v>135</v>
      </c>
      <c r="L32" s="31">
        <f t="shared" si="3"/>
        <v>-25.490196078431371</v>
      </c>
    </row>
    <row r="33" spans="1:12" ht="21" x14ac:dyDescent="0.3">
      <c r="A33" s="69" t="s">
        <v>115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22</v>
      </c>
      <c r="H33" s="29">
        <v>30</v>
      </c>
      <c r="I33" s="30">
        <f t="shared" si="2"/>
        <v>-3.8461538461538463</v>
      </c>
      <c r="J33" s="29">
        <v>45</v>
      </c>
      <c r="K33" s="29">
        <v>60</v>
      </c>
      <c r="L33" s="31">
        <f t="shared" si="3"/>
        <v>-52.380952380952387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3" t="s">
        <v>116</v>
      </c>
      <c r="B35" s="6" t="s">
        <v>18</v>
      </c>
      <c r="C35" s="29">
        <v>60</v>
      </c>
      <c r="D35" s="29">
        <v>75</v>
      </c>
      <c r="E35" s="29">
        <v>60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-38.636363636363633</v>
      </c>
      <c r="J35" s="29">
        <v>60</v>
      </c>
      <c r="K35" s="29">
        <v>85</v>
      </c>
      <c r="L35" s="31">
        <f t="shared" ref="L35:L50" si="5">((C35+D35)/2-(J35+K35)/2)/((J35+K35)/2)*100</f>
        <v>-6.8965517241379306</v>
      </c>
    </row>
    <row r="36" spans="1:12" ht="21" x14ac:dyDescent="0.3">
      <c r="A36" s="69" t="s">
        <v>43</v>
      </c>
      <c r="B36" s="6" t="s">
        <v>18</v>
      </c>
      <c r="C36" s="29">
        <v>70</v>
      </c>
      <c r="D36" s="29">
        <v>80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7.1428571428571423</v>
      </c>
    </row>
    <row r="37" spans="1:12" ht="21" x14ac:dyDescent="0.3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240</v>
      </c>
      <c r="K37" s="29">
        <v>300</v>
      </c>
      <c r="L37" s="31">
        <f t="shared" si="5"/>
        <v>-59.259259259259252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215</v>
      </c>
      <c r="K38" s="29">
        <v>230</v>
      </c>
      <c r="L38" s="31">
        <f t="shared" si="5"/>
        <v>-19.101123595505616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" x14ac:dyDescent="0.3">
      <c r="A43" s="69" t="s">
        <v>50</v>
      </c>
      <c r="B43" s="6" t="s">
        <v>18</v>
      </c>
      <c r="C43" s="29">
        <v>100</v>
      </c>
      <c r="D43" s="29">
        <v>150</v>
      </c>
      <c r="E43" s="29">
        <v>150</v>
      </c>
      <c r="F43" s="29">
        <v>200</v>
      </c>
      <c r="G43" s="29">
        <v>120</v>
      </c>
      <c r="H43" s="29">
        <v>170</v>
      </c>
      <c r="I43" s="30">
        <f t="shared" si="4"/>
        <v>-13.793103448275861</v>
      </c>
      <c r="J43" s="29">
        <v>450</v>
      </c>
      <c r="K43" s="29">
        <v>500</v>
      </c>
      <c r="L43" s="31">
        <f t="shared" si="5"/>
        <v>-73.68421052631578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250</v>
      </c>
      <c r="L44" s="31">
        <f t="shared" si="5"/>
        <v>5.7142857142857144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0</v>
      </c>
      <c r="J45" s="29">
        <v>650</v>
      </c>
      <c r="K45" s="29">
        <v>750</v>
      </c>
      <c r="L45" s="31">
        <f t="shared" si="5"/>
        <v>-5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3400</v>
      </c>
      <c r="K48" s="29">
        <v>4500</v>
      </c>
      <c r="L48" s="31">
        <f t="shared" si="5"/>
        <v>26.582278481012654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1200</v>
      </c>
      <c r="D53" s="29">
        <v>2500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190</v>
      </c>
      <c r="K56" s="29">
        <v>220</v>
      </c>
      <c r="L56" s="31">
        <f t="shared" si="7"/>
        <v>-21.951219512195124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 x14ac:dyDescent="0.25">
      <c r="A67" s="73"/>
      <c r="B67" s="64"/>
      <c r="C67" s="89">
        <v>46024</v>
      </c>
      <c r="D67" s="88"/>
      <c r="E67" s="89">
        <v>46017</v>
      </c>
      <c r="F67" s="88"/>
      <c r="G67" s="89">
        <v>45993</v>
      </c>
      <c r="H67" s="88"/>
      <c r="I67" s="26" t="s">
        <v>12</v>
      </c>
      <c r="J67" s="89">
        <v>45659</v>
      </c>
      <c r="K67" s="88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100</v>
      </c>
      <c r="D69" s="29">
        <v>110</v>
      </c>
      <c r="E69" s="29">
        <v>95</v>
      </c>
      <c r="F69" s="29">
        <v>100</v>
      </c>
      <c r="G69" s="29">
        <v>90</v>
      </c>
      <c r="H69" s="29">
        <v>110</v>
      </c>
      <c r="I69" s="30">
        <f>((C69+D69)/2-(G69+H69)/2)/((G69+H69)/2)*100</f>
        <v>5</v>
      </c>
      <c r="J69" s="29">
        <v>120</v>
      </c>
      <c r="K69" s="29">
        <v>125</v>
      </c>
      <c r="L69" s="31">
        <f t="shared" ref="L69:L75" si="8">((C69+D69)/2-(J69+K69)/2)/((J69+K69)/2)*100</f>
        <v>-14.285714285714285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" x14ac:dyDescent="0.3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90" t="s">
        <v>117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" x14ac:dyDescent="0.3">
      <c r="A83" s="69" t="s">
        <v>38</v>
      </c>
      <c r="B83" s="6" t="s">
        <v>18</v>
      </c>
      <c r="C83" s="29">
        <v>160</v>
      </c>
      <c r="D83" s="29">
        <v>170</v>
      </c>
      <c r="E83" s="29">
        <v>150</v>
      </c>
      <c r="F83" s="29">
        <v>165</v>
      </c>
      <c r="G83" s="7">
        <f>((C83+D83)/2-(E83+F83)/2)/((E83+F83)/2)*100</f>
        <v>4.7619047619047619</v>
      </c>
      <c r="H83" s="5" t="s">
        <v>120</v>
      </c>
      <c r="I83" s="6"/>
      <c r="J83" s="6"/>
      <c r="K83" s="50"/>
      <c r="L83" s="17"/>
    </row>
    <row r="84" spans="1:12" ht="21" x14ac:dyDescent="0.3">
      <c r="A84" s="83" t="s">
        <v>116</v>
      </c>
      <c r="B84" s="6" t="s">
        <v>18</v>
      </c>
      <c r="C84" s="29">
        <v>60</v>
      </c>
      <c r="D84" s="29">
        <v>75</v>
      </c>
      <c r="E84" s="29">
        <v>60</v>
      </c>
      <c r="F84" s="29">
        <v>140</v>
      </c>
      <c r="G84" s="7">
        <f t="shared" ref="G84:G87" si="10">((C84+D84)/2-(E84+F84)/2)/((E84+F84)/2)*100</f>
        <v>-32.5</v>
      </c>
      <c r="H84" s="5" t="s">
        <v>125</v>
      </c>
      <c r="I84" s="6"/>
      <c r="J84" s="6"/>
      <c r="K84" s="50"/>
      <c r="L84" s="17"/>
    </row>
    <row r="85" spans="1:12" ht="21" x14ac:dyDescent="0.3">
      <c r="A85" s="69" t="s">
        <v>43</v>
      </c>
      <c r="B85" s="6" t="s">
        <v>18</v>
      </c>
      <c r="C85" s="29">
        <v>70</v>
      </c>
      <c r="D85" s="29">
        <v>80</v>
      </c>
      <c r="E85" s="29">
        <v>100</v>
      </c>
      <c r="F85" s="29">
        <v>110</v>
      </c>
      <c r="G85" s="7">
        <f t="shared" si="10"/>
        <v>-28.571428571428569</v>
      </c>
      <c r="H85" s="5" t="s">
        <v>121</v>
      </c>
      <c r="I85" s="6"/>
      <c r="J85" s="6"/>
      <c r="K85" s="50"/>
      <c r="L85" s="17"/>
    </row>
    <row r="86" spans="1:12" ht="21" x14ac:dyDescent="0.3">
      <c r="A86" s="69" t="s">
        <v>50</v>
      </c>
      <c r="B86" s="6" t="s">
        <v>18</v>
      </c>
      <c r="C86" s="29">
        <v>100</v>
      </c>
      <c r="D86" s="29">
        <v>150</v>
      </c>
      <c r="E86" s="29">
        <v>150</v>
      </c>
      <c r="F86" s="29">
        <v>200</v>
      </c>
      <c r="G86" s="7">
        <f>((C86+D86)/2-(E86+F86)/2)/((E86+F86)/2)*100</f>
        <v>-28.571428571428569</v>
      </c>
      <c r="H86" s="5" t="s">
        <v>121</v>
      </c>
      <c r="I86" s="6"/>
      <c r="J86" s="6"/>
      <c r="K86" s="50"/>
      <c r="L86" s="17"/>
    </row>
    <row r="87" spans="1:12" ht="21" x14ac:dyDescent="0.3">
      <c r="A87" s="69" t="s">
        <v>70</v>
      </c>
      <c r="B87" s="6" t="s">
        <v>18</v>
      </c>
      <c r="C87" s="29">
        <v>100</v>
      </c>
      <c r="D87" s="29">
        <v>110</v>
      </c>
      <c r="E87" s="29">
        <v>95</v>
      </c>
      <c r="F87" s="29">
        <v>100</v>
      </c>
      <c r="G87" s="7">
        <f t="shared" si="10"/>
        <v>7.6923076923076925</v>
      </c>
      <c r="H87" s="5" t="s">
        <v>122</v>
      </c>
      <c r="I87" s="6"/>
      <c r="J87" s="6"/>
      <c r="K87" s="50"/>
      <c r="L87" s="17"/>
    </row>
    <row r="88" spans="1:12" ht="23.25" x14ac:dyDescent="0.3">
      <c r="A88" s="72"/>
      <c r="B88" s="3"/>
      <c r="C88" s="78"/>
      <c r="D88" s="78"/>
      <c r="E88" s="78"/>
      <c r="F88" s="78"/>
      <c r="G88" s="9"/>
      <c r="H88" s="39"/>
      <c r="I88" s="40"/>
      <c r="J88" s="40"/>
      <c r="K88" s="40"/>
      <c r="L88" s="11"/>
    </row>
    <row r="89" spans="1:12" ht="23.25" x14ac:dyDescent="0.3">
      <c r="A89" s="1"/>
      <c r="B89" s="3"/>
      <c r="C89" s="82"/>
      <c r="D89" s="82"/>
      <c r="E89" s="8"/>
      <c r="F89" s="82"/>
      <c r="G89" s="38"/>
      <c r="H89" s="39"/>
      <c r="I89" s="40"/>
      <c r="J89" s="40"/>
      <c r="K89" s="40"/>
      <c r="L89" s="11"/>
    </row>
    <row r="90" spans="1:12" ht="23.25" x14ac:dyDescent="0.3">
      <c r="A90" s="1"/>
      <c r="B90" s="13"/>
      <c r="C90" s="14"/>
      <c r="D90" s="14"/>
      <c r="E90" s="13"/>
      <c r="F90" s="14"/>
      <c r="G90" s="38"/>
      <c r="H90" s="39"/>
      <c r="I90" s="40"/>
      <c r="J90" s="40"/>
      <c r="K90" s="40"/>
      <c r="L90" s="11"/>
    </row>
    <row r="91" spans="1:12" ht="23.25" x14ac:dyDescent="0.3">
      <c r="A91" s="41"/>
      <c r="B91" s="42" t="s">
        <v>112</v>
      </c>
      <c r="C91" s="10"/>
      <c r="E91" s="84"/>
      <c r="F91" s="85"/>
      <c r="G91" s="86"/>
      <c r="I91" s="12"/>
      <c r="J91" s="13" t="s">
        <v>118</v>
      </c>
      <c r="K91" s="10"/>
    </row>
    <row r="92" spans="1:12" ht="23.25" x14ac:dyDescent="0.3">
      <c r="A92" s="43"/>
      <c r="B92" s="42" t="s">
        <v>113</v>
      </c>
      <c r="C92" s="13"/>
      <c r="E92" s="43"/>
      <c r="F92" s="85"/>
      <c r="G92" s="86"/>
      <c r="I92" s="76"/>
      <c r="J92" s="13" t="s">
        <v>119</v>
      </c>
    </row>
    <row r="93" spans="1:12" ht="23.25" x14ac:dyDescent="0.3">
      <c r="A93" s="1"/>
      <c r="B93" s="13"/>
      <c r="C93" s="14"/>
      <c r="D93" s="13"/>
      <c r="E93" s="14"/>
      <c r="F93" s="44"/>
      <c r="G93" s="46"/>
      <c r="H93" s="46"/>
      <c r="I93" s="45"/>
      <c r="J93" s="10"/>
      <c r="K93" s="10"/>
      <c r="L93" s="2"/>
    </row>
    <row r="94" spans="1:12" ht="18.75" x14ac:dyDescent="0.25">
      <c r="A94" s="55" t="s">
        <v>91</v>
      </c>
      <c r="B94" s="53"/>
      <c r="C94" s="51"/>
      <c r="D94" s="53"/>
      <c r="E94" s="51"/>
      <c r="F94" s="51"/>
      <c r="G94" s="51"/>
      <c r="H94" s="52"/>
      <c r="I94" s="57"/>
      <c r="J94" s="2"/>
      <c r="K94" s="2"/>
      <c r="L94" s="2"/>
    </row>
    <row r="95" spans="1:12" ht="18.75" x14ac:dyDescent="0.25">
      <c r="A95" s="54" t="s">
        <v>97</v>
      </c>
      <c r="B95" s="53"/>
      <c r="C95" s="51"/>
      <c r="D95" s="53"/>
      <c r="E95" s="51"/>
      <c r="F95" s="51"/>
      <c r="G95" s="53"/>
      <c r="H95" s="52"/>
      <c r="I95" s="57"/>
      <c r="J95" s="2"/>
      <c r="K95" s="2"/>
      <c r="L95" s="2"/>
    </row>
    <row r="96" spans="1:12" ht="18.75" x14ac:dyDescent="0.25">
      <c r="A96" s="54" t="s">
        <v>96</v>
      </c>
      <c r="B96" s="53"/>
      <c r="C96" s="53"/>
      <c r="D96" s="53"/>
      <c r="E96" s="53"/>
      <c r="F96" s="51"/>
      <c r="G96" s="53"/>
      <c r="H96" s="52"/>
      <c r="I96" s="57"/>
      <c r="J96" s="2"/>
      <c r="K96" s="2"/>
      <c r="L96" s="2"/>
    </row>
    <row r="97" spans="1:12" ht="18.75" x14ac:dyDescent="0.25">
      <c r="A97" s="54" t="s">
        <v>84</v>
      </c>
      <c r="B97" s="53"/>
      <c r="C97" s="53"/>
      <c r="D97" s="53"/>
      <c r="E97" s="53"/>
      <c r="F97" s="52"/>
      <c r="G97" s="52"/>
      <c r="H97" s="52"/>
      <c r="I97" s="57"/>
      <c r="J97" s="2"/>
      <c r="K97" s="2"/>
      <c r="L97" s="2"/>
    </row>
    <row r="98" spans="1:12" ht="18.75" x14ac:dyDescent="0.25">
      <c r="A98" s="54" t="s">
        <v>95</v>
      </c>
      <c r="B98" s="53"/>
      <c r="C98" s="53"/>
      <c r="D98" s="53"/>
      <c r="E98" s="53"/>
      <c r="F98" s="53"/>
      <c r="G98" s="52"/>
      <c r="H98" s="52"/>
      <c r="I98" s="57"/>
      <c r="J98" s="2"/>
      <c r="K98" s="2"/>
      <c r="L98" s="2"/>
    </row>
    <row r="99" spans="1:12" ht="18.75" x14ac:dyDescent="0.25">
      <c r="A99" s="54" t="s">
        <v>94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8.75" x14ac:dyDescent="0.25">
      <c r="A100" s="54" t="s">
        <v>105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93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92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85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99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98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86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8.75" x14ac:dyDescent="0.25">
      <c r="A109" s="54"/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5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110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109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2026-01-01T09:57:22Z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