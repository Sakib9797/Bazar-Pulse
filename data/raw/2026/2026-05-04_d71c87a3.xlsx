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8_{AD110FB1-52AA-6B44-AFF1-BF9CEE6F212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91" i="4"/>
  <c r="G90" i="4"/>
  <c r="G89" i="4"/>
  <c r="G94" i="4"/>
  <c r="G96" i="4"/>
  <c r="G95" i="4"/>
  <c r="G98" i="4"/>
  <c r="G93" i="4"/>
  <c r="G88" i="4"/>
  <c r="G97" i="4"/>
  <c r="G99" i="4"/>
  <c r="G87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<sst xmlns="http://schemas.openxmlformats.org/spreadsheetml/2006/main" count="260" uniqueCount="136">
  <si>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</si>
  <si>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</si>
  <si>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</si>
  <si>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</si>
  <si>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</si>
  <si>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</si>
  <si>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</si>
  <si>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</si>
  <si>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</si>
  <si>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</si>
  <si>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</si>
  <si>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</si>
  <si>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</si>
  <si>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</si>
  <si>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</si>
  <si>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</si>
  <si>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</si>
  <si>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</si>
  <si>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</si>
  <si>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</si>
  <si>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</si>
  <si>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</si>
  <si>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</si>
  <si>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</si>
  <si>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</si>
  <si>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</si>
  <si>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</si>
  <si>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</si>
  <si>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</si>
  <si>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</si>
  <si>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</si>
  <si>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</si>
  <si>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</si>
  <si>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</si>
  <si>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</si>
  <si>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</si>
  <si>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</si>
  <si>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</si>
  <si>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</si>
  <si>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</si>
  <si>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</si>
  <si>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</si>
  <si>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</si>
  <si>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</si>
  <si>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</si>
  <si>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</si>
  <si>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</si>
  <si>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</si>
  <si>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</si>
  <si>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</si>
  <si>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</si>
  <si>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</si>
  <si>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</si>
  <si>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</si>
  <si>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</si>
  <si>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</si>
  <si>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</si>
  <si>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</si>
  <si>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</si>
  <si>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</si>
  <si>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</si>
  <si>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</si>
  <si>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</si>
  <si>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</si>
  <si>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</si>
  <si>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</si>
  <si>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</si>
  <si>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</si>
  <si>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</si>
  <si>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</si>
  <si>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</si>
  <si>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</si>
  <si>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</si>
  <si>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</si>
  <si>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</si>
  <si>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</si>
  <si>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</si>
  <si>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</si>
  <si>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</si>
  <si>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</si>
  <si>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</si>
  <si>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</si>
  <si>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</si>
  <si>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</si>
  <si>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</si>
  <si>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</si>
  <si>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</si>
  <si>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</si>
  <si>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</si>
  <si>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</si>
  <si>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</si>
  <si>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</si>
  <si>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</si>
  <si>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</si>
  <si>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</si>
  <si>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</si>
  <si>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</si>
  <si>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</si>
  <si>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</si>
  <si>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</si>
  <si>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</si>
  <si>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</si>
  <si>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</si>
  <si>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</si>
  <si>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</si>
  <si>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</si>
  <si>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</si>
  <si>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</si>
  <si>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</si>
  <si>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</si>
  <si>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</si>
  <si>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</si>
  <si>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</si>
  <si>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</si>
  <si>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</si>
  <si>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</si>
  <si>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</si>
  <si>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</si>
  <si>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</si>
  <si>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</si>
  <si>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</si>
  <si>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</si>
  <si>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২৬-০৪-২০২৬ তারিখে মূল্য হ্রাস পেয়েছে।</t>
  </si>
  <si>
    <t>সহকারী পরিচালক (বাজার তথ্য)</t>
  </si>
  <si>
    <t>(শতদল মন্ডল)</t>
  </si>
  <si>
    <t>২৮-০৪-২০২৬ তারিখে মূল্য হ্রাস পেয়েছে।</t>
  </si>
  <si>
    <t>৩০-০৪-২০২৬ তারিখে মূল্য বৃদ্ধি পেয়েছে।</t>
  </si>
  <si>
    <t>০৩-০৫-২০২৬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</si>
  <si>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</si>
  <si>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</si>
  <si>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নং-২৬.০৫.০০০০.০১৭.৩১.০১.২৬-৩৫৩</t>
  </si>
  <si>
    <t xml:space="preserve">সোমবার ০৪ মে ২০২৬ খ্রিঃ, ২১ বৈশাখ ১৪৩৩ বাংলা, ১৬ জিলকদ ১৪৪৭ হিজরি </t>
  </si>
  <si>
    <t xml:space="preserve">   সিরিয়াল নংঃ     ১০৮</t>
  </si>
  <si>
    <t>০৪-০৫-২০২৬ তারিখে মূল্য বৃদ্ধি পেয়েছে।</t>
  </si>
  <si>
    <t>(১)   আটা (খোলা), ছোলা, রশুন (দেশী, আম), আদা (আম), লেবু  এর মূল্য হ্রাস পেয়েছে।</t>
  </si>
  <si>
    <t>(২)   সয়াবিন তেল (লুজ, ১লিঃ, ২লিঃ, ৫লিঃ বোতল), পাম অয়েল (লুজ, সুপার), কাঁচামরিচ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</si>
</sst>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2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7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7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6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5"/>
  <sheetViews>
    <sheetView tabSelected="1" topLeftCell="A72" zoomScale="95" zoomScaleNormal="95" workbookViewId="0">
      <selection activeCell="H99" sqref="H99"/>
    </sheetView>
  </sheetViews>
  <sheetFormatPr defaultRowHeight="16.5" x14ac:dyDescent="0.25"/>
  <cols>
    <col min="1" max="1" width="17.78515625" customWidth="1"/>
    <col min="2" max="2" width="9.76562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8.8359375" customWidth="1"/>
    <col min="8" max="8" width="8.6015625" customWidth="1"/>
    <col min="9" max="9" width="8.94921875" customWidth="1"/>
    <col min="10" max="10" width="10.6953125" customWidth="1"/>
    <col min="11" max="11" width="9.4140625" customWidth="1"/>
    <col min="12" max="12" width="9.765625" customWidth="1"/>
  </cols>
  <sheetData>
    <row r="3" spans="1:12" ht="21" x14ac:dyDescent="0.2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" x14ac:dyDescent="0.2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" x14ac:dyDescent="0.2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2" t="s">
        <v>132</v>
      </c>
      <c r="L5" s="73"/>
    </row>
    <row r="6" spans="1:12" ht="21" x14ac:dyDescent="0.25">
      <c r="A6" s="10"/>
      <c r="B6" s="8"/>
      <c r="C6" s="8"/>
      <c r="D6" s="10"/>
      <c r="E6" s="8"/>
      <c r="F6" s="8" t="s">
        <v>131</v>
      </c>
      <c r="G6" s="8"/>
      <c r="H6" s="8"/>
      <c r="I6" s="8"/>
      <c r="J6" s="8"/>
      <c r="K6" s="8"/>
      <c r="L6" s="30"/>
    </row>
    <row r="7" spans="1:12" ht="21" x14ac:dyDescent="0.25">
      <c r="A7" s="13" t="s">
        <v>130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46146</v>
      </c>
    </row>
    <row r="8" spans="1:12" ht="18.75" x14ac:dyDescent="0.25">
      <c r="A8" s="5" t="s">
        <v>4</v>
      </c>
      <c r="B8" s="6" t="s">
        <v>5</v>
      </c>
      <c r="C8" s="74" t="s">
        <v>6</v>
      </c>
      <c r="D8" s="75"/>
      <c r="E8" s="74" t="s">
        <v>7</v>
      </c>
      <c r="F8" s="75"/>
      <c r="G8" s="74" t="s">
        <v>8</v>
      </c>
      <c r="H8" s="75"/>
      <c r="I8" s="6" t="s">
        <v>9</v>
      </c>
      <c r="J8" s="74" t="s">
        <v>10</v>
      </c>
      <c r="K8" s="75"/>
      <c r="L8" s="50" t="s">
        <v>11</v>
      </c>
    </row>
    <row r="9" spans="1:12" ht="21" x14ac:dyDescent="0.25">
      <c r="A9" s="5"/>
      <c r="B9" s="6"/>
      <c r="C9" s="76">
        <v>46146</v>
      </c>
      <c r="D9" s="73"/>
      <c r="E9" s="76">
        <v>46139</v>
      </c>
      <c r="F9" s="73"/>
      <c r="G9" s="76">
        <v>46116</v>
      </c>
      <c r="H9" s="73"/>
      <c r="I9" s="18" t="s">
        <v>12</v>
      </c>
      <c r="J9" s="76">
        <v>45781</v>
      </c>
      <c r="K9" s="73"/>
      <c r="L9" s="18" t="s">
        <v>12</v>
      </c>
    </row>
    <row r="10" spans="1:12" ht="21" x14ac:dyDescent="0.2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" x14ac:dyDescent="0.3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70</v>
      </c>
      <c r="K11" s="20">
        <v>86</v>
      </c>
      <c r="L11" s="22">
        <f>((C11+D11)/2-(J11+K11)/2)/((J11+K11)/2)*100</f>
        <v>-0.64102564102564097</v>
      </c>
    </row>
    <row r="12" spans="1:12" ht="21" x14ac:dyDescent="0.3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56</v>
      </c>
      <c r="K12" s="20">
        <v>65</v>
      </c>
      <c r="L12" s="22">
        <f>((C12+D12)/2-(J12+K12)/2)/((J12+K12)/2)*100</f>
        <v>5.785123966942149</v>
      </c>
    </row>
    <row r="13" spans="1:12" ht="21" x14ac:dyDescent="0.3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50</v>
      </c>
      <c r="K13" s="20">
        <v>55</v>
      </c>
      <c r="L13" s="22">
        <f>((C13+D13)/2-(J13+K13)/2)/((J13+K13)/2)*100</f>
        <v>9.5238095238095237</v>
      </c>
    </row>
    <row r="14" spans="1:12" ht="18" customHeight="1" x14ac:dyDescent="0.3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" x14ac:dyDescent="0.3">
      <c r="A15" s="56" t="s">
        <v>20</v>
      </c>
      <c r="B15" s="6" t="s">
        <v>17</v>
      </c>
      <c r="C15" s="20">
        <v>40</v>
      </c>
      <c r="D15" s="20">
        <v>46</v>
      </c>
      <c r="E15" s="20">
        <v>42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" x14ac:dyDescent="0.3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" x14ac:dyDescent="0.3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" x14ac:dyDescent="0.3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 x14ac:dyDescent="0.3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" x14ac:dyDescent="0.3">
      <c r="A20" s="56" t="s">
        <v>26</v>
      </c>
      <c r="B20" s="6" t="s">
        <v>27</v>
      </c>
      <c r="C20" s="20">
        <v>185</v>
      </c>
      <c r="D20" s="20">
        <v>195</v>
      </c>
      <c r="E20" s="20">
        <v>182</v>
      </c>
      <c r="F20" s="20">
        <v>190</v>
      </c>
      <c r="G20" s="20">
        <v>185</v>
      </c>
      <c r="H20" s="20">
        <v>196</v>
      </c>
      <c r="I20" s="21">
        <f t="shared" ref="I20:I26" si="0">((C20+D20)/2-(G20+H20)/2)/((G20+H20)/2)*100</f>
        <v>-0.26246719160104987</v>
      </c>
      <c r="J20" s="20">
        <v>160</v>
      </c>
      <c r="K20" s="20">
        <v>172</v>
      </c>
      <c r="L20" s="22">
        <f t="shared" ref="L20:L26" si="1">((C20+D20)/2-(J20+K20)/2)/((J20+K20)/2)*100</f>
        <v>14.457831325301203</v>
      </c>
    </row>
    <row r="21" spans="1:12" ht="21" x14ac:dyDescent="0.3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" x14ac:dyDescent="0.3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0.38216560509554143</v>
      </c>
      <c r="J22" s="20">
        <v>370</v>
      </c>
      <c r="K22" s="20">
        <v>378</v>
      </c>
      <c r="L22" s="22">
        <f t="shared" si="1"/>
        <v>5.3475935828877006</v>
      </c>
    </row>
    <row r="23" spans="1:12" ht="21" x14ac:dyDescent="0.3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" x14ac:dyDescent="0.3">
      <c r="A24" s="56" t="s">
        <v>32</v>
      </c>
      <c r="B24" s="6" t="s">
        <v>27</v>
      </c>
      <c r="C24" s="20">
        <v>162</v>
      </c>
      <c r="D24" s="20">
        <v>168</v>
      </c>
      <c r="E24" s="20">
        <v>161</v>
      </c>
      <c r="F24" s="20">
        <v>168</v>
      </c>
      <c r="G24" s="20">
        <v>162</v>
      </c>
      <c r="H24" s="20">
        <v>168</v>
      </c>
      <c r="I24" s="21">
        <f t="shared" si="0"/>
        <v>0</v>
      </c>
      <c r="J24" s="20">
        <v>143</v>
      </c>
      <c r="K24" s="20">
        <v>155</v>
      </c>
      <c r="L24" s="22">
        <f t="shared" si="1"/>
        <v>10.738255033557047</v>
      </c>
    </row>
    <row r="25" spans="1:12" ht="21" x14ac:dyDescent="0.3">
      <c r="A25" s="56" t="s">
        <v>99</v>
      </c>
      <c r="B25" s="6" t="s">
        <v>27</v>
      </c>
      <c r="C25" s="20">
        <v>168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1.4925373134328357</v>
      </c>
      <c r="J25" s="20">
        <v>147</v>
      </c>
      <c r="K25" s="20">
        <v>162</v>
      </c>
      <c r="L25" s="22">
        <f t="shared" si="1"/>
        <v>10.032362459546926</v>
      </c>
    </row>
    <row r="26" spans="1:12" ht="21" x14ac:dyDescent="0.3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" x14ac:dyDescent="0.3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" x14ac:dyDescent="0.3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85</v>
      </c>
      <c r="H28" s="20">
        <v>105</v>
      </c>
      <c r="I28" s="21">
        <f t="shared" ref="I28:I34" si="2">((C28+D28)/2-(G28+H28)/2)/((G28+H28)/2)*100</f>
        <v>2.6315789473684208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" x14ac:dyDescent="0.3">
      <c r="A29" s="56" t="s">
        <v>103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" x14ac:dyDescent="0.3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" x14ac:dyDescent="0.3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" x14ac:dyDescent="0.3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" x14ac:dyDescent="0.3">
      <c r="A33" s="56" t="s">
        <v>40</v>
      </c>
      <c r="B33" s="6" t="s">
        <v>17</v>
      </c>
      <c r="C33" s="20">
        <v>85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" x14ac:dyDescent="0.3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20</v>
      </c>
      <c r="H34" s="20">
        <v>25</v>
      </c>
      <c r="I34" s="21">
        <f t="shared" si="2"/>
        <v>0</v>
      </c>
      <c r="J34" s="20">
        <v>20</v>
      </c>
      <c r="K34" s="20">
        <v>25</v>
      </c>
      <c r="L34" s="22">
        <f t="shared" si="3"/>
        <v>0</v>
      </c>
    </row>
    <row r="35" spans="1:12" ht="21" x14ac:dyDescent="0.3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" x14ac:dyDescent="0.3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40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50</v>
      </c>
      <c r="K36" s="20">
        <v>65</v>
      </c>
      <c r="L36" s="22">
        <f t="shared" ref="L36:L51" si="5">((C36+D36)/2-(J36+K36)/2)/((J36+K36)/2)*100</f>
        <v>-34.782608695652172</v>
      </c>
    </row>
    <row r="37" spans="1:12" ht="21" x14ac:dyDescent="0.3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" x14ac:dyDescent="0.3">
      <c r="A38" s="56" t="s">
        <v>43</v>
      </c>
      <c r="B38" s="6" t="s">
        <v>17</v>
      </c>
      <c r="C38" s="20">
        <v>60</v>
      </c>
      <c r="D38" s="20">
        <v>140</v>
      </c>
      <c r="E38" s="20">
        <v>80</v>
      </c>
      <c r="F38" s="20">
        <v>140</v>
      </c>
      <c r="G38" s="20">
        <v>70</v>
      </c>
      <c r="H38" s="20">
        <v>130</v>
      </c>
      <c r="I38" s="21">
        <f t="shared" si="4"/>
        <v>0</v>
      </c>
      <c r="J38" s="20">
        <v>100</v>
      </c>
      <c r="K38" s="20">
        <v>160</v>
      </c>
      <c r="L38" s="22">
        <f t="shared" si="5"/>
        <v>-23.076923076923077</v>
      </c>
    </row>
    <row r="39" spans="1:12" ht="21" x14ac:dyDescent="0.3">
      <c r="A39" s="56" t="s">
        <v>44</v>
      </c>
      <c r="B39" s="6" t="s">
        <v>17</v>
      </c>
      <c r="C39" s="20">
        <v>140</v>
      </c>
      <c r="D39" s="20">
        <v>220</v>
      </c>
      <c r="E39" s="20">
        <v>160</v>
      </c>
      <c r="F39" s="20">
        <v>220</v>
      </c>
      <c r="G39" s="20">
        <v>170</v>
      </c>
      <c r="H39" s="20">
        <v>220</v>
      </c>
      <c r="I39" s="21">
        <f t="shared" si="4"/>
        <v>-7.6923076923076925</v>
      </c>
      <c r="J39" s="20">
        <v>200</v>
      </c>
      <c r="K39" s="20">
        <v>240</v>
      </c>
      <c r="L39" s="22">
        <f t="shared" si="5"/>
        <v>-18.181818181818183</v>
      </c>
    </row>
    <row r="40" spans="1:12" ht="21" x14ac:dyDescent="0.3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350</v>
      </c>
      <c r="L40" s="22">
        <f t="shared" si="5"/>
        <v>27.586206896551722</v>
      </c>
    </row>
    <row r="41" spans="1:12" ht="21" x14ac:dyDescent="0.3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330</v>
      </c>
      <c r="K41" s="20">
        <v>450</v>
      </c>
      <c r="L41" s="22">
        <f t="shared" si="5"/>
        <v>20.512820512820511</v>
      </c>
    </row>
    <row r="42" spans="1:12" ht="21" x14ac:dyDescent="0.3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280</v>
      </c>
      <c r="K42" s="20">
        <v>400</v>
      </c>
      <c r="L42" s="22">
        <f t="shared" si="5"/>
        <v>-4.4117647058823533</v>
      </c>
    </row>
    <row r="43" spans="1:12" ht="21" x14ac:dyDescent="0.3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" x14ac:dyDescent="0.3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180</v>
      </c>
      <c r="L44" s="22">
        <f t="shared" si="5"/>
        <v>7.1428571428571423</v>
      </c>
    </row>
    <row r="45" spans="1:12" ht="21" x14ac:dyDescent="0.3">
      <c r="A45" s="56" t="s">
        <v>50</v>
      </c>
      <c r="B45" s="6" t="s">
        <v>17</v>
      </c>
      <c r="C45" s="20">
        <v>120</v>
      </c>
      <c r="D45" s="20">
        <v>210</v>
      </c>
      <c r="E45" s="20">
        <v>150</v>
      </c>
      <c r="F45" s="20">
        <v>200</v>
      </c>
      <c r="G45" s="20">
        <v>120</v>
      </c>
      <c r="H45" s="20">
        <v>210</v>
      </c>
      <c r="I45" s="21">
        <f t="shared" si="4"/>
        <v>0</v>
      </c>
      <c r="J45" s="20">
        <v>100</v>
      </c>
      <c r="K45" s="20">
        <v>220</v>
      </c>
      <c r="L45" s="22">
        <f t="shared" si="5"/>
        <v>3.125</v>
      </c>
    </row>
    <row r="46" spans="1:12" ht="21" x14ac:dyDescent="0.3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620</v>
      </c>
      <c r="H46" s="20">
        <v>700</v>
      </c>
      <c r="I46" s="21">
        <f t="shared" si="4"/>
        <v>-1.5151515151515151</v>
      </c>
      <c r="J46" s="20">
        <v>650</v>
      </c>
      <c r="K46" s="20">
        <v>800</v>
      </c>
      <c r="L46" s="22">
        <f t="shared" si="5"/>
        <v>-10.344827586206897</v>
      </c>
    </row>
    <row r="47" spans="1:12" ht="21" x14ac:dyDescent="0.3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560</v>
      </c>
      <c r="L47" s="22">
        <f t="shared" si="5"/>
        <v>3.7735849056603774</v>
      </c>
    </row>
    <row r="48" spans="1:12" ht="21" x14ac:dyDescent="0.3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" x14ac:dyDescent="0.3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" x14ac:dyDescent="0.3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" x14ac:dyDescent="0.3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" x14ac:dyDescent="0.3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" x14ac:dyDescent="0.3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" x14ac:dyDescent="0.3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" x14ac:dyDescent="0.3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" x14ac:dyDescent="0.3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" x14ac:dyDescent="0.3">
      <c r="A57" s="56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200</v>
      </c>
      <c r="G57" s="20">
        <v>170</v>
      </c>
      <c r="H57" s="20">
        <v>190</v>
      </c>
      <c r="I57" s="21">
        <f t="shared" si="6"/>
        <v>5.5555555555555554</v>
      </c>
      <c r="J57" s="20">
        <v>170</v>
      </c>
      <c r="K57" s="20">
        <v>205</v>
      </c>
      <c r="L57" s="22">
        <f t="shared" si="7"/>
        <v>1.3333333333333335</v>
      </c>
    </row>
    <row r="58" spans="1:12" ht="21" x14ac:dyDescent="0.3">
      <c r="A58" s="56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660</v>
      </c>
      <c r="L58" s="22">
        <f t="shared" si="7"/>
        <v>3.4482758620689653</v>
      </c>
    </row>
    <row r="59" spans="1:12" ht="21" x14ac:dyDescent="0.3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 x14ac:dyDescent="0.3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 x14ac:dyDescent="0.3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 x14ac:dyDescent="0.3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 x14ac:dyDescent="0.3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 x14ac:dyDescent="0.3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 x14ac:dyDescent="0.3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" x14ac:dyDescent="0.25">
      <c r="A66" s="56" t="s">
        <v>4</v>
      </c>
      <c r="B66" s="6" t="s">
        <v>5</v>
      </c>
      <c r="C66" s="74" t="s">
        <v>6</v>
      </c>
      <c r="D66" s="75"/>
      <c r="E66" s="74" t="s">
        <v>7</v>
      </c>
      <c r="F66" s="75"/>
      <c r="G66" s="74" t="s">
        <v>8</v>
      </c>
      <c r="H66" s="75"/>
      <c r="I66" s="6" t="s">
        <v>9</v>
      </c>
      <c r="J66" s="74" t="s">
        <v>10</v>
      </c>
      <c r="K66" s="75"/>
      <c r="L66" s="18" t="s">
        <v>11</v>
      </c>
    </row>
    <row r="67" spans="1:12" ht="18" customHeight="1" x14ac:dyDescent="0.25">
      <c r="A67" s="61"/>
      <c r="B67" s="54"/>
      <c r="C67" s="76">
        <v>46146</v>
      </c>
      <c r="D67" s="73"/>
      <c r="E67" s="76">
        <v>46139</v>
      </c>
      <c r="F67" s="73"/>
      <c r="G67" s="76">
        <v>46116</v>
      </c>
      <c r="H67" s="73"/>
      <c r="I67" s="18" t="s">
        <v>12</v>
      </c>
      <c r="J67" s="76">
        <v>45781</v>
      </c>
      <c r="K67" s="73"/>
      <c r="L67" s="18" t="s">
        <v>12</v>
      </c>
    </row>
    <row r="68" spans="1:12" ht="21" x14ac:dyDescent="0.2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 x14ac:dyDescent="0.3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100</v>
      </c>
      <c r="H69" s="20">
        <v>105</v>
      </c>
      <c r="I69" s="21">
        <f>((C69+D69)/2-(G69+H69)/2)/((G69+H69)/2)*100</f>
        <v>4.8780487804878048</v>
      </c>
      <c r="J69" s="20">
        <v>114</v>
      </c>
      <c r="K69" s="20">
        <v>120</v>
      </c>
      <c r="L69" s="22">
        <f t="shared" ref="L69:L79" si="8">((C69+D69)/2-(J69+K69)/2)/((J69+K69)/2)*100</f>
        <v>-8.1196581196581192</v>
      </c>
    </row>
    <row r="70" spans="1:12" ht="21" x14ac:dyDescent="0.3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" x14ac:dyDescent="0.3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" x14ac:dyDescent="0.3">
      <c r="A72" s="56" t="s">
        <v>112</v>
      </c>
      <c r="B72" s="48" t="s">
        <v>72</v>
      </c>
      <c r="C72" s="20">
        <v>15</v>
      </c>
      <c r="D72" s="20">
        <v>40</v>
      </c>
      <c r="E72" s="20">
        <v>20</v>
      </c>
      <c r="F72" s="20">
        <v>50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" x14ac:dyDescent="0.3">
      <c r="A73" s="56" t="s">
        <v>113</v>
      </c>
      <c r="B73" s="48" t="s">
        <v>17</v>
      </c>
      <c r="C73" s="20">
        <v>80</v>
      </c>
      <c r="D73" s="20">
        <v>120</v>
      </c>
      <c r="E73" s="20">
        <v>60</v>
      </c>
      <c r="F73" s="20">
        <v>120</v>
      </c>
      <c r="G73" s="20">
        <v>40</v>
      </c>
      <c r="H73" s="20">
        <v>80</v>
      </c>
      <c r="I73" s="21">
        <f t="shared" si="9"/>
        <v>66.666666666666657</v>
      </c>
      <c r="J73" s="20">
        <v>60</v>
      </c>
      <c r="K73" s="20">
        <v>100</v>
      </c>
      <c r="L73" s="22">
        <f t="shared" si="8"/>
        <v>25</v>
      </c>
    </row>
    <row r="74" spans="1:12" ht="21" x14ac:dyDescent="0.3">
      <c r="A74" s="56" t="s">
        <v>114</v>
      </c>
      <c r="B74" s="48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70</v>
      </c>
      <c r="K74" s="20">
        <v>100</v>
      </c>
      <c r="L74" s="22">
        <f t="shared" si="8"/>
        <v>17.647058823529413</v>
      </c>
    </row>
    <row r="75" spans="1:12" ht="21" x14ac:dyDescent="0.3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30</v>
      </c>
      <c r="H75" s="20">
        <v>70</v>
      </c>
      <c r="I75" s="21">
        <f t="shared" si="9"/>
        <v>30</v>
      </c>
      <c r="J75" s="20">
        <v>50</v>
      </c>
      <c r="K75" s="20">
        <v>80</v>
      </c>
      <c r="L75" s="22">
        <f t="shared" si="8"/>
        <v>0</v>
      </c>
    </row>
    <row r="76" spans="1:12" ht="18.75" customHeight="1" x14ac:dyDescent="0.3">
      <c r="A76" s="56" t="s">
        <v>71</v>
      </c>
      <c r="B76" s="6" t="s">
        <v>72</v>
      </c>
      <c r="C76" s="28">
        <v>40</v>
      </c>
      <c r="D76" s="28">
        <v>45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14.864864864864865</v>
      </c>
      <c r="J76" s="28">
        <v>40</v>
      </c>
      <c r="K76" s="28">
        <v>45</v>
      </c>
      <c r="L76" s="22">
        <f t="shared" si="8"/>
        <v>0</v>
      </c>
    </row>
    <row r="77" spans="1:12" ht="21" x14ac:dyDescent="0.3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" x14ac:dyDescent="0.3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" x14ac:dyDescent="0.3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 x14ac:dyDescent="0.25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8.75" x14ac:dyDescent="0.2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8.75" x14ac:dyDescent="0.25">
      <c r="A82" s="1"/>
      <c r="B82" s="1" t="s">
        <v>134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8.75" x14ac:dyDescent="0.25">
      <c r="A83" s="1"/>
      <c r="B83" s="1" t="s">
        <v>135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8.75" x14ac:dyDescent="0.2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8.75" x14ac:dyDescent="0.2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8.75" x14ac:dyDescent="0.25">
      <c r="A86" s="5" t="s">
        <v>79</v>
      </c>
      <c r="B86" s="6" t="s">
        <v>80</v>
      </c>
      <c r="C86" s="74" t="s">
        <v>6</v>
      </c>
      <c r="D86" s="75"/>
      <c r="E86" s="79" t="s">
        <v>81</v>
      </c>
      <c r="F86" s="80"/>
      <c r="G86" s="41" t="s">
        <v>12</v>
      </c>
      <c r="H86" s="74" t="s">
        <v>82</v>
      </c>
      <c r="I86" s="81"/>
      <c r="J86" s="75"/>
      <c r="K86" s="43"/>
      <c r="L86" s="2"/>
    </row>
    <row r="87" spans="1:12" ht="21" x14ac:dyDescent="0.3">
      <c r="A87" s="56" t="s">
        <v>20</v>
      </c>
      <c r="B87" s="6" t="s">
        <v>17</v>
      </c>
      <c r="C87" s="20">
        <v>40</v>
      </c>
      <c r="D87" s="20">
        <v>46</v>
      </c>
      <c r="E87" s="20">
        <v>42</v>
      </c>
      <c r="F87" s="20">
        <v>46</v>
      </c>
      <c r="G87" s="7">
        <f t="shared" ref="G87" si="10">((C87+D87)/2-(E87+F87)/2)/((E87+F87)/2)*100</f>
        <v>-2.2727272727272729</v>
      </c>
      <c r="H87" s="5" t="s">
        <v>125</v>
      </c>
      <c r="I87" s="6"/>
      <c r="J87" s="6"/>
      <c r="K87" s="43"/>
      <c r="L87" s="2"/>
    </row>
    <row r="88" spans="1:12" ht="21" x14ac:dyDescent="0.3">
      <c r="A88" s="56" t="s">
        <v>26</v>
      </c>
      <c r="B88" s="6" t="s">
        <v>27</v>
      </c>
      <c r="C88" s="20">
        <v>185</v>
      </c>
      <c r="D88" s="20">
        <v>195</v>
      </c>
      <c r="E88" s="20">
        <v>182</v>
      </c>
      <c r="F88" s="20">
        <v>190</v>
      </c>
      <c r="G88" s="7">
        <f t="shared" ref="G88:G96" si="11">((C88+D88)/2-(E88+F88)/2)/((E88+F88)/2)*100</f>
        <v>2.1505376344086025</v>
      </c>
      <c r="H88" s="5" t="s">
        <v>133</v>
      </c>
      <c r="I88" s="6"/>
      <c r="J88" s="6"/>
      <c r="K88" s="43"/>
      <c r="L88" s="2"/>
    </row>
    <row r="89" spans="1:12" ht="21" x14ac:dyDescent="0.3">
      <c r="A89" s="56" t="s">
        <v>28</v>
      </c>
      <c r="B89" s="6" t="s">
        <v>29</v>
      </c>
      <c r="C89" s="20">
        <v>950</v>
      </c>
      <c r="D89" s="20">
        <v>975</v>
      </c>
      <c r="E89" s="20">
        <v>950</v>
      </c>
      <c r="F89" s="20">
        <v>955</v>
      </c>
      <c r="G89" s="7">
        <f t="shared" si="11"/>
        <v>1.0498687664041995</v>
      </c>
      <c r="H89" s="5" t="s">
        <v>133</v>
      </c>
      <c r="I89" s="6"/>
      <c r="J89" s="6"/>
      <c r="K89" s="43"/>
      <c r="L89" s="2"/>
    </row>
    <row r="90" spans="1:12" ht="21" x14ac:dyDescent="0.3">
      <c r="A90" s="56" t="s">
        <v>28</v>
      </c>
      <c r="B90" s="6" t="s">
        <v>30</v>
      </c>
      <c r="C90" s="20">
        <v>390</v>
      </c>
      <c r="D90" s="20">
        <v>398</v>
      </c>
      <c r="E90" s="20">
        <v>390</v>
      </c>
      <c r="F90" s="20">
        <v>395</v>
      </c>
      <c r="G90" s="7">
        <f t="shared" si="11"/>
        <v>0.38216560509554143</v>
      </c>
      <c r="H90" s="5" t="s">
        <v>133</v>
      </c>
      <c r="I90" s="6"/>
      <c r="J90" s="6"/>
      <c r="K90" s="43"/>
      <c r="L90" s="2"/>
    </row>
    <row r="91" spans="1:12" ht="21" x14ac:dyDescent="0.3">
      <c r="A91" s="56" t="s">
        <v>28</v>
      </c>
      <c r="B91" s="6" t="s">
        <v>31</v>
      </c>
      <c r="C91" s="20">
        <v>195</v>
      </c>
      <c r="D91" s="20">
        <v>199</v>
      </c>
      <c r="E91" s="20">
        <v>195</v>
      </c>
      <c r="F91" s="20">
        <v>195</v>
      </c>
      <c r="G91" s="7">
        <f t="shared" si="11"/>
        <v>1.0256410256410255</v>
      </c>
      <c r="H91" s="5" t="s">
        <v>133</v>
      </c>
      <c r="I91" s="6"/>
      <c r="J91" s="6"/>
      <c r="K91" s="43"/>
      <c r="L91" s="2"/>
    </row>
    <row r="92" spans="1:12" ht="21" x14ac:dyDescent="0.3">
      <c r="A92" s="56" t="s">
        <v>32</v>
      </c>
      <c r="B92" s="6" t="s">
        <v>27</v>
      </c>
      <c r="C92" s="20">
        <v>162</v>
      </c>
      <c r="D92" s="20">
        <v>168</v>
      </c>
      <c r="E92" s="20">
        <v>161</v>
      </c>
      <c r="F92" s="20">
        <v>168</v>
      </c>
      <c r="G92" s="7">
        <f t="shared" si="11"/>
        <v>0.303951367781155</v>
      </c>
      <c r="H92" s="5" t="s">
        <v>133</v>
      </c>
      <c r="I92" s="6"/>
      <c r="J92" s="6"/>
      <c r="K92" s="43"/>
      <c r="L92" s="2"/>
    </row>
    <row r="93" spans="1:12" ht="21" x14ac:dyDescent="0.3">
      <c r="A93" s="56" t="s">
        <v>99</v>
      </c>
      <c r="B93" s="6" t="s">
        <v>27</v>
      </c>
      <c r="C93" s="20">
        <v>168</v>
      </c>
      <c r="D93" s="20">
        <v>172</v>
      </c>
      <c r="E93" s="20">
        <v>165</v>
      </c>
      <c r="F93" s="20">
        <v>172</v>
      </c>
      <c r="G93" s="7">
        <f t="shared" si="11"/>
        <v>0.89020771513353114</v>
      </c>
      <c r="H93" s="5" t="s">
        <v>126</v>
      </c>
      <c r="I93" s="6"/>
      <c r="J93" s="6"/>
      <c r="K93" s="43"/>
      <c r="L93" s="2"/>
    </row>
    <row r="94" spans="1:12" ht="21" x14ac:dyDescent="0.3">
      <c r="A94" s="56" t="s">
        <v>40</v>
      </c>
      <c r="B94" s="6" t="s">
        <v>17</v>
      </c>
      <c r="C94" s="20">
        <v>85</v>
      </c>
      <c r="D94" s="20">
        <v>100</v>
      </c>
      <c r="E94" s="20">
        <v>90</v>
      </c>
      <c r="F94" s="20">
        <v>100</v>
      </c>
      <c r="G94" s="7">
        <f t="shared" si="11"/>
        <v>-2.6315789473684208</v>
      </c>
      <c r="H94" s="5" t="s">
        <v>127</v>
      </c>
      <c r="I94" s="6"/>
      <c r="J94" s="6"/>
      <c r="K94" s="43"/>
      <c r="L94" s="2"/>
    </row>
    <row r="95" spans="1:12" ht="21" x14ac:dyDescent="0.3">
      <c r="A95" s="56" t="s">
        <v>43</v>
      </c>
      <c r="B95" s="6" t="s">
        <v>17</v>
      </c>
      <c r="C95" s="20">
        <v>60</v>
      </c>
      <c r="D95" s="20">
        <v>140</v>
      </c>
      <c r="E95" s="20">
        <v>80</v>
      </c>
      <c r="F95" s="20">
        <v>140</v>
      </c>
      <c r="G95" s="7">
        <f t="shared" si="11"/>
        <v>-9.0909090909090917</v>
      </c>
      <c r="H95" s="5" t="s">
        <v>127</v>
      </c>
      <c r="I95" s="6"/>
      <c r="J95" s="6"/>
      <c r="K95" s="43"/>
      <c r="L95" s="2"/>
    </row>
    <row r="96" spans="1:12" ht="21" x14ac:dyDescent="0.3">
      <c r="A96" s="56" t="s">
        <v>44</v>
      </c>
      <c r="B96" s="6" t="s">
        <v>17</v>
      </c>
      <c r="C96" s="20">
        <v>140</v>
      </c>
      <c r="D96" s="20">
        <v>220</v>
      </c>
      <c r="E96" s="20">
        <v>160</v>
      </c>
      <c r="F96" s="20">
        <v>220</v>
      </c>
      <c r="G96" s="7">
        <f t="shared" si="11"/>
        <v>-5.2631578947368416</v>
      </c>
      <c r="H96" s="5" t="s">
        <v>127</v>
      </c>
      <c r="I96" s="6"/>
      <c r="J96" s="6"/>
      <c r="K96" s="43"/>
      <c r="L96" s="2"/>
    </row>
    <row r="97" spans="1:12" ht="21" x14ac:dyDescent="0.3">
      <c r="A97" s="56" t="s">
        <v>50</v>
      </c>
      <c r="B97" s="6" t="s">
        <v>17</v>
      </c>
      <c r="C97" s="20">
        <v>120</v>
      </c>
      <c r="D97" s="20">
        <v>210</v>
      </c>
      <c r="E97" s="20">
        <v>150</v>
      </c>
      <c r="F97" s="20">
        <v>200</v>
      </c>
      <c r="G97" s="7">
        <f t="shared" ref="G97:G99" si="12">((C97+D97)/2-(E97+F97)/2)/((E97+F97)/2)*100</f>
        <v>-5.7142857142857144</v>
      </c>
      <c r="H97" s="5" t="s">
        <v>122</v>
      </c>
      <c r="I97" s="6"/>
      <c r="J97" s="6"/>
      <c r="K97" s="43"/>
      <c r="L97" s="2"/>
    </row>
    <row r="98" spans="1:12" ht="21" x14ac:dyDescent="0.3">
      <c r="A98" s="56" t="s">
        <v>112</v>
      </c>
      <c r="B98" s="48" t="s">
        <v>72</v>
      </c>
      <c r="C98" s="20">
        <v>15</v>
      </c>
      <c r="D98" s="20">
        <v>40</v>
      </c>
      <c r="E98" s="20">
        <v>20</v>
      </c>
      <c r="F98" s="20">
        <v>50</v>
      </c>
      <c r="G98" s="7">
        <f t="shared" si="12"/>
        <v>-21.428571428571427</v>
      </c>
      <c r="H98" s="5" t="s">
        <v>127</v>
      </c>
      <c r="I98" s="6"/>
      <c r="J98" s="6"/>
      <c r="K98" s="43"/>
      <c r="L98" s="2"/>
    </row>
    <row r="99" spans="1:12" ht="21" x14ac:dyDescent="0.3">
      <c r="A99" s="56" t="s">
        <v>113</v>
      </c>
      <c r="B99" s="48" t="s">
        <v>17</v>
      </c>
      <c r="C99" s="20">
        <v>80</v>
      </c>
      <c r="D99" s="20">
        <v>120</v>
      </c>
      <c r="E99" s="20">
        <v>60</v>
      </c>
      <c r="F99" s="20">
        <v>120</v>
      </c>
      <c r="G99" s="7">
        <f t="shared" si="12"/>
        <v>11.111111111111111</v>
      </c>
      <c r="H99" s="5" t="s">
        <v>133</v>
      </c>
      <c r="I99" s="6"/>
      <c r="J99" s="6"/>
      <c r="K99" s="43"/>
      <c r="L99" s="2"/>
    </row>
    <row r="100" spans="1:12" ht="21" x14ac:dyDescent="0.3">
      <c r="A100" s="60"/>
      <c r="B100" s="3"/>
      <c r="C100" s="71"/>
      <c r="D100" s="71"/>
      <c r="E100" s="71"/>
      <c r="F100" s="71"/>
      <c r="G100" s="9"/>
      <c r="H100" s="1"/>
      <c r="I100" s="3"/>
      <c r="J100" s="3"/>
      <c r="K100" s="43"/>
      <c r="L100" s="44"/>
    </row>
    <row r="101" spans="1:12" ht="21" x14ac:dyDescent="0.3">
      <c r="A101" s="60"/>
      <c r="B101" s="3"/>
      <c r="C101" s="71"/>
      <c r="D101" s="71"/>
      <c r="E101" s="71"/>
      <c r="F101" s="71"/>
      <c r="G101" s="9"/>
      <c r="H101" s="1"/>
      <c r="I101" s="3"/>
      <c r="J101" s="3"/>
      <c r="K101" s="43"/>
      <c r="L101" s="44"/>
    </row>
    <row r="102" spans="1:12" ht="21" x14ac:dyDescent="0.3">
      <c r="A102" s="60"/>
      <c r="B102" s="3"/>
      <c r="C102" s="71"/>
      <c r="D102" s="71"/>
      <c r="E102" s="71"/>
      <c r="F102" s="71"/>
      <c r="G102" s="9"/>
      <c r="H102" s="1"/>
      <c r="I102" s="3"/>
      <c r="J102" s="3"/>
      <c r="K102" s="43"/>
      <c r="L102" s="44"/>
    </row>
    <row r="103" spans="1:12" ht="18.75" x14ac:dyDescent="0.25">
      <c r="A103" s="1"/>
      <c r="B103" s="49"/>
      <c r="C103" s="37"/>
      <c r="D103" s="37"/>
      <c r="E103" s="37"/>
      <c r="F103" s="37"/>
      <c r="G103" s="9"/>
      <c r="H103" s="1"/>
      <c r="I103" s="3"/>
      <c r="J103" s="3"/>
      <c r="K103" s="44"/>
      <c r="L103" s="44"/>
    </row>
    <row r="104" spans="1:12" ht="23.25" x14ac:dyDescent="0.3">
      <c r="A104" s="64"/>
      <c r="B104" s="65" t="s">
        <v>124</v>
      </c>
      <c r="C104" s="66"/>
      <c r="E104" s="64"/>
      <c r="F104" s="65" t="s">
        <v>110</v>
      </c>
      <c r="G104" s="66"/>
      <c r="I104" s="67"/>
      <c r="J104" s="68" t="s">
        <v>128</v>
      </c>
      <c r="K104" s="66"/>
      <c r="L104" s="44"/>
    </row>
    <row r="105" spans="1:12" ht="23.25" x14ac:dyDescent="0.3">
      <c r="A105" s="69"/>
      <c r="B105" s="65" t="s">
        <v>123</v>
      </c>
      <c r="C105" s="68"/>
      <c r="E105" s="69"/>
      <c r="F105" s="65" t="s">
        <v>111</v>
      </c>
      <c r="G105" s="68"/>
      <c r="I105" s="70"/>
      <c r="J105" s="68" t="s">
        <v>129</v>
      </c>
      <c r="L105" s="44"/>
    </row>
    <row r="106" spans="1:12" ht="18.75" x14ac:dyDescent="0.25">
      <c r="A106" s="1"/>
      <c r="B106" s="49"/>
      <c r="C106" s="37"/>
      <c r="D106" s="37"/>
      <c r="E106" s="37"/>
      <c r="F106" s="37"/>
      <c r="G106" s="9"/>
      <c r="H106" s="1"/>
      <c r="I106" s="3"/>
      <c r="J106" s="3"/>
      <c r="K106" s="44"/>
      <c r="L106" s="44"/>
    </row>
    <row r="107" spans="1:12" ht="18.75" x14ac:dyDescent="0.25">
      <c r="A107" s="1"/>
      <c r="B107" s="3"/>
      <c r="C107" s="37"/>
      <c r="D107" s="37"/>
      <c r="E107" s="37"/>
      <c r="F107" s="37"/>
      <c r="G107" s="9"/>
      <c r="H107" s="45"/>
      <c r="I107" s="44"/>
      <c r="J107" s="44"/>
      <c r="K107" s="44"/>
      <c r="L107" s="44"/>
    </row>
    <row r="108" spans="1:12" ht="18.75" x14ac:dyDescent="0.25">
      <c r="A108" s="1"/>
      <c r="B108" s="46"/>
      <c r="C108" s="47"/>
      <c r="D108" s="47"/>
      <c r="E108" s="3"/>
      <c r="F108" s="47"/>
      <c r="G108" s="9"/>
      <c r="H108" s="45"/>
      <c r="I108" s="44"/>
      <c r="J108" s="44"/>
      <c r="K108" s="44"/>
      <c r="L108" s="44"/>
    </row>
    <row r="109" spans="1:12" ht="18.75" x14ac:dyDescent="0.25">
      <c r="A109" s="35" t="s">
        <v>89</v>
      </c>
      <c r="B109" s="33"/>
      <c r="C109" s="31"/>
      <c r="D109" s="33"/>
      <c r="E109" s="31"/>
      <c r="F109" s="31"/>
      <c r="G109" s="31"/>
      <c r="H109" s="32"/>
      <c r="I109" s="2"/>
      <c r="J109" s="2"/>
      <c r="K109" s="2"/>
      <c r="L109" s="2"/>
    </row>
    <row r="110" spans="1:12" ht="18.75" x14ac:dyDescent="0.25">
      <c r="A110" s="34" t="s">
        <v>93</v>
      </c>
      <c r="B110" s="33"/>
      <c r="C110" s="31"/>
      <c r="D110" s="33"/>
      <c r="E110" s="31"/>
      <c r="F110" s="31"/>
      <c r="G110" s="33"/>
      <c r="H110" s="32"/>
      <c r="I110" s="2"/>
      <c r="J110" s="2"/>
      <c r="K110" s="2"/>
      <c r="L110" s="2"/>
    </row>
    <row r="111" spans="1:12" ht="18.75" x14ac:dyDescent="0.25">
      <c r="A111" s="34" t="s">
        <v>117</v>
      </c>
      <c r="B111" s="33"/>
      <c r="C111" s="33"/>
      <c r="D111" s="33"/>
      <c r="E111" s="33"/>
      <c r="F111" s="31"/>
      <c r="G111" s="33"/>
      <c r="H111" s="32"/>
      <c r="I111" s="2"/>
      <c r="J111" s="2"/>
      <c r="K111" s="2"/>
      <c r="L111" s="2"/>
    </row>
    <row r="112" spans="1:12" ht="18.75" x14ac:dyDescent="0.25">
      <c r="A112" s="34" t="s">
        <v>83</v>
      </c>
      <c r="B112" s="33"/>
      <c r="C112" s="33"/>
      <c r="D112" s="33"/>
      <c r="E112" s="33"/>
      <c r="F112" s="32"/>
      <c r="G112" s="32"/>
      <c r="H112" s="32"/>
      <c r="I112" s="2"/>
      <c r="J112" s="2"/>
      <c r="K112" s="2"/>
      <c r="L112" s="2"/>
    </row>
    <row r="113" spans="1:12" ht="18.75" x14ac:dyDescent="0.25">
      <c r="A113" s="34" t="s">
        <v>118</v>
      </c>
      <c r="B113" s="33"/>
      <c r="C113" s="33"/>
      <c r="D113" s="33"/>
      <c r="E113" s="33"/>
      <c r="F113" s="33"/>
      <c r="G113" s="32"/>
      <c r="H113" s="32"/>
      <c r="I113" s="2"/>
      <c r="J113" s="2"/>
      <c r="K113" s="2"/>
      <c r="L113" s="2"/>
    </row>
    <row r="114" spans="1:12" ht="18.75" x14ac:dyDescent="0.25">
      <c r="A114" s="34" t="s">
        <v>92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8.75" x14ac:dyDescent="0.25">
      <c r="A115" s="34" t="s">
        <v>100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8.75" x14ac:dyDescent="0.25">
      <c r="A116" s="34" t="s">
        <v>91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8.75" x14ac:dyDescent="0.25">
      <c r="A117" s="34" t="s">
        <v>90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8.75" x14ac:dyDescent="0.25">
      <c r="A118" s="34" t="s">
        <v>84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8.75" x14ac:dyDescent="0.25">
      <c r="A119" s="34" t="s">
        <v>94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8.75" x14ac:dyDescent="0.25">
      <c r="A120" s="34" t="s">
        <v>116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8.75" x14ac:dyDescent="0.25">
      <c r="A121" s="34" t="s">
        <v>95</v>
      </c>
      <c r="B121" s="33"/>
      <c r="C121" s="33"/>
      <c r="D121" s="33"/>
      <c r="E121" s="33"/>
      <c r="F121" s="33"/>
      <c r="G121" s="33"/>
      <c r="H121" s="32"/>
      <c r="I121" s="2"/>
      <c r="J121" s="2"/>
      <c r="K121" s="2"/>
      <c r="L121" s="2"/>
    </row>
    <row r="122" spans="1:12" ht="18.75" x14ac:dyDescent="0.25">
      <c r="A122" s="34" t="s">
        <v>96</v>
      </c>
      <c r="B122" s="33"/>
      <c r="C122" s="33"/>
      <c r="D122" s="33"/>
      <c r="E122" s="33"/>
      <c r="F122" s="33"/>
      <c r="G122" s="33"/>
      <c r="H122" s="32"/>
      <c r="I122" s="2"/>
      <c r="J122" s="2"/>
      <c r="K122" s="2"/>
      <c r="L122" s="2"/>
    </row>
    <row r="123" spans="1:12" ht="18.75" x14ac:dyDescent="0.25">
      <c r="A123" s="34" t="s">
        <v>119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8.75" x14ac:dyDescent="0.25">
      <c r="A124" s="34"/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8.75" x14ac:dyDescent="0.25">
      <c r="A125" s="35" t="s">
        <v>85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8.75" x14ac:dyDescent="0.25">
      <c r="A126" s="34" t="s">
        <v>86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127" spans="1:12" ht="18.75" x14ac:dyDescent="0.25">
      <c r="A127" s="34" t="s">
        <v>106</v>
      </c>
      <c r="B127" s="33"/>
      <c r="C127" s="33"/>
      <c r="D127" s="33"/>
      <c r="E127" s="33"/>
      <c r="F127" s="33"/>
      <c r="G127" s="33"/>
      <c r="H127" s="36"/>
      <c r="I127" s="44"/>
      <c r="J127" s="44"/>
      <c r="K127" s="44"/>
      <c r="L127" s="44"/>
    </row>
    <row r="128" spans="1:12" ht="18.75" x14ac:dyDescent="0.25">
      <c r="A128" s="34" t="s">
        <v>105</v>
      </c>
      <c r="B128" s="33"/>
      <c r="C128" s="33"/>
      <c r="D128" s="33"/>
      <c r="E128" s="33"/>
      <c r="F128" s="33"/>
      <c r="G128" s="33"/>
      <c r="H128" s="36"/>
      <c r="I128" s="44"/>
      <c r="J128" s="44"/>
      <c r="K128" s="44"/>
      <c r="L128" s="44"/>
    </row>
    <row r="129" spans="1:12" ht="18.75" x14ac:dyDescent="0.25">
      <c r="A129" s="34" t="s">
        <v>104</v>
      </c>
      <c r="B129" s="33"/>
      <c r="C129" s="33"/>
      <c r="D129" s="33"/>
      <c r="E129" s="33"/>
      <c r="F129" s="33"/>
      <c r="G129" s="33"/>
      <c r="H129" s="36"/>
      <c r="I129" s="44"/>
      <c r="J129" s="44"/>
      <c r="K129" s="44"/>
      <c r="L129" s="44"/>
    </row>
    <row r="445" spans="2:2" x14ac:dyDescent="0.25">
      <c r="B445" t="s">
        <v>121</v>
      </c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2026-05-04T08:37:17Z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